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测试用例" sheetId="1" r:id="rId1"/>
    <sheet name="策划相关" sheetId="2" r:id="rId2"/>
    <sheet name="修改内容" sheetId="3" r:id="rId3"/>
    <sheet name="第一次测试报告" sheetId="4" r:id="rId4"/>
  </sheets>
  <definedNames>
    <definedName name="_名词解释" localSheetId="1">策划相关!$A$10</definedName>
  </definedNames>
  <calcPr calcId="145621"/>
</workbook>
</file>

<file path=xl/calcChain.xml><?xml version="1.0" encoding="utf-8"?>
<calcChain xmlns="http://schemas.openxmlformats.org/spreadsheetml/2006/main">
  <c r="L6" i="1" l="1"/>
  <c r="L5" i="1"/>
  <c r="L4" i="1"/>
  <c r="M3" i="1"/>
  <c r="L3" i="1"/>
  <c r="P6" i="1"/>
  <c r="O6" i="1"/>
  <c r="N6" i="1"/>
  <c r="M6" i="1"/>
  <c r="P5" i="1"/>
  <c r="O5" i="1"/>
  <c r="N5" i="1"/>
  <c r="M5" i="1"/>
  <c r="P4" i="1"/>
  <c r="O4" i="1"/>
  <c r="N4" i="1"/>
  <c r="M4" i="1"/>
  <c r="P3" i="1"/>
  <c r="O3" i="1"/>
  <c r="N3" i="1"/>
  <c r="P2" i="1" l="1"/>
  <c r="O2" i="1"/>
  <c r="M2" i="1"/>
  <c r="N2" i="1"/>
  <c r="L2" i="1"/>
</calcChain>
</file>

<file path=xl/sharedStrings.xml><?xml version="1.0" encoding="utf-8"?>
<sst xmlns="http://schemas.openxmlformats.org/spreadsheetml/2006/main" count="2087" uniqueCount="1167">
  <si>
    <t>测试输入序列</t>
  </si>
  <si>
    <t>Bug</t>
    <phoneticPr fontId="2" type="noConversion"/>
  </si>
  <si>
    <t>修改时间</t>
    <phoneticPr fontId="2" type="noConversion"/>
  </si>
  <si>
    <t>修改人</t>
    <phoneticPr fontId="2" type="noConversion"/>
  </si>
  <si>
    <t>案例编码</t>
    <phoneticPr fontId="2" type="noConversion"/>
  </si>
  <si>
    <t>修改内容</t>
    <phoneticPr fontId="2" type="noConversion"/>
  </si>
  <si>
    <t xml:space="preserve">设 计 人 : </t>
    <phoneticPr fontId="2" type="noConversion"/>
  </si>
  <si>
    <t>暂不处理</t>
    <phoneticPr fontId="2" type="noConversion"/>
  </si>
  <si>
    <t>主要功能分类</t>
    <phoneticPr fontId="2" type="noConversion"/>
  </si>
  <si>
    <t>测试记录</t>
    <phoneticPr fontId="2" type="noConversion"/>
  </si>
  <si>
    <t>备注</t>
    <phoneticPr fontId="1" type="noConversion"/>
  </si>
  <si>
    <t>Case总量</t>
    <phoneticPr fontId="2" type="noConversion"/>
  </si>
  <si>
    <t>设计时间 :</t>
    <phoneticPr fontId="2" type="noConversion"/>
  </si>
  <si>
    <t>需程序自测</t>
    <phoneticPr fontId="2" type="noConversion"/>
  </si>
  <si>
    <t>子功能测试序列</t>
    <phoneticPr fontId="2" type="noConversion"/>
  </si>
  <si>
    <t>测试时间</t>
    <phoneticPr fontId="2" type="noConversion"/>
  </si>
  <si>
    <t>P</t>
    <phoneticPr fontId="2" type="noConversion"/>
  </si>
  <si>
    <t>程    序 ：</t>
    <phoneticPr fontId="2" type="noConversion"/>
  </si>
  <si>
    <t>需策划评估</t>
    <phoneticPr fontId="2" type="noConversion"/>
  </si>
  <si>
    <t>测试序列分类</t>
    <phoneticPr fontId="2" type="noConversion"/>
  </si>
  <si>
    <t>测试版本</t>
    <phoneticPr fontId="2" type="noConversion"/>
  </si>
  <si>
    <t>F</t>
    <phoneticPr fontId="2" type="noConversion"/>
  </si>
  <si>
    <t>策    划 ：</t>
    <phoneticPr fontId="2" type="noConversion"/>
  </si>
  <si>
    <t>补充说明</t>
    <phoneticPr fontId="2" type="noConversion"/>
  </si>
  <si>
    <t>附录_工作检查点</t>
    <phoneticPr fontId="2" type="noConversion"/>
  </si>
  <si>
    <t>测试人员</t>
    <phoneticPr fontId="2" type="noConversion"/>
  </si>
  <si>
    <t>B</t>
    <phoneticPr fontId="2" type="noConversion"/>
  </si>
  <si>
    <t>/</t>
    <phoneticPr fontId="2" type="noConversion"/>
  </si>
  <si>
    <t>子功能名称</t>
    <phoneticPr fontId="6" type="noConversion"/>
  </si>
  <si>
    <t>案例编号</t>
    <phoneticPr fontId="6" type="noConversion"/>
  </si>
  <si>
    <t>预期结果</t>
    <phoneticPr fontId="6" type="noConversion"/>
  </si>
  <si>
    <t>程序自测</t>
    <phoneticPr fontId="6" type="noConversion"/>
  </si>
  <si>
    <t>策划评估</t>
    <phoneticPr fontId="6" type="noConversion"/>
  </si>
  <si>
    <r>
      <t>说明：添加或修改测试序列，请使用</t>
    </r>
    <r>
      <rPr>
        <sz val="10"/>
        <color rgb="FF0000FF"/>
        <rFont val="微软雅黑"/>
        <family val="2"/>
        <charset val="134"/>
      </rPr>
      <t>蓝字</t>
    </r>
    <r>
      <rPr>
        <sz val="10"/>
        <color theme="1"/>
        <rFont val="微软雅黑"/>
        <family val="2"/>
        <charset val="134"/>
      </rPr>
      <t>标注，有疑问的测试序列请使用</t>
    </r>
    <r>
      <rPr>
        <sz val="10"/>
        <color rgb="FFFF0000"/>
        <rFont val="微软雅黑"/>
        <family val="2"/>
        <charset val="134"/>
      </rPr>
      <t>红字</t>
    </r>
    <r>
      <rPr>
        <sz val="10"/>
        <color theme="1"/>
        <rFont val="微软雅黑"/>
        <family val="2"/>
        <charset val="134"/>
      </rPr>
      <t>标注。</t>
    </r>
    <phoneticPr fontId="2" type="noConversion"/>
  </si>
  <si>
    <r>
      <t>测试结果(</t>
    </r>
    <r>
      <rPr>
        <sz val="10"/>
        <color rgb="FF0000FF"/>
        <rFont val="微软雅黑"/>
        <family val="2"/>
        <charset val="134"/>
      </rPr>
      <t>P</t>
    </r>
    <r>
      <rPr>
        <sz val="10"/>
        <color theme="1"/>
        <rFont val="微软雅黑"/>
        <family val="2"/>
        <charset val="134"/>
      </rPr>
      <t>/</t>
    </r>
    <r>
      <rPr>
        <sz val="10"/>
        <color rgb="FFFF0000"/>
        <rFont val="微软雅黑"/>
        <family val="2"/>
        <charset val="134"/>
      </rPr>
      <t>F</t>
    </r>
    <r>
      <rPr>
        <sz val="10"/>
        <color theme="1"/>
        <rFont val="微软雅黑"/>
        <family val="2"/>
        <charset val="134"/>
      </rPr>
      <t>)</t>
    </r>
    <phoneticPr fontId="1" type="noConversion"/>
  </si>
  <si>
    <t>周学强</t>
    <phoneticPr fontId="1" type="noConversion"/>
  </si>
  <si>
    <t>一、入口&amp;出口</t>
    <phoneticPr fontId="6" type="noConversion"/>
  </si>
  <si>
    <t>刘庚/梁雁鹏</t>
    <phoneticPr fontId="1" type="noConversion"/>
  </si>
  <si>
    <t>许羽佳</t>
    <phoneticPr fontId="1" type="noConversion"/>
  </si>
  <si>
    <t>成功打开拍卖界面</t>
    <phoneticPr fontId="1" type="noConversion"/>
  </si>
  <si>
    <t>成功关闭拍卖界面</t>
    <phoneticPr fontId="1" type="noConversion"/>
  </si>
  <si>
    <t>MT-G-PM-001</t>
    <phoneticPr fontId="1" type="noConversion"/>
  </si>
  <si>
    <t>拍卖系统测试用例</t>
    <phoneticPr fontId="2" type="noConversion"/>
  </si>
  <si>
    <t>MT-G-PM-002</t>
  </si>
  <si>
    <t>MT-G-PM-003</t>
  </si>
  <si>
    <t>1、点击强化-打造-模具-获取途径-摆摊
2、查看</t>
    <phoneticPr fontId="1" type="noConversion"/>
  </si>
  <si>
    <t>MT-G-PM-004</t>
  </si>
  <si>
    <t>MT-G-PM-005</t>
  </si>
  <si>
    <t>MT-G-PM-006</t>
  </si>
  <si>
    <t>MT-G-PM-007</t>
  </si>
  <si>
    <t>MT-G-PM-008</t>
  </si>
  <si>
    <t>MT-G-PM-009</t>
  </si>
  <si>
    <t>MT-G-PM-010</t>
  </si>
  <si>
    <t>MT-G-PM-011</t>
  </si>
  <si>
    <t>MT-G-PM-012</t>
  </si>
  <si>
    <t>MT-G-PM-013</t>
  </si>
  <si>
    <t>MT-G-PM-014</t>
  </si>
  <si>
    <t>MT-G-PM-015</t>
  </si>
  <si>
    <t>MT-G-PM-016</t>
  </si>
  <si>
    <t>MT-G-PM-017</t>
  </si>
  <si>
    <t>MT-G-PM-018</t>
  </si>
  <si>
    <t>MT-G-PM-019</t>
  </si>
  <si>
    <t>MT-G-PM-020</t>
  </si>
  <si>
    <t>MT-G-PM-021</t>
  </si>
  <si>
    <t>MT-G-PM-022</t>
  </si>
  <si>
    <t>MT-G-PM-024</t>
  </si>
  <si>
    <t>MT-G-PM-025</t>
  </si>
  <si>
    <t>MT-G-PM-026</t>
  </si>
  <si>
    <t>MT-G-PM-027</t>
  </si>
  <si>
    <t>MT-G-PM-028</t>
  </si>
  <si>
    <t>MT-G-PM-029</t>
  </si>
  <si>
    <t>MT-G-PM-030</t>
  </si>
  <si>
    <t>MT-G-PM-031</t>
  </si>
  <si>
    <t>MT-G-PM-032</t>
  </si>
  <si>
    <t>MT-G-PM-033</t>
  </si>
  <si>
    <t>MT-G-PM-034</t>
  </si>
  <si>
    <t>MT-G-PM-035</t>
  </si>
  <si>
    <t>MT-G-PM-036</t>
  </si>
  <si>
    <t>MT-G-PM-037</t>
  </si>
  <si>
    <t>MT-G-PM-038</t>
  </si>
  <si>
    <t>MT-G-PM-039</t>
  </si>
  <si>
    <t>MT-G-PM-040</t>
  </si>
  <si>
    <t>MT-G-PM-041</t>
  </si>
  <si>
    <t>MT-G-PM-042</t>
  </si>
  <si>
    <t>MT-G-PM-043</t>
  </si>
  <si>
    <t>MT-G-PM-044</t>
  </si>
  <si>
    <t>MT-G-PM-045</t>
  </si>
  <si>
    <t>MT-G-PM-046</t>
  </si>
  <si>
    <t>MT-G-PM-047</t>
  </si>
  <si>
    <t>MT-G-PM-048</t>
  </si>
  <si>
    <t>MT-G-PM-049</t>
  </si>
  <si>
    <t>MT-G-PM-050</t>
  </si>
  <si>
    <t>MT-G-PM-051</t>
  </si>
  <si>
    <t>MT-G-PM-052</t>
  </si>
  <si>
    <t>MT-G-PM-053</t>
  </si>
  <si>
    <t>MT-G-PM-054</t>
  </si>
  <si>
    <t>MT-G-PM-055</t>
  </si>
  <si>
    <t>MT-G-PM-056</t>
  </si>
  <si>
    <t>MT-G-PM-057</t>
  </si>
  <si>
    <t>MT-G-PM-058</t>
  </si>
  <si>
    <t>MT-G-PM-059</t>
  </si>
  <si>
    <t>MT-G-PM-060</t>
  </si>
  <si>
    <t>MT-G-PM-061</t>
  </si>
  <si>
    <t>MT-G-PM-062</t>
  </si>
  <si>
    <t>MT-G-PM-063</t>
  </si>
  <si>
    <t>MT-G-PM-064</t>
  </si>
  <si>
    <t>MT-G-PM-065</t>
  </si>
  <si>
    <t>MT-G-PM-066</t>
  </si>
  <si>
    <t>MT-G-PM-067</t>
  </si>
  <si>
    <t>MT-G-PM-068</t>
  </si>
  <si>
    <t>MT-G-PM-069</t>
  </si>
  <si>
    <t>MT-G-PM-070</t>
  </si>
  <si>
    <t>MT-G-PM-071</t>
  </si>
  <si>
    <t>MT-G-PM-072</t>
  </si>
  <si>
    <t>MT-G-PM-073</t>
  </si>
  <si>
    <t>MT-G-PM-074</t>
  </si>
  <si>
    <t>MT-G-PM-075</t>
  </si>
  <si>
    <t>MT-G-PM-076</t>
  </si>
  <si>
    <t>MT-G-PM-077</t>
  </si>
  <si>
    <t>MT-G-PM-078</t>
  </si>
  <si>
    <t>MT-G-PM-079</t>
  </si>
  <si>
    <t>MT-G-PM-080</t>
  </si>
  <si>
    <t>MT-G-PM-081</t>
  </si>
  <si>
    <t>MT-G-PM-082</t>
  </si>
  <si>
    <t>MT-G-PM-083</t>
  </si>
  <si>
    <t>MT-G-PM-084</t>
  </si>
  <si>
    <t>MT-G-PM-085</t>
  </si>
  <si>
    <t>MT-G-PM-086</t>
  </si>
  <si>
    <t>MT-G-PM-087</t>
  </si>
  <si>
    <t>MT-G-PM-088</t>
  </si>
  <si>
    <t>MT-G-PM-089</t>
  </si>
  <si>
    <t>MT-G-PM-090</t>
  </si>
  <si>
    <t>MT-G-PM-091</t>
  </si>
  <si>
    <t>MT-G-PM-092</t>
  </si>
  <si>
    <t>MT-G-PM-093</t>
  </si>
  <si>
    <t>MT-G-PM-094</t>
  </si>
  <si>
    <t>MT-G-PM-095</t>
  </si>
  <si>
    <t>MT-G-PM-096</t>
  </si>
  <si>
    <t>MT-G-PM-097</t>
  </si>
  <si>
    <t>入口&amp;出口</t>
    <phoneticPr fontId="1" type="noConversion"/>
  </si>
  <si>
    <t>1、战斗状态下，点击右上角商城图标-点击商会界面拍卖分页按钮
2、查看</t>
    <phoneticPr fontId="1" type="noConversion"/>
  </si>
  <si>
    <t>二、UI界面</t>
    <phoneticPr fontId="2" type="noConversion"/>
  </si>
  <si>
    <t>三、拍卖功能玩法</t>
    <phoneticPr fontId="2" type="noConversion"/>
  </si>
  <si>
    <t>MT-G-PM-098</t>
  </si>
  <si>
    <t>MT-G-PM-099</t>
  </si>
  <si>
    <t>MT-G-PM-100</t>
  </si>
  <si>
    <t>MT-G-PM-101</t>
  </si>
  <si>
    <t>MT-G-PM-102</t>
  </si>
  <si>
    <t>MT-G-PM-103</t>
  </si>
  <si>
    <t>MT-G-PM-104</t>
  </si>
  <si>
    <t>MT-G-PM-105</t>
  </si>
  <si>
    <t>MT-G-PM-106</t>
  </si>
  <si>
    <t>MT-G-PM-107</t>
  </si>
  <si>
    <t>MT-G-PM-108</t>
  </si>
  <si>
    <t>MT-G-PM-109</t>
  </si>
  <si>
    <t>MT-G-PM-110</t>
  </si>
  <si>
    <t>MT-G-PM-111</t>
  </si>
  <si>
    <t>MT-G-PM-112</t>
  </si>
  <si>
    <t>MT-G-PM-113</t>
  </si>
  <si>
    <t>MT-G-PM-114</t>
  </si>
  <si>
    <t>MT-G-PM-115</t>
  </si>
  <si>
    <t>MT-G-PM-116</t>
  </si>
  <si>
    <t>MT-G-PM-117</t>
  </si>
  <si>
    <t>MT-G-PM-118</t>
  </si>
  <si>
    <t>1、打开拍卖界面
2、查看</t>
    <phoneticPr fontId="1" type="noConversion"/>
  </si>
  <si>
    <t>Title显示“拍卖”，文字显示正确，位置居中</t>
    <phoneticPr fontId="1" type="noConversion"/>
  </si>
  <si>
    <t>上架</t>
    <phoneticPr fontId="1" type="noConversion"/>
  </si>
  <si>
    <t>下架</t>
    <phoneticPr fontId="1" type="noConversion"/>
  </si>
  <si>
    <t>交易记录</t>
    <phoneticPr fontId="1" type="noConversion"/>
  </si>
  <si>
    <t>购买</t>
    <phoneticPr fontId="1" type="noConversion"/>
  </si>
  <si>
    <t>我要购买界面</t>
    <phoneticPr fontId="1" type="noConversion"/>
  </si>
  <si>
    <t>我要出售界面</t>
    <phoneticPr fontId="1" type="noConversion"/>
  </si>
  <si>
    <t>购买确认界面</t>
    <phoneticPr fontId="1" type="noConversion"/>
  </si>
  <si>
    <t>交易记录界面</t>
    <phoneticPr fontId="1" type="noConversion"/>
  </si>
  <si>
    <t>搜索界面</t>
    <phoneticPr fontId="1" type="noConversion"/>
  </si>
  <si>
    <t>兑换金币界面</t>
    <phoneticPr fontId="1" type="noConversion"/>
  </si>
  <si>
    <t>MT-G-PM-119</t>
  </si>
  <si>
    <t>MT-G-PM-120</t>
  </si>
  <si>
    <t>MT-G-PM-121</t>
  </si>
  <si>
    <t>MT-G-PM-122</t>
  </si>
  <si>
    <t>MT-G-PM-123</t>
  </si>
  <si>
    <t>MT-G-PM-124</t>
  </si>
  <si>
    <t>MT-G-PM-125</t>
  </si>
  <si>
    <t>MT-G-PM-126</t>
  </si>
  <si>
    <t>MT-G-PM-127</t>
  </si>
  <si>
    <t>MT-G-PM-128</t>
  </si>
  <si>
    <t>MT-G-PM-129</t>
  </si>
  <si>
    <t>MT-G-PM-130</t>
  </si>
  <si>
    <t>MT-G-PM-131</t>
  </si>
  <si>
    <t>MT-G-PM-132</t>
  </si>
  <si>
    <t>MT-G-PM-133</t>
  </si>
  <si>
    <t>MT-G-PM-134</t>
  </si>
  <si>
    <t>MT-G-PM-135</t>
  </si>
  <si>
    <t>MT-G-PM-136</t>
  </si>
  <si>
    <t>MT-G-PM-137</t>
  </si>
  <si>
    <t>MT-G-PM-138</t>
  </si>
  <si>
    <t>MT-G-PM-139</t>
  </si>
  <si>
    <t>MT-G-PM-140</t>
  </si>
  <si>
    <t>MT-G-PM-141</t>
  </si>
  <si>
    <t>MT-G-PM-142</t>
  </si>
  <si>
    <t>MT-G-PM-143</t>
  </si>
  <si>
    <t>MT-G-PM-144</t>
  </si>
  <si>
    <t>MT-G-PM-145</t>
  </si>
  <si>
    <t>MT-G-PM-146</t>
  </si>
  <si>
    <t>MT-G-PM-147</t>
  </si>
  <si>
    <t>MT-G-PM-148</t>
  </si>
  <si>
    <t>MT-G-PM-149</t>
  </si>
  <si>
    <t>MT-G-PM-150</t>
  </si>
  <si>
    <t>MT-G-PM-151</t>
  </si>
  <si>
    <t>MT-G-PM-152</t>
  </si>
  <si>
    <t>MT-G-PM-153</t>
  </si>
  <si>
    <t>MT-G-PM-154</t>
  </si>
  <si>
    <t>1、点击拍卖界面右上角【X】
2、查看</t>
    <phoneticPr fontId="1" type="noConversion"/>
  </si>
  <si>
    <t>1、点击紫罗兰-商会会长NPC-点击商会界面拍卖分页按钮
2、查看</t>
    <phoneticPr fontId="1" type="noConversion"/>
  </si>
  <si>
    <t>1、职业任务需要拍卖道具，寻路到商会会长NPC处后
2、查看</t>
    <phoneticPr fontId="1" type="noConversion"/>
  </si>
  <si>
    <t>1、玩家等级小于30级、点击“我要出售”分页按钮
2、查看</t>
    <phoneticPr fontId="1" type="noConversion"/>
  </si>
  <si>
    <t>1、玩家等级大于30级、点击“我要出售”分页按钮
2、查看</t>
    <phoneticPr fontId="1" type="noConversion"/>
  </si>
  <si>
    <t>1、玩家等级等于30级、点击“我要出售”分页按钮
2、查看</t>
    <phoneticPr fontId="1" type="noConversion"/>
  </si>
  <si>
    <t>系统提示：“等级小于30级，无法出售道具”</t>
    <phoneticPr fontId="1" type="noConversion"/>
  </si>
  <si>
    <t>我要出售界面没有打开</t>
    <phoneticPr fontId="1" type="noConversion"/>
  </si>
  <si>
    <t>成功打开我要出售界面</t>
    <phoneticPr fontId="1" type="noConversion"/>
  </si>
  <si>
    <t>1、玩家等级小于30级、点击购买拍卖道具、宠物、武器
2、查看</t>
    <phoneticPr fontId="1" type="noConversion"/>
  </si>
  <si>
    <t>购买不成功</t>
    <phoneticPr fontId="1" type="noConversion"/>
  </si>
  <si>
    <t>点击拍卖界面金币显示区域【+】</t>
    <phoneticPr fontId="1" type="noConversion"/>
  </si>
  <si>
    <t>打开兑换金币界面</t>
    <phoneticPr fontId="1" type="noConversion"/>
  </si>
  <si>
    <t>查看兑换金币界面</t>
    <phoneticPr fontId="1" type="noConversion"/>
  </si>
  <si>
    <t>右下部分依次显示【取消】【兑换】按钮</t>
    <phoneticPr fontId="1" type="noConversion"/>
  </si>
  <si>
    <t>左半部分显示为金币获取途径</t>
    <phoneticPr fontId="1" type="noConversion"/>
  </si>
  <si>
    <t>右半部分依次显示为我的符石、兑换数量、获得金币</t>
    <phoneticPr fontId="1" type="noConversion"/>
  </si>
  <si>
    <t>点击兑换数量输入框弹出输入小键盘</t>
    <phoneticPr fontId="1" type="noConversion"/>
  </si>
  <si>
    <t>Title显示兑换金币，标题位置正确、标题文字正确</t>
    <phoneticPr fontId="1" type="noConversion"/>
  </si>
  <si>
    <t>获取途径内容描述正确、布局合理</t>
    <phoneticPr fontId="1" type="noConversion"/>
  </si>
  <si>
    <t>右上角为【X】</t>
    <phoneticPr fontId="1" type="noConversion"/>
  </si>
  <si>
    <t>排序</t>
    <phoneticPr fontId="1" type="noConversion"/>
  </si>
  <si>
    <t>价格低到高</t>
  </si>
  <si>
    <t>价格低到高</t>
    <phoneticPr fontId="1" type="noConversion"/>
  </si>
  <si>
    <t>等级优先，同等级的情况下价格从低到高</t>
    <phoneticPr fontId="1" type="noConversion"/>
  </si>
  <si>
    <t>珍品装备的默认显示排序</t>
    <phoneticPr fontId="1" type="noConversion"/>
  </si>
  <si>
    <t>珍品宠物的默认显示排序</t>
    <phoneticPr fontId="1" type="noConversion"/>
  </si>
  <si>
    <t>坐骑的默认显示排序</t>
    <phoneticPr fontId="1" type="noConversion"/>
  </si>
  <si>
    <t>装备打造的默认显示排序</t>
    <phoneticPr fontId="1" type="noConversion"/>
  </si>
  <si>
    <t>奇珍异宝的默认显示排序</t>
    <phoneticPr fontId="1" type="noConversion"/>
  </si>
  <si>
    <t>价格从低到高，同价格等级高的优先</t>
    <phoneticPr fontId="1" type="noConversion"/>
  </si>
  <si>
    <t>等级优先同等级的情况下，价格低优先</t>
    <phoneticPr fontId="1" type="noConversion"/>
  </si>
  <si>
    <t>价格从低到高，同价格品质高的优先</t>
    <phoneticPr fontId="1" type="noConversion"/>
  </si>
  <si>
    <t>烹饪的默认显示排序</t>
    <phoneticPr fontId="1" type="noConversion"/>
  </si>
  <si>
    <t>药品的默认显示排序</t>
    <phoneticPr fontId="1" type="noConversion"/>
  </si>
  <si>
    <t>低级兽决的默认显示排序</t>
    <phoneticPr fontId="1" type="noConversion"/>
  </si>
  <si>
    <t>高级兽决的默认显示排序</t>
    <phoneticPr fontId="1" type="noConversion"/>
  </si>
  <si>
    <t>任务装备的默认显示排序</t>
    <phoneticPr fontId="1" type="noConversion"/>
  </si>
  <si>
    <t>附魔卷轴的默认显示排序</t>
    <phoneticPr fontId="1" type="noConversion"/>
  </si>
  <si>
    <t>模具的默认显示排序</t>
    <phoneticPr fontId="1" type="noConversion"/>
  </si>
  <si>
    <t>1、玩家上架珍品宠物后
2、查看</t>
    <phoneticPr fontId="1" type="noConversion"/>
  </si>
  <si>
    <t>1、玩家上架珍品装备后
2、查看</t>
    <phoneticPr fontId="1" type="noConversion"/>
  </si>
  <si>
    <t>1、玩家上架高级兽决后
2、查看</t>
    <phoneticPr fontId="1" type="noConversion"/>
  </si>
  <si>
    <t>1、玩家上架装备打造精铁后
2、查看</t>
    <phoneticPr fontId="1" type="noConversion"/>
  </si>
  <si>
    <t>1、玩家上架装备打造图纸后
2、查看</t>
    <phoneticPr fontId="1" type="noConversion"/>
  </si>
  <si>
    <t>弹出公式成功界面</t>
    <phoneticPr fontId="1" type="noConversion"/>
  </si>
  <si>
    <t>扣除摊位费正确（拍卖上架收取1%摊位费，最低1000银币，最高100000银币）</t>
    <phoneticPr fontId="1" type="noConversion"/>
  </si>
  <si>
    <t>珍品宠物出现在我的摊位界面</t>
    <phoneticPr fontId="1" type="noConversion"/>
  </si>
  <si>
    <t>公式倒计时显示07:59</t>
    <phoneticPr fontId="1" type="noConversion"/>
  </si>
  <si>
    <t>珍品装备出现在我的摊位界面</t>
    <phoneticPr fontId="1" type="noConversion"/>
  </si>
  <si>
    <t>珍品装备出现在公式物品界面</t>
    <phoneticPr fontId="1" type="noConversion"/>
  </si>
  <si>
    <t>我的摊位界面装备出售价格、装备图标和上架装备一样</t>
    <phoneticPr fontId="1" type="noConversion"/>
  </si>
  <si>
    <t>公式物品界面装备出售价格、装备图标和上架装备一样</t>
    <phoneticPr fontId="1" type="noConversion"/>
  </si>
  <si>
    <t>高级兽决出现在我的摊位界面</t>
    <phoneticPr fontId="1" type="noConversion"/>
  </si>
  <si>
    <t>高级兽决出现在公式物品界面</t>
    <phoneticPr fontId="1" type="noConversion"/>
  </si>
  <si>
    <t>打造图纸出现在我的摊位界面</t>
    <phoneticPr fontId="1" type="noConversion"/>
  </si>
  <si>
    <t>我的摊位界面打造图纸出售价格、打造图纸图标和上架打造图纸一样</t>
    <phoneticPr fontId="1" type="noConversion"/>
  </si>
  <si>
    <t>公式物品界面打造图纸出售价格、打造图纸图标和上架打造图纸一样</t>
    <phoneticPr fontId="1" type="noConversion"/>
  </si>
  <si>
    <t>我的摊位界面高级兽决出售价格、高级兽决图标和上架高级兽决一样</t>
    <phoneticPr fontId="1" type="noConversion"/>
  </si>
  <si>
    <t>公式物品界面高级兽决出售价格、高级兽决图标和上架高级兽决一样</t>
    <phoneticPr fontId="1" type="noConversion"/>
  </si>
  <si>
    <t>精铁出现在我的摊位界面</t>
    <phoneticPr fontId="1" type="noConversion"/>
  </si>
  <si>
    <t>我的摊位界面精铁出售价格、精铁图标和上架精铁一样</t>
    <phoneticPr fontId="1" type="noConversion"/>
  </si>
  <si>
    <t>公式物品界面精铁出售价格、精铁图标和上架精铁一样</t>
    <phoneticPr fontId="1" type="noConversion"/>
  </si>
  <si>
    <t>精铁出现在公式物品界面</t>
    <phoneticPr fontId="1" type="noConversion"/>
  </si>
  <si>
    <t>打造图纸出现在公式物品界面</t>
    <phoneticPr fontId="1" type="noConversion"/>
  </si>
  <si>
    <t>1、玩家上架坐骑后
2、查看</t>
    <phoneticPr fontId="1" type="noConversion"/>
  </si>
  <si>
    <t>坐骑出现在我的摊位界面</t>
    <phoneticPr fontId="1" type="noConversion"/>
  </si>
  <si>
    <t>我的摊位界面坐骑出售价格、坐骑图标和上架坐骑一样</t>
    <phoneticPr fontId="1" type="noConversion"/>
  </si>
  <si>
    <t>公式物品界面坐骑出售价格、坐骑图标和上架坐骑一样</t>
    <phoneticPr fontId="1" type="noConversion"/>
  </si>
  <si>
    <t>坐骑出现在公式物品界面</t>
    <phoneticPr fontId="1" type="noConversion"/>
  </si>
  <si>
    <t>我的摊位界面宠物出售价格、宠物图标和上架宠物一样</t>
    <phoneticPr fontId="1" type="noConversion"/>
  </si>
  <si>
    <t>公式物品界面宠物出售价格、宠物图标和上架宠物一样</t>
    <phoneticPr fontId="1" type="noConversion"/>
  </si>
  <si>
    <t>1、玩家上架任务装备后
2、查看</t>
    <phoneticPr fontId="1" type="noConversion"/>
  </si>
  <si>
    <t>1、玩家上架低级兽决后
2、查看</t>
    <phoneticPr fontId="1" type="noConversion"/>
  </si>
  <si>
    <t>1、玩家上架药品后
2、查看</t>
    <phoneticPr fontId="1" type="noConversion"/>
  </si>
  <si>
    <t>1、玩家上架烹饪后
2、查看</t>
    <phoneticPr fontId="1" type="noConversion"/>
  </si>
  <si>
    <t>1、玩家上架模具后
2、查看</t>
    <phoneticPr fontId="1" type="noConversion"/>
  </si>
  <si>
    <t>1、玩家上架附魔卷轴后
2、查看</t>
    <phoneticPr fontId="1" type="noConversion"/>
  </si>
  <si>
    <t>1、玩家上架奇珍异宝后
2、查看</t>
    <phoneticPr fontId="1" type="noConversion"/>
  </si>
  <si>
    <t>MT-G-PM-155</t>
  </si>
  <si>
    <t>MT-G-PM-156</t>
  </si>
  <si>
    <t>MT-G-PM-157</t>
  </si>
  <si>
    <t>MT-G-PM-158</t>
  </si>
  <si>
    <t>MT-G-PM-159</t>
  </si>
  <si>
    <t>MT-G-PM-160</t>
  </si>
  <si>
    <t>MT-G-PM-161</t>
  </si>
  <si>
    <t>MT-G-PM-162</t>
  </si>
  <si>
    <t>MT-G-PM-163</t>
  </si>
  <si>
    <t>MT-G-PM-164</t>
  </si>
  <si>
    <t>MT-G-PM-165</t>
  </si>
  <si>
    <t>MT-G-PM-166</t>
  </si>
  <si>
    <t>MT-G-PM-167</t>
  </si>
  <si>
    <t>MT-G-PM-168</t>
  </si>
  <si>
    <t>MT-G-PM-169</t>
  </si>
  <si>
    <t>MT-G-PM-170</t>
  </si>
  <si>
    <t>MT-G-PM-171</t>
  </si>
  <si>
    <t>MT-G-PM-172</t>
  </si>
  <si>
    <t>MT-G-PM-173</t>
  </si>
  <si>
    <t>MT-G-PM-174</t>
  </si>
  <si>
    <t>MT-G-PM-175</t>
  </si>
  <si>
    <t>MT-G-PM-176</t>
  </si>
  <si>
    <t>MT-G-PM-177</t>
  </si>
  <si>
    <t>MT-G-PM-178</t>
  </si>
  <si>
    <t>MT-G-PM-179</t>
  </si>
  <si>
    <t>MT-G-PM-180</t>
  </si>
  <si>
    <t>MT-G-PM-181</t>
  </si>
  <si>
    <t>MT-G-PM-182</t>
  </si>
  <si>
    <t>MT-G-PM-183</t>
  </si>
  <si>
    <t>MT-G-PM-184</t>
  </si>
  <si>
    <t>MT-G-PM-185</t>
  </si>
  <si>
    <t>MT-G-PM-186</t>
  </si>
  <si>
    <t>MT-G-PM-187</t>
  </si>
  <si>
    <t>MT-G-PM-188</t>
  </si>
  <si>
    <t>MT-G-PM-189</t>
  </si>
  <si>
    <t>MT-G-PM-199</t>
  </si>
  <si>
    <t>MT-G-PM-200</t>
  </si>
  <si>
    <t>MT-G-PM-201</t>
  </si>
  <si>
    <t>MT-G-PM-202</t>
  </si>
  <si>
    <t>MT-G-PM-203</t>
  </si>
  <si>
    <t>MT-G-PM-204</t>
  </si>
  <si>
    <t>MT-G-PM-205</t>
  </si>
  <si>
    <t>MT-G-PM-206</t>
  </si>
  <si>
    <t>MT-G-PM-207</t>
  </si>
  <si>
    <t>MT-G-PM-208</t>
  </si>
  <si>
    <t>MT-G-PM-209</t>
  </si>
  <si>
    <t>MT-G-PM-210</t>
  </si>
  <si>
    <t>MT-G-PM-211</t>
  </si>
  <si>
    <t>MT-G-PM-212</t>
  </si>
  <si>
    <t>MT-G-PM-213</t>
  </si>
  <si>
    <t>MT-G-PM-214</t>
  </si>
  <si>
    <t>弹出上架成功界面</t>
    <phoneticPr fontId="1" type="noConversion"/>
  </si>
  <si>
    <t>任务装备出现在我的摊位界面</t>
    <phoneticPr fontId="1" type="noConversion"/>
  </si>
  <si>
    <t>我要购买界面任务装备出售价格、装备名字、属性、等级和上架任务装备一样</t>
    <phoneticPr fontId="1" type="noConversion"/>
  </si>
  <si>
    <t>任务装备出现在我要购买界面</t>
    <phoneticPr fontId="1" type="noConversion"/>
  </si>
  <si>
    <t>我的摊位界面任务装备出售价格、装备名字、属性、等级和上架任务装备一样</t>
    <phoneticPr fontId="1" type="noConversion"/>
  </si>
  <si>
    <t>奇珍异宝出现在我的摊位界面</t>
    <phoneticPr fontId="1" type="noConversion"/>
  </si>
  <si>
    <t>奇珍异宝出现在我要购买界面</t>
    <phoneticPr fontId="1" type="noConversion"/>
  </si>
  <si>
    <t>附魔卷轴出现在我的摊位界面</t>
    <phoneticPr fontId="1" type="noConversion"/>
  </si>
  <si>
    <t>附魔卷轴出现在我要购买界面</t>
    <phoneticPr fontId="1" type="noConversion"/>
  </si>
  <si>
    <t>模具出现在我的摊位界面</t>
    <phoneticPr fontId="1" type="noConversion"/>
  </si>
  <si>
    <t>模具出现在我要购买界面</t>
    <phoneticPr fontId="1" type="noConversion"/>
  </si>
  <si>
    <t>烹饪出现在我的摊位界面</t>
    <phoneticPr fontId="1" type="noConversion"/>
  </si>
  <si>
    <t>烹饪出现在我要购买界面</t>
    <phoneticPr fontId="1" type="noConversion"/>
  </si>
  <si>
    <t>我的摊位界面烹饪出售价格、名字、属性、等级和上架烹饪一样</t>
    <phoneticPr fontId="1" type="noConversion"/>
  </si>
  <si>
    <t>我要购买界面烹饪出售价格、名字、属性、等级和上架烹饪一样</t>
    <phoneticPr fontId="1" type="noConversion"/>
  </si>
  <si>
    <t>我的摊位界面模具出售价格、名字、属性、等级和上架模具一样</t>
    <phoneticPr fontId="1" type="noConversion"/>
  </si>
  <si>
    <t>我要购买界面模具出售价格、装备名字、属性、等级和上架模具一样</t>
    <phoneticPr fontId="1" type="noConversion"/>
  </si>
  <si>
    <t>我的摊位界面附魔卷轴出售价格、名字、属性、等级和上架附魔卷轴一样</t>
    <phoneticPr fontId="1" type="noConversion"/>
  </si>
  <si>
    <t>我要购买界面附魔卷轴出售价格、名字、属性、等级和上架附魔卷轴一样</t>
    <phoneticPr fontId="1" type="noConversion"/>
  </si>
  <si>
    <t>我的摊位界面奇珍异宝出售价格、名字、属性、等级和上架奇珍异宝一样</t>
    <phoneticPr fontId="1" type="noConversion"/>
  </si>
  <si>
    <t>我要购买界面奇珍异宝出售价格、名字、属性、等级和上架奇珍异宝一样</t>
    <phoneticPr fontId="1" type="noConversion"/>
  </si>
  <si>
    <t>低级兽决出现在我的摊位界面</t>
    <phoneticPr fontId="1" type="noConversion"/>
  </si>
  <si>
    <t>低级兽决备出现在我要购买界面</t>
    <phoneticPr fontId="1" type="noConversion"/>
  </si>
  <si>
    <t>我要购买界面低级兽决出售价格、装备名字、属性、等级和上架低级兽决一样</t>
    <phoneticPr fontId="1" type="noConversion"/>
  </si>
  <si>
    <t>我的摊位界面低级兽决出售价格、装备名字、属性、等级和上架低级兽决一样</t>
    <phoneticPr fontId="1" type="noConversion"/>
  </si>
  <si>
    <t>药品出现在我的摊位界面</t>
    <phoneticPr fontId="1" type="noConversion"/>
  </si>
  <si>
    <t>药品出现在我要购买界面</t>
    <phoneticPr fontId="1" type="noConversion"/>
  </si>
  <si>
    <t>我的摊位界面药品出售价格、装备名字、属性、等级和上架药品一样</t>
    <phoneticPr fontId="1" type="noConversion"/>
  </si>
  <si>
    <t>我要购买界面药品出售价格、装备名字、属性、等级和上药品一样</t>
    <phoneticPr fontId="1" type="noConversion"/>
  </si>
  <si>
    <t>奇珍异宝可叠加出售</t>
    <phoneticPr fontId="1" type="noConversion"/>
  </si>
  <si>
    <t>任务装备基础价格正确</t>
    <phoneticPr fontId="1" type="noConversion"/>
  </si>
  <si>
    <t>任务装备推荐价格范围（50%-150%）正确</t>
    <phoneticPr fontId="1" type="noConversion"/>
  </si>
  <si>
    <t>低级兽决基础价格正确</t>
    <phoneticPr fontId="1" type="noConversion"/>
  </si>
  <si>
    <t>低级兽决推荐价格范围（50%-150%）正确</t>
    <phoneticPr fontId="1" type="noConversion"/>
  </si>
  <si>
    <t>药品基础价格正确</t>
    <phoneticPr fontId="1" type="noConversion"/>
  </si>
  <si>
    <t>药品推荐价格范围（50%-150%）正确</t>
    <phoneticPr fontId="1" type="noConversion"/>
  </si>
  <si>
    <t>烹饪基础价格正确</t>
    <phoneticPr fontId="1" type="noConversion"/>
  </si>
  <si>
    <t>烹饪推荐价格范围（50%-150%）正确</t>
    <phoneticPr fontId="1" type="noConversion"/>
  </si>
  <si>
    <t>模具基础价格正确</t>
    <phoneticPr fontId="1" type="noConversion"/>
  </si>
  <si>
    <t>模具推荐价格范围（50%-150%）正确</t>
    <phoneticPr fontId="1" type="noConversion"/>
  </si>
  <si>
    <t>附魔卷轴基础价格正确</t>
    <phoneticPr fontId="1" type="noConversion"/>
  </si>
  <si>
    <t>附魔卷轴推荐价格范围（50%-150%）正确</t>
    <phoneticPr fontId="1" type="noConversion"/>
  </si>
  <si>
    <t>奇珍异宝基础价格正确</t>
    <phoneticPr fontId="1" type="noConversion"/>
  </si>
  <si>
    <t>奇珍异宝推荐价格范围（50%-150%）正确</t>
    <phoneticPr fontId="1" type="noConversion"/>
  </si>
  <si>
    <t>MT-G-PM-215</t>
  </si>
  <si>
    <t>MT-G-PM-216</t>
  </si>
  <si>
    <t>MT-G-PM-217</t>
  </si>
  <si>
    <t>MT-G-PM-218</t>
  </si>
  <si>
    <t>MT-G-PM-219</t>
  </si>
  <si>
    <t>MT-G-PM-220</t>
  </si>
  <si>
    <t>MT-G-PM-221</t>
  </si>
  <si>
    <t>MT-G-PM-222</t>
  </si>
  <si>
    <t>1、玩家购买等级超过自身10级的宠物
2、查看</t>
    <phoneticPr fontId="1" type="noConversion"/>
  </si>
  <si>
    <t>购买成功</t>
    <phoneticPr fontId="1" type="noConversion"/>
  </si>
  <si>
    <t>宠物进入到宠物栏中</t>
    <phoneticPr fontId="1" type="noConversion"/>
  </si>
  <si>
    <t>1、玩家宠物栏已满
2、下架宠物
3、查看</t>
    <phoneticPr fontId="1" type="noConversion"/>
  </si>
  <si>
    <t>1、玩家宠物栏已满
2、购买宠物
3、查看</t>
    <phoneticPr fontId="1" type="noConversion"/>
  </si>
  <si>
    <t>1、战斗中上架道具后
2、下线再上线
3、查看</t>
    <phoneticPr fontId="1" type="noConversion"/>
  </si>
  <si>
    <t>我的摊位界面道具依然存在</t>
    <phoneticPr fontId="1" type="noConversion"/>
  </si>
  <si>
    <t>1、玩家A摆摊上架99个魔法龙鳞
2、玩家B、C同时对魔法龙鳞道具打开购买界面
3、选取购买数量都为50
4、玩家B先购买，玩家C后购买
5、查看</t>
    <phoneticPr fontId="1" type="noConversion"/>
  </si>
  <si>
    <t>玩家B购买50魔法龙鳞成功</t>
    <phoneticPr fontId="1" type="noConversion"/>
  </si>
  <si>
    <t>玩家C购买50魔法龙鳞成功</t>
    <phoneticPr fontId="1" type="noConversion"/>
  </si>
  <si>
    <t>玩家C收到系统提示：“道具数量已变更，请刷新后重新购买”</t>
    <phoneticPr fontId="1" type="noConversion"/>
  </si>
  <si>
    <t>1、玩家打开摆摊我要出售界面
2、玩家自己上架的道具被购买后的一瞬间断线重连
3、查看</t>
    <phoneticPr fontId="1" type="noConversion"/>
  </si>
  <si>
    <t>断线重连重新连接上后摊位刷新</t>
    <phoneticPr fontId="1" type="noConversion"/>
  </si>
  <si>
    <t>1、玩家拍卖上架道具后
2、下线再上线
3、查看</t>
    <phoneticPr fontId="1" type="noConversion"/>
  </si>
  <si>
    <t>1、玩家拍卖上架道具后
2、服务器重启，进入游戏
3、查看</t>
    <phoneticPr fontId="1" type="noConversion"/>
  </si>
  <si>
    <t>1、玩家拍卖上架道具后
2、服务器崩溃重启，进入游戏
3、查看</t>
    <phoneticPr fontId="1" type="noConversion"/>
  </si>
  <si>
    <t>1、玩家拍卖上架道具后
2、服务器宕机重启，进入游戏
3、查看</t>
    <phoneticPr fontId="1" type="noConversion"/>
  </si>
  <si>
    <t>1、玩家拍卖购买道具成功后
2、下线再上线
3、查看</t>
    <phoneticPr fontId="1" type="noConversion"/>
  </si>
  <si>
    <t>1、玩家拍卖购买道具成功后
2、服务器重启，进入游戏
3、查看</t>
    <phoneticPr fontId="1" type="noConversion"/>
  </si>
  <si>
    <t>1、玩家拍卖购买道具成功后
2、服务器崩溃重启，进入游戏
3、查看</t>
    <phoneticPr fontId="1" type="noConversion"/>
  </si>
  <si>
    <t>1、玩家拍卖购买道具成功后
2、服务器宕机重启，进入游戏
3、查看</t>
    <phoneticPr fontId="1" type="noConversion"/>
  </si>
  <si>
    <t>购买的道具依然属于玩家</t>
    <phoneticPr fontId="1" type="noConversion"/>
  </si>
  <si>
    <t>购买宠物不成功</t>
    <phoneticPr fontId="1" type="noConversion"/>
  </si>
  <si>
    <t>系统提示：“宠物栏已满，无法购买宠物”</t>
    <phoneticPr fontId="1" type="noConversion"/>
  </si>
  <si>
    <t>下架宠物不成功</t>
    <phoneticPr fontId="1" type="noConversion"/>
  </si>
  <si>
    <t>系统提示：“宠物栏已满，无法下架宠物”</t>
    <phoneticPr fontId="1" type="noConversion"/>
  </si>
  <si>
    <t>MT-G-PM-223</t>
  </si>
  <si>
    <t>MT-G-PM-224</t>
  </si>
  <si>
    <t>MT-G-PM-225</t>
  </si>
  <si>
    <t>MT-G-PM-226</t>
  </si>
  <si>
    <t>MT-G-PM-227</t>
  </si>
  <si>
    <t>MT-G-PM-228</t>
  </si>
  <si>
    <t>MT-G-PM-229</t>
  </si>
  <si>
    <t>MT-G-PM-230</t>
  </si>
  <si>
    <t>MT-G-PM-231</t>
  </si>
  <si>
    <t>MT-G-PM-232</t>
  </si>
  <si>
    <t>MT-G-PM-233</t>
  </si>
  <si>
    <t>MT-G-PM-234</t>
  </si>
  <si>
    <t>MT-G-PM-235</t>
  </si>
  <si>
    <t>MT-G-PM-236</t>
  </si>
  <si>
    <t>MT-G-PM-237</t>
  </si>
  <si>
    <t>MT-G-PM-238</t>
  </si>
  <si>
    <t>MT-G-PM-239</t>
  </si>
  <si>
    <t>MT-G-PM-240</t>
  </si>
  <si>
    <t>MT-G-PM-241</t>
  </si>
  <si>
    <t>MT-G-PM-242</t>
  </si>
  <si>
    <t>MT-G-PM-243</t>
  </si>
  <si>
    <t>MT-G-PM-244</t>
  </si>
  <si>
    <t>MT-G-PM-245</t>
  </si>
  <si>
    <t>MT-G-PM-246</t>
  </si>
  <si>
    <t>MT-G-PM-247</t>
  </si>
  <si>
    <t>MT-G-PM-248</t>
  </si>
  <si>
    <t>MT-G-PM-249</t>
  </si>
  <si>
    <t>MT-G-PM-251</t>
  </si>
  <si>
    <t>MT-G-PM-252</t>
  </si>
  <si>
    <t>MT-G-PM-253</t>
  </si>
  <si>
    <t>MT-G-PM-254</t>
  </si>
  <si>
    <t>MT-G-PM-255</t>
  </si>
  <si>
    <t>MT-G-PM-256</t>
  </si>
  <si>
    <t>MT-G-PM-257</t>
  </si>
  <si>
    <t>MT-G-PM-258</t>
  </si>
  <si>
    <t>MT-G-PM-261</t>
  </si>
  <si>
    <t>MT-G-PM-262</t>
  </si>
  <si>
    <t>MT-G-PM-263</t>
  </si>
  <si>
    <t>MT-G-PM-264</t>
  </si>
  <si>
    <t>MT-G-PM-265</t>
  </si>
  <si>
    <t>MT-G-PM-266</t>
  </si>
  <si>
    <t>MT-G-PM-267</t>
  </si>
  <si>
    <t>MT-G-PM-268</t>
  </si>
  <si>
    <t>MT-G-PM-269</t>
  </si>
  <si>
    <t>MT-G-PM-271</t>
  </si>
  <si>
    <t>MT-G-PM-272</t>
  </si>
  <si>
    <t>MT-G-PM-273</t>
  </si>
  <si>
    <t>MT-G-PM-274</t>
  </si>
  <si>
    <t>MT-G-PM-275</t>
  </si>
  <si>
    <t>MT-G-PM-276</t>
  </si>
  <si>
    <t>MT-G-PM-277</t>
  </si>
  <si>
    <t>MT-G-PM-278</t>
  </si>
  <si>
    <t>MT-G-PM-279</t>
  </si>
  <si>
    <t>MT-G-PM-281</t>
  </si>
  <si>
    <t>MT-G-PM-282</t>
  </si>
  <si>
    <t>MT-G-PM-283</t>
  </si>
  <si>
    <t>MT-G-PM-284</t>
  </si>
  <si>
    <t>MT-G-PM-285</t>
  </si>
  <si>
    <t>MT-G-PM-286</t>
  </si>
  <si>
    <t>MT-G-PM-287</t>
  </si>
  <si>
    <t>MT-G-PM-288</t>
  </si>
  <si>
    <t>MT-G-PM-290</t>
  </si>
  <si>
    <t>MT-G-PM-291</t>
  </si>
  <si>
    <t>MT-G-PM-292</t>
  </si>
  <si>
    <t>MT-G-PM-293</t>
  </si>
  <si>
    <t>MT-G-PM-294</t>
  </si>
  <si>
    <t>MT-G-PM-295</t>
  </si>
  <si>
    <t>MT-G-PM-296</t>
  </si>
  <si>
    <t>道具依然处于上架状态</t>
    <phoneticPr fontId="1" type="noConversion"/>
  </si>
  <si>
    <t>特殊操作</t>
    <phoneticPr fontId="1" type="noConversion"/>
  </si>
  <si>
    <t>DB存储</t>
    <phoneticPr fontId="1" type="noConversion"/>
  </si>
  <si>
    <t>价格涨跌</t>
    <phoneticPr fontId="1" type="noConversion"/>
  </si>
  <si>
    <t>四、价格涨跌</t>
    <phoneticPr fontId="2" type="noConversion"/>
  </si>
  <si>
    <t>系统提示：”30级开放拍卖功能，请尽快升级哦“</t>
    <phoneticPr fontId="1" type="noConversion"/>
  </si>
  <si>
    <t>系统提示：“购买成功”</t>
    <phoneticPr fontId="1" type="noConversion"/>
  </si>
  <si>
    <t>扣除货币数量正确</t>
    <phoneticPr fontId="1" type="noConversion"/>
  </si>
  <si>
    <t>货币扣除数量正确</t>
    <phoneticPr fontId="1" type="noConversion"/>
  </si>
  <si>
    <t>1、玩家金币足够
2、购买等级不超过自身10级的宠物
3、查看</t>
    <phoneticPr fontId="1" type="noConversion"/>
  </si>
  <si>
    <t>1、玩家金币不足
2、购买等级不超过自身10级的宠物
3、查看</t>
    <phoneticPr fontId="1" type="noConversion"/>
  </si>
  <si>
    <t>弹出消费确认界面</t>
    <phoneticPr fontId="1" type="noConversion"/>
  </si>
  <si>
    <t>1、玩家等级小于35级大于30级
2、购买宠物
3、查看</t>
    <phoneticPr fontId="1" type="noConversion"/>
  </si>
  <si>
    <t>系统提示：“35级以上才能购买珍品宠物”</t>
    <phoneticPr fontId="1" type="noConversion"/>
  </si>
  <si>
    <t>购买失败</t>
    <phoneticPr fontId="1" type="noConversion"/>
  </si>
  <si>
    <t>系统提示：“不能购买参战等级超过自己10级的宠物”</t>
    <phoneticPr fontId="1" type="noConversion"/>
  </si>
  <si>
    <t>查看拍卖我要出售分页界面</t>
    <phoneticPr fontId="1" type="noConversion"/>
  </si>
  <si>
    <t>摊位标题：“我的摊位x/8”</t>
    <phoneticPr fontId="1" type="noConversion"/>
  </si>
  <si>
    <t>摊位显示格式：4行，每行2个</t>
    <phoneticPr fontId="1" type="noConversion"/>
  </si>
  <si>
    <t>商品显示格式：商品图标+角标+商品名称+商品售价</t>
    <phoneticPr fontId="1" type="noConversion"/>
  </si>
  <si>
    <t>商品售价：货币图标+货币值（总价）</t>
    <phoneticPr fontId="1" type="noConversion"/>
  </si>
  <si>
    <t>道具出售时间结束，道具右上角显示“已过期”角标</t>
    <phoneticPr fontId="1" type="noConversion"/>
  </si>
  <si>
    <t>道具处于公示期，道具右上角显示“公式中”角标</t>
    <phoneticPr fontId="1" type="noConversion"/>
  </si>
  <si>
    <t>左上部分依次显示分页按钮：【我要购买】【我要出售】【公式物品】</t>
    <phoneticPr fontId="1" type="noConversion"/>
  </si>
  <si>
    <t>右上部分显示按钮：【交易记录】</t>
    <phoneticPr fontId="1" type="noConversion"/>
  </si>
  <si>
    <t>分页按钮下方显示摊位显示区域</t>
    <phoneticPr fontId="1" type="noConversion"/>
  </si>
  <si>
    <t>摊位显示区域</t>
    <phoneticPr fontId="1" type="noConversion"/>
  </si>
  <si>
    <t>可摆摊出售区域下面从左到右依次显示按钮【道具】【宠物】</t>
    <phoneticPr fontId="1" type="noConversion"/>
  </si>
  <si>
    <t>1、非战斗状态下，点击主界面商城图标-点击商会界面拍卖分页按钮
2、查看</t>
    <phoneticPr fontId="1" type="noConversion"/>
  </si>
  <si>
    <t>成功打开拍卖界面</t>
    <phoneticPr fontId="1" type="noConversion"/>
  </si>
  <si>
    <t>成功打开拍卖界面</t>
    <phoneticPr fontId="1" type="noConversion"/>
  </si>
  <si>
    <t>1、点击背包中可拍卖出售道具Tips中的【拍卖出售】按钮
2、查看</t>
    <phoneticPr fontId="1" type="noConversion"/>
  </si>
  <si>
    <t>打开道具上架界面</t>
    <phoneticPr fontId="1" type="noConversion"/>
  </si>
  <si>
    <t>卖出</t>
    <phoneticPr fontId="1" type="noConversion"/>
  </si>
  <si>
    <t>屏幕中间播放金币进入背包的动画</t>
    <phoneticPr fontId="1" type="noConversion"/>
  </si>
  <si>
    <t>1、玩家卖出珍品宠物
2、查看</t>
    <phoneticPr fontId="1" type="noConversion"/>
  </si>
  <si>
    <t>摊位刷新，已出售珍品宠物消失</t>
    <phoneticPr fontId="1" type="noConversion"/>
  </si>
  <si>
    <t>玩家获得金币数量与卖出的价格税后金币数量一样</t>
    <phoneticPr fontId="1" type="noConversion"/>
  </si>
  <si>
    <t>好友系统消息提示：“恭喜！您出售的珍品宠物已经被Idxxx购买。 你获得xx金币   今日税率：10%”</t>
    <phoneticPr fontId="1" type="noConversion"/>
  </si>
  <si>
    <t>【交易按钮】下方显示摆摊道具背包区域</t>
    <phoneticPr fontId="1" type="noConversion"/>
  </si>
  <si>
    <t>1、玩家卖出珍品装备
2、查看</t>
    <phoneticPr fontId="1" type="noConversion"/>
  </si>
  <si>
    <t>1、玩家卖出任务装备
2、查看</t>
    <phoneticPr fontId="1" type="noConversion"/>
  </si>
  <si>
    <t>1、玩家卖出高级兽决
2、查看</t>
    <phoneticPr fontId="1" type="noConversion"/>
  </si>
  <si>
    <t>1、玩家卖出低级兽决
2、查看</t>
    <phoneticPr fontId="1" type="noConversion"/>
  </si>
  <si>
    <t>1、玩家卖出珍品模具
2、查看</t>
    <phoneticPr fontId="1" type="noConversion"/>
  </si>
  <si>
    <t>1、玩家卖出珍品附魔卷轴
2、查看</t>
    <phoneticPr fontId="1" type="noConversion"/>
  </si>
  <si>
    <t>1、玩家卖出奇珍异宝
2、查看</t>
    <phoneticPr fontId="1" type="noConversion"/>
  </si>
  <si>
    <t>1、玩家卖出装备打造
2、查看</t>
    <phoneticPr fontId="1" type="noConversion"/>
  </si>
  <si>
    <t>1、玩家卖出坐骑
2、查看</t>
    <phoneticPr fontId="1" type="noConversion"/>
  </si>
  <si>
    <t>摊位刷新，已出售坐骑消失</t>
    <phoneticPr fontId="1" type="noConversion"/>
  </si>
  <si>
    <t>好友系统消息提示：“恭喜！您出售的坐骑已经被Idxxx购买。 你获得xx金币   今日税率：10%”</t>
    <phoneticPr fontId="1" type="noConversion"/>
  </si>
  <si>
    <t>摊位刷新，已出售装备打造消失</t>
    <phoneticPr fontId="1" type="noConversion"/>
  </si>
  <si>
    <t>好友系统消息提示：“恭喜！您出售的装备打造已经被Idxxx购买。 你获得xx金币   今日税率：10%”</t>
    <phoneticPr fontId="1" type="noConversion"/>
  </si>
  <si>
    <t>玩家ID显示正确</t>
    <phoneticPr fontId="1" type="noConversion"/>
  </si>
  <si>
    <t>装备名称显示正确</t>
    <phoneticPr fontId="1" type="noConversion"/>
  </si>
  <si>
    <t>税后金币获得正确</t>
    <phoneticPr fontId="1" type="noConversion"/>
  </si>
  <si>
    <t>摊位刷新，已出售奇珍异宝消失</t>
    <phoneticPr fontId="1" type="noConversion"/>
  </si>
  <si>
    <t>好友系统消息提示：“恭喜！您出售的奇珍异宝已经被Idxxx购买。 你获得xx金币   今日税率：10%”</t>
    <phoneticPr fontId="1" type="noConversion"/>
  </si>
  <si>
    <t>MT-G-PM-250</t>
  </si>
  <si>
    <t>MT-G-PM-260</t>
  </si>
  <si>
    <t>MT-G-PM-270</t>
  </si>
  <si>
    <t>MT-G-PM-280</t>
  </si>
  <si>
    <t>MT-G-PM-289</t>
  </si>
  <si>
    <t>摊位刷新，已出售附魔卷轴消失</t>
    <phoneticPr fontId="1" type="noConversion"/>
  </si>
  <si>
    <t>好友系统消息提示：“恭喜！您出售的附魔卷轴已经被Idxxx购买。 你获得xx金币   今日税率：10%”</t>
    <phoneticPr fontId="1" type="noConversion"/>
  </si>
  <si>
    <t>摊位刷新，已出售珍品模具消失</t>
    <phoneticPr fontId="1" type="noConversion"/>
  </si>
  <si>
    <t>好友系统消息提示：“恭喜！您出售的珍品模具已经被Idxxx购买。 你获得xx金币   今日税率：10%”</t>
    <phoneticPr fontId="1" type="noConversion"/>
  </si>
  <si>
    <t>1、玩家卖出烹饪
2、查看</t>
    <phoneticPr fontId="1" type="noConversion"/>
  </si>
  <si>
    <t>1、玩家卖出药品
2、查看</t>
    <phoneticPr fontId="1" type="noConversion"/>
  </si>
  <si>
    <t>摊位刷新，已出售烹饪消失</t>
    <phoneticPr fontId="1" type="noConversion"/>
  </si>
  <si>
    <t>好友系统消息提示：“恭喜！您出售的烹饪已经被Idxxx购买。 你获得xx金币   今日税率：10%”</t>
    <phoneticPr fontId="1" type="noConversion"/>
  </si>
  <si>
    <t>摊位刷新，已出售低级兽决消失</t>
    <phoneticPr fontId="1" type="noConversion"/>
  </si>
  <si>
    <t>好友系统消息提示：“恭喜！您出售的低级兽决已经被Idxxx购买。 你获得xx金币   今日税率：10%”</t>
    <phoneticPr fontId="1" type="noConversion"/>
  </si>
  <si>
    <t>摊位刷新，已出售药品消失</t>
    <phoneticPr fontId="1" type="noConversion"/>
  </si>
  <si>
    <t>好友系统消息提示：“恭喜！您出售的药品已经被Idxxx购买。 你获得xx金币   今日税率：10%”</t>
    <phoneticPr fontId="1" type="noConversion"/>
  </si>
  <si>
    <t>摊位刷新，已出售高级兽决消失</t>
    <phoneticPr fontId="1" type="noConversion"/>
  </si>
  <si>
    <t>好友系统消息提示：“恭喜！您出售的高级兽决已经被Idxxx购买。 你获得xx金币   今日税率：10%”</t>
    <phoneticPr fontId="1" type="noConversion"/>
  </si>
  <si>
    <t>摊位刷新，已出售任务装备消失</t>
    <phoneticPr fontId="1" type="noConversion"/>
  </si>
  <si>
    <t>好友系统消息提示：“恭喜！您出售的任务装备已经被Idxxx购买。 你获得xx金币   今日税率：10%”</t>
    <phoneticPr fontId="1" type="noConversion"/>
  </si>
  <si>
    <t>摊位刷新，已出售珍品装备消失</t>
    <phoneticPr fontId="1" type="noConversion"/>
  </si>
  <si>
    <t>好友系统消息提示：“恭喜！您出售的珍品装备已经被Idxxx购买。 你获得xx金币   今日税率：10%”</t>
    <phoneticPr fontId="1" type="noConversion"/>
  </si>
  <si>
    <t>MT-G-PM-297</t>
  </si>
  <si>
    <t>MT-G-PM-298</t>
  </si>
  <si>
    <t>MT-G-PM-299</t>
  </si>
  <si>
    <t>MT-G-PM-300</t>
  </si>
  <si>
    <t>MT-G-PM-301</t>
  </si>
  <si>
    <t>MT-G-PM-302</t>
  </si>
  <si>
    <t>MT-G-PM-303</t>
  </si>
  <si>
    <t>MT-G-PM-304</t>
  </si>
  <si>
    <t>MT-G-PM-305</t>
  </si>
  <si>
    <t>MT-G-PM-306</t>
  </si>
  <si>
    <t>MT-G-PM-307</t>
  </si>
  <si>
    <t>MT-G-PM-308</t>
  </si>
  <si>
    <t>MT-G-PM-309</t>
  </si>
  <si>
    <t>MT-G-PM-310</t>
  </si>
  <si>
    <t>MT-G-PM-311</t>
  </si>
  <si>
    <t>MT-G-PM-312</t>
  </si>
  <si>
    <t>MT-G-PM-313</t>
  </si>
  <si>
    <t>MT-G-PM-314</t>
  </si>
  <si>
    <t>MT-G-PM-315</t>
  </si>
  <si>
    <t>MT-G-PM-316</t>
  </si>
  <si>
    <t>MT-G-PM-317</t>
  </si>
  <si>
    <t>MT-G-PM-318</t>
  </si>
  <si>
    <t>MT-G-PM-319</t>
  </si>
  <si>
    <t>MT-G-PM-320</t>
  </si>
  <si>
    <t>MT-G-PM-321</t>
  </si>
  <si>
    <t>MT-G-PM-322</t>
  </si>
  <si>
    <t>MT-G-PM-323</t>
  </si>
  <si>
    <t>MT-G-PM-324</t>
  </si>
  <si>
    <t>MT-G-PM-325</t>
  </si>
  <si>
    <t>MT-G-PM-326</t>
  </si>
  <si>
    <t>MT-G-PM-327</t>
  </si>
  <si>
    <t>MT-G-PM-328</t>
  </si>
  <si>
    <t>MT-G-PM-329</t>
  </si>
  <si>
    <t>MT-G-PM-330</t>
  </si>
  <si>
    <t>MT-G-PM-331</t>
  </si>
  <si>
    <t>MT-G-PM-332</t>
  </si>
  <si>
    <t>MT-G-PM-333</t>
  </si>
  <si>
    <t>MT-G-PM-334</t>
  </si>
  <si>
    <t>MT-G-PM-335</t>
  </si>
  <si>
    <t>MT-G-PM-336</t>
  </si>
  <si>
    <t>MT-G-PM-337</t>
  </si>
  <si>
    <t>MT-G-PM-338</t>
  </si>
  <si>
    <t>MT-G-PM-339</t>
  </si>
  <si>
    <t>MT-G-PM-341</t>
  </si>
  <si>
    <t>MT-G-PM-342</t>
  </si>
  <si>
    <t>MT-G-PM-343</t>
  </si>
  <si>
    <t>MT-G-PM-344</t>
  </si>
  <si>
    <t>MT-G-PM-345</t>
  </si>
  <si>
    <t>MT-G-PM-346</t>
  </si>
  <si>
    <t>MT-G-PM-347</t>
  </si>
  <si>
    <t>MT-G-PM-348</t>
  </si>
  <si>
    <t>MT-G-PM-349</t>
  </si>
  <si>
    <t>MT-G-PM-350</t>
  </si>
  <si>
    <t>MT-G-PM-351</t>
  </si>
  <si>
    <t>MT-G-PM-352</t>
  </si>
  <si>
    <t>MT-G-PM-353</t>
  </si>
  <si>
    <t>MT-G-PM-354</t>
  </si>
  <si>
    <t>MT-G-PM-355</t>
  </si>
  <si>
    <t>MT-G-PM-356</t>
  </si>
  <si>
    <t>MT-G-PM-357</t>
  </si>
  <si>
    <t>案例编号</t>
    <phoneticPr fontId="6" type="noConversion"/>
  </si>
  <si>
    <t>MT-G-PM-358</t>
  </si>
  <si>
    <t>MT-G-PM-359</t>
  </si>
  <si>
    <t>MT-G-PM-360</t>
  </si>
  <si>
    <t>MT-G-PM-361</t>
  </si>
  <si>
    <t>MT-G-PM-362</t>
  </si>
  <si>
    <t>MT-G-PM-363</t>
  </si>
  <si>
    <t>MT-G-PM-364</t>
  </si>
  <si>
    <t>MT-G-PM-365</t>
  </si>
  <si>
    <t>MT-G-PM-366</t>
  </si>
  <si>
    <t>MT-G-PM-367</t>
  </si>
  <si>
    <t>MT-G-PM-369</t>
  </si>
  <si>
    <t>MT-G-PM-370</t>
  </si>
  <si>
    <t>MT-G-PM-371</t>
  </si>
  <si>
    <t>MT-G-PM-372</t>
  </si>
  <si>
    <t>MT-G-PM-373</t>
  </si>
  <si>
    <t>MT-G-PM-374</t>
  </si>
  <si>
    <t>MT-G-PM-375</t>
  </si>
  <si>
    <t>MT-G-PM-376</t>
  </si>
  <si>
    <t>MT-G-PM-377</t>
  </si>
  <si>
    <t>MT-G-PM-379</t>
  </si>
  <si>
    <t>MT-G-PM-380</t>
  </si>
  <si>
    <t>MT-G-PM-381</t>
  </si>
  <si>
    <t>MT-G-PM-382</t>
  </si>
  <si>
    <t>MT-G-PM-383</t>
  </si>
  <si>
    <t>MT-G-PM-384</t>
  </si>
  <si>
    <t>MT-G-PM-385</t>
  </si>
  <si>
    <t>MT-G-PM-386</t>
  </si>
  <si>
    <t>1、玩家等级等于于30级、点击拍卖购买
2、查看</t>
    <phoneticPr fontId="1" type="noConversion"/>
  </si>
  <si>
    <t>1、玩家等级大于30级、点击拍卖购买
2、查看</t>
    <phoneticPr fontId="1" type="noConversion"/>
  </si>
  <si>
    <t>获得道具、宠物、武器、技能书</t>
    <phoneticPr fontId="1" type="noConversion"/>
  </si>
  <si>
    <t>摆摊背包区域</t>
    <phoneticPr fontId="1" type="noConversion"/>
  </si>
  <si>
    <t>道具背包格显示格式：每行4个，行数没有限制</t>
    <phoneticPr fontId="1" type="noConversion"/>
  </si>
  <si>
    <t>宠物背包格显示格式：每行1个，行数没有限制</t>
    <phoneticPr fontId="1" type="noConversion"/>
  </si>
  <si>
    <t>点击道具后打开上架界面</t>
    <phoneticPr fontId="1" type="noConversion"/>
  </si>
  <si>
    <t>点击宠物后打开上架界面</t>
    <phoneticPr fontId="1" type="noConversion"/>
  </si>
  <si>
    <t>拍卖界面</t>
    <phoneticPr fontId="1" type="noConversion"/>
  </si>
  <si>
    <t>分页按钮下面依次显示【搜索】【关注】按钮</t>
    <phoneticPr fontId="1" type="noConversion"/>
  </si>
  <si>
    <t>一级菜单按钮右边为显示区</t>
    <phoneticPr fontId="1" type="noConversion"/>
  </si>
  <si>
    <t>左下角显示金币图标+自身拥有金币数量+【+】</t>
    <phoneticPr fontId="1" type="noConversion"/>
  </si>
  <si>
    <t>右下角依次显示【关注】【购买】按钮</t>
    <phoneticPr fontId="1" type="noConversion"/>
  </si>
  <si>
    <t>显示区下面为选择页显示区</t>
    <phoneticPr fontId="1" type="noConversion"/>
  </si>
  <si>
    <t>【关注】</t>
    <phoneticPr fontId="1" type="noConversion"/>
  </si>
  <si>
    <t>在选中的情况下才能进行操作</t>
    <phoneticPr fontId="1" type="noConversion"/>
  </si>
  <si>
    <t>点击”购买“按钮，打开购买确认界面</t>
    <phoneticPr fontId="1" type="noConversion"/>
  </si>
  <si>
    <t>道具未被关注的情况下，显示【关注】按钮</t>
    <phoneticPr fontId="1" type="noConversion"/>
  </si>
  <si>
    <t>在道具被关注的情况下，显示【取消关注】按钮</t>
    <phoneticPr fontId="1" type="noConversion"/>
  </si>
  <si>
    <t>上箭头：下一页</t>
    <phoneticPr fontId="1" type="noConversion"/>
  </si>
  <si>
    <t>当前页/上限页</t>
    <phoneticPr fontId="1" type="noConversion"/>
  </si>
  <si>
    <t>下箭头：前一页</t>
    <phoneticPr fontId="1" type="noConversion"/>
  </si>
  <si>
    <t>点击输入框后弹出小键盘输入</t>
    <phoneticPr fontId="1" type="noConversion"/>
  </si>
  <si>
    <t>MT-G-PM-023</t>
    <phoneticPr fontId="1" type="noConversion"/>
  </si>
  <si>
    <t>关注界面中没有物品时的显示：NPC半身像+文本找了一圈都没有人卖哦！</t>
    <phoneticPr fontId="1" type="noConversion"/>
  </si>
  <si>
    <t>除关注外的页签中显示区显示一级界面</t>
    <phoneticPr fontId="1" type="noConversion"/>
  </si>
  <si>
    <t>打开一级菜单后显示区显示二级菜单界面和关注有内容的界面</t>
    <phoneticPr fontId="1" type="noConversion"/>
  </si>
  <si>
    <t>查看显示区</t>
    <phoneticPr fontId="1" type="noConversion"/>
  </si>
  <si>
    <t>查看分页显示区</t>
    <phoneticPr fontId="1" type="noConversion"/>
  </si>
  <si>
    <t>查看【关注】按钮</t>
    <phoneticPr fontId="1" type="noConversion"/>
  </si>
  <si>
    <t>查看【购买】按钮</t>
    <phoneticPr fontId="1" type="noConversion"/>
  </si>
  <si>
    <t>MT-G-PM-190</t>
  </si>
  <si>
    <t>MT-G-PM-191</t>
  </si>
  <si>
    <t>MT-G-PM-192</t>
  </si>
  <si>
    <t>MT-G-PM-193</t>
  </si>
  <si>
    <t>MT-G-PM-194</t>
  </si>
  <si>
    <t>MT-G-PM-195</t>
  </si>
  <si>
    <t>MT-G-PM-196</t>
  </si>
  <si>
    <t>MT-G-PM-197</t>
  </si>
  <si>
    <t>MT-G-PM-198</t>
  </si>
  <si>
    <t>【珍品宠物】</t>
    <phoneticPr fontId="1" type="noConversion"/>
  </si>
  <si>
    <t>【珍品装备】</t>
    <phoneticPr fontId="1" type="noConversion"/>
  </si>
  <si>
    <t>【任务装备】</t>
    <phoneticPr fontId="1" type="noConversion"/>
  </si>
  <si>
    <t>【高级兽决】</t>
    <phoneticPr fontId="1" type="noConversion"/>
  </si>
  <si>
    <t>【坐骑】</t>
    <phoneticPr fontId="1" type="noConversion"/>
  </si>
  <si>
    <t>【装备打造】</t>
    <phoneticPr fontId="1" type="noConversion"/>
  </si>
  <si>
    <t>【奇珍异宝】</t>
    <phoneticPr fontId="1" type="noConversion"/>
  </si>
  <si>
    <t>【附魔卷轴】</t>
    <phoneticPr fontId="1" type="noConversion"/>
  </si>
  <si>
    <t>【模具】</t>
    <phoneticPr fontId="1" type="noConversion"/>
  </si>
  <si>
    <t>【烹饪】</t>
    <phoneticPr fontId="1" type="noConversion"/>
  </si>
  <si>
    <t>【药品】</t>
    <phoneticPr fontId="1" type="noConversion"/>
  </si>
  <si>
    <t>【低级兽决】</t>
    <phoneticPr fontId="1" type="noConversion"/>
  </si>
  <si>
    <t>Title显示：选择珍品宠物商品分类</t>
    <phoneticPr fontId="1" type="noConversion"/>
  </si>
  <si>
    <t>每行2个，图标+等级</t>
    <phoneticPr fontId="1" type="noConversion"/>
  </si>
  <si>
    <t>珍品宠物二级菜单界面</t>
    <phoneticPr fontId="1" type="noConversion"/>
  </si>
  <si>
    <t>界面可上下拖拽</t>
    <phoneticPr fontId="1" type="noConversion"/>
  </si>
  <si>
    <t>珍品装备二级菜单界面</t>
    <phoneticPr fontId="1" type="noConversion"/>
  </si>
  <si>
    <t>图标和等级显示正确</t>
    <phoneticPr fontId="1" type="noConversion"/>
  </si>
  <si>
    <t>图标和道具类型名称显示正确</t>
    <phoneticPr fontId="1" type="noConversion"/>
  </si>
  <si>
    <t>每行2个，图标+武器类型名称</t>
    <phoneticPr fontId="1" type="noConversion"/>
  </si>
  <si>
    <t>Title显示：选择珍品装备商品分类</t>
    <phoneticPr fontId="1" type="noConversion"/>
  </si>
  <si>
    <t>武器类型名称依次是：剑、锤子、匕首、爪、魔棒、法杖、男衣、女衣、男头、女头、项链、腰带、鞋</t>
    <phoneticPr fontId="1" type="noConversion"/>
  </si>
  <si>
    <t>等级分段依次是：35、45、55、65、75、80、85、90、95</t>
    <phoneticPr fontId="1" type="noConversion"/>
  </si>
  <si>
    <t>任务装备二级菜单界面</t>
    <phoneticPr fontId="1" type="noConversion"/>
  </si>
  <si>
    <t>Title显示：选择任务装备商品分类</t>
    <phoneticPr fontId="1" type="noConversion"/>
  </si>
  <si>
    <t>每行2个，图标+等级+普通装备</t>
    <phoneticPr fontId="1" type="noConversion"/>
  </si>
  <si>
    <t>图标和文字描述显示正确</t>
    <phoneticPr fontId="1" type="noConversion"/>
  </si>
  <si>
    <t>二级菜单依次显示为：50级普通装备、60级普通装备</t>
    <phoneticPr fontId="1" type="noConversion"/>
  </si>
  <si>
    <t>高级兽决二级菜单界面</t>
    <phoneticPr fontId="1" type="noConversion"/>
  </si>
  <si>
    <t>Title显示：选择高级兽决商品分类</t>
    <phoneticPr fontId="1" type="noConversion"/>
  </si>
  <si>
    <t>每行2个，图标+高级兽决名称</t>
    <phoneticPr fontId="1" type="noConversion"/>
  </si>
  <si>
    <t>图标和兽决名称显示正确</t>
    <phoneticPr fontId="1" type="noConversion"/>
  </si>
  <si>
    <t>高级兽决名称依次显示为：高级暴击、高级连击、高级强力、高级穿刺、高级偷袭、高级法术暴击、</t>
    <phoneticPr fontId="1" type="noConversion"/>
  </si>
  <si>
    <t>高级凤凰之心、高级格挡、高级反弹、高级神迹、高级反击、高级灵敏、高级强壮、高级防御、</t>
    <phoneticPr fontId="1" type="noConversion"/>
  </si>
  <si>
    <t>高级固法、高级幸运、高级迟钝、高级火元素吸收、高级水元素吸收、高级土元素吸收、高级雷元素吸收、</t>
    <phoneticPr fontId="1" type="noConversion"/>
  </si>
  <si>
    <t>高级不死亡魂、高级驱魔、高级潜行、高级夜莺感知、高级永恒、高级精神集中、高级瘟疫、高级追击、</t>
    <phoneticPr fontId="1" type="noConversion"/>
  </si>
  <si>
    <t>低级兽决二级菜单界面</t>
    <phoneticPr fontId="1" type="noConversion"/>
  </si>
  <si>
    <t>Title显示：选择低级兽决商品分类</t>
    <phoneticPr fontId="1" type="noConversion"/>
  </si>
  <si>
    <t>每行2个，图标+低级兽决名称</t>
    <phoneticPr fontId="1" type="noConversion"/>
  </si>
  <si>
    <t>低级兽决名称依次显示为：暴击、连击、强力、穿刺、偷袭、法术暴击、法术连击、法术波动、魔之心、</t>
    <phoneticPr fontId="1" type="noConversion"/>
  </si>
  <si>
    <t>法术穿刺、冥想、吸血、回春、凤凰之心、格挡、反弹、神迹、反击、灵敏、强壮、防御、</t>
    <phoneticPr fontId="1" type="noConversion"/>
  </si>
  <si>
    <t>固法、幸运、迟钝、火元素吸收、水元素吸收、土元素吸收、雷元素吸收、不死亡魂、驱魔、潜行、</t>
    <phoneticPr fontId="1" type="noConversion"/>
  </si>
  <si>
    <t>夜莺感知、永恒、精神集中、瘟疫、追击、溅射、烈火、新星、陨石、雷击。</t>
    <phoneticPr fontId="1" type="noConversion"/>
  </si>
  <si>
    <t>每行2个，图标+药品名称</t>
    <phoneticPr fontId="1" type="noConversion"/>
  </si>
  <si>
    <t>图标和药品名称显示正确</t>
    <phoneticPr fontId="1" type="noConversion"/>
  </si>
  <si>
    <t>Title显示：选择烹饪分类</t>
    <phoneticPr fontId="1" type="noConversion"/>
  </si>
  <si>
    <t>每行2个，图标+烹饪名称</t>
    <phoneticPr fontId="1" type="noConversion"/>
  </si>
  <si>
    <t>图标和烹饪名称显示正确</t>
    <phoneticPr fontId="1" type="noConversion"/>
  </si>
  <si>
    <t>药品名称依次显示为：治疗药水、法力药水、、净化药剂、复苏药剂</t>
    <phoneticPr fontId="1" type="noConversion"/>
  </si>
  <si>
    <t>烹饪名称依次显示为：煎蛋卷、樱桃饼、美味风蛇、凤梨佳酿、辣味狼排、酸橙派、晨露酒</t>
    <phoneticPr fontId="1" type="noConversion"/>
  </si>
  <si>
    <t>模具二级菜单界面</t>
    <phoneticPr fontId="1" type="noConversion"/>
  </si>
  <si>
    <t>附魔卷轴二级菜单界面</t>
    <phoneticPr fontId="1" type="noConversion"/>
  </si>
  <si>
    <t>奇珍异宝二级菜单界面</t>
    <phoneticPr fontId="1" type="noConversion"/>
  </si>
  <si>
    <t>装备打造二级菜单界面</t>
    <phoneticPr fontId="1" type="noConversion"/>
  </si>
  <si>
    <t>坐骑二级菜单界面</t>
    <phoneticPr fontId="1" type="noConversion"/>
  </si>
  <si>
    <t>Title显示：选择模具商品分类</t>
    <phoneticPr fontId="1" type="noConversion"/>
  </si>
  <si>
    <t>每行2个，图标+模具名称</t>
    <phoneticPr fontId="1" type="noConversion"/>
  </si>
  <si>
    <t>图标和模具名称显示正确</t>
    <phoneticPr fontId="1" type="noConversion"/>
  </si>
  <si>
    <t>模具名称依次显示为：武器模具、防具模具、饰品模具</t>
    <phoneticPr fontId="1" type="noConversion"/>
  </si>
  <si>
    <t>Title显示：选择附魔卷轴商品分类</t>
    <phoneticPr fontId="1" type="noConversion"/>
  </si>
  <si>
    <t>每行2个，图标+附魔卷轴名称</t>
    <phoneticPr fontId="1" type="noConversion"/>
  </si>
  <si>
    <t>图标和附魔卷轴名称显示正确</t>
    <phoneticPr fontId="1" type="noConversion"/>
  </si>
  <si>
    <t>附魔卷轴名称依次显示为：生命附魔卷轴、物攻附魔卷轴、法功附魔卷轴、物防附魔卷轴、法防附魔卷轴</t>
    <phoneticPr fontId="1" type="noConversion"/>
  </si>
  <si>
    <t>愤怒附魔卷轴、治疗附魔卷轴、控制附魔卷轴、速度附魔卷轴</t>
    <phoneticPr fontId="1" type="noConversion"/>
  </si>
  <si>
    <t>Title显示：选择奇珍异宝商品分类</t>
    <phoneticPr fontId="1" type="noConversion"/>
  </si>
  <si>
    <t>每行2个，图标+道具类型名称</t>
    <phoneticPr fontId="1" type="noConversion"/>
  </si>
  <si>
    <t>图标和道具类型名称显示正确</t>
    <phoneticPr fontId="1" type="noConversion"/>
  </si>
  <si>
    <t>奇珍异宝名称依次显示为：五宝、还原卷轴、染色</t>
    <phoneticPr fontId="1" type="noConversion"/>
  </si>
  <si>
    <t>Title显示：选择坐骑商品分类</t>
    <phoneticPr fontId="1" type="noConversion"/>
  </si>
  <si>
    <t>每行2个，图标+坐骑名称</t>
    <phoneticPr fontId="1" type="noConversion"/>
  </si>
  <si>
    <t>图标和坐骑名称显示正确</t>
    <phoneticPr fontId="1" type="noConversion"/>
  </si>
  <si>
    <t>坐骑名称依次显示为：坐骑</t>
    <phoneticPr fontId="1" type="noConversion"/>
  </si>
  <si>
    <t>Title显示：选择装备打造商品分类</t>
    <phoneticPr fontId="1" type="noConversion"/>
  </si>
  <si>
    <t>每行2个，图标+装备打造名称</t>
    <phoneticPr fontId="1" type="noConversion"/>
  </si>
  <si>
    <t>图标和装备打造名称显示正确</t>
    <phoneticPr fontId="1" type="noConversion"/>
  </si>
  <si>
    <t>装备打造名称依次显示为：精铁、打造图纸</t>
    <phoneticPr fontId="1" type="noConversion"/>
  </si>
  <si>
    <t>1、选中宠物点击【购买】按钮
2、查看</t>
    <phoneticPr fontId="1" type="noConversion"/>
  </si>
  <si>
    <t>打开购买确认界面</t>
    <phoneticPr fontId="1" type="noConversion"/>
  </si>
  <si>
    <t>购买确认界面右边弹出当前宠物的tips界面</t>
    <phoneticPr fontId="1" type="noConversion"/>
  </si>
  <si>
    <t>购买确认界面</t>
    <phoneticPr fontId="1" type="noConversion"/>
  </si>
  <si>
    <t>宠物的tips界面</t>
    <phoneticPr fontId="1" type="noConversion"/>
  </si>
  <si>
    <t>title显示：购买确认</t>
    <phoneticPr fontId="1" type="noConversion"/>
  </si>
  <si>
    <t>文本描述：“您将购买下列商品，是否确认？”</t>
    <phoneticPr fontId="1" type="noConversion"/>
  </si>
  <si>
    <t>宠物头像+角标+宠物名称+金币图标+宠物当前价格</t>
    <phoneticPr fontId="1" type="noConversion"/>
  </si>
  <si>
    <t>【确认】按钮</t>
    <phoneticPr fontId="1" type="noConversion"/>
  </si>
  <si>
    <t>右上角为【X】</t>
    <phoneticPr fontId="1" type="noConversion"/>
  </si>
  <si>
    <t>宠物头像+角标+宠物名称+宠物等级</t>
    <phoneticPr fontId="1" type="noConversion"/>
  </si>
  <si>
    <t>功能暂未制作</t>
    <phoneticPr fontId="1" type="noConversion"/>
  </si>
  <si>
    <t>技能</t>
    <phoneticPr fontId="1" type="noConversion"/>
  </si>
  <si>
    <t>资质</t>
    <phoneticPr fontId="1" type="noConversion"/>
  </si>
  <si>
    <t>属性</t>
    <phoneticPr fontId="1" type="noConversion"/>
  </si>
  <si>
    <t>【技能】【资质】【属性】</t>
    <phoneticPr fontId="1" type="noConversion"/>
  </si>
  <si>
    <t>1、选中高级技能书点击【购买】按钮
2、查看</t>
    <phoneticPr fontId="1" type="noConversion"/>
  </si>
  <si>
    <t>购买确认界面右边弹出当前高级技能书的tips界面</t>
    <phoneticPr fontId="1" type="noConversion"/>
  </si>
  <si>
    <t>技能图标+角标+技能书名称+类型+功能</t>
    <phoneticPr fontId="1" type="noConversion"/>
  </si>
  <si>
    <t>文本说明文字</t>
    <phoneticPr fontId="1" type="noConversion"/>
  </si>
  <si>
    <t>1、选中珍品装备点击【购买】按钮
2、查看</t>
    <phoneticPr fontId="1" type="noConversion"/>
  </si>
  <si>
    <t>珍品装备的tips界面</t>
    <phoneticPr fontId="1" type="noConversion"/>
  </si>
  <si>
    <t>高级技能书的tips界面</t>
    <phoneticPr fontId="1" type="noConversion"/>
  </si>
  <si>
    <t>装备图标+品质边框+装备名称+类型+等级</t>
    <phoneticPr fontId="1" type="noConversion"/>
  </si>
  <si>
    <t>基础属性</t>
    <phoneticPr fontId="1" type="noConversion"/>
  </si>
  <si>
    <t>公示物品界面</t>
    <phoneticPr fontId="1" type="noConversion"/>
  </si>
  <si>
    <t>查看我要购买界面分类标签按钮</t>
    <phoneticPr fontId="1" type="noConversion"/>
  </si>
  <si>
    <t>查看公示物品界面分类标签按钮</t>
    <phoneticPr fontId="1" type="noConversion"/>
  </si>
  <si>
    <t>【坐骑】</t>
    <phoneticPr fontId="1" type="noConversion"/>
  </si>
  <si>
    <t>【装备打造】</t>
    <phoneticPr fontId="1" type="noConversion"/>
  </si>
  <si>
    <t>【高级兽决】</t>
    <phoneticPr fontId="1" type="noConversion"/>
  </si>
  <si>
    <t>查看公示物品界面</t>
    <phoneticPr fontId="1" type="noConversion"/>
  </si>
  <si>
    <t>右下角显示【关注】</t>
    <phoneticPr fontId="1" type="noConversion"/>
  </si>
  <si>
    <t>【关注】右边显示文字：公示期物品只能浏览</t>
    <phoneticPr fontId="1" type="noConversion"/>
  </si>
  <si>
    <t>MT-G-PM-340</t>
  </si>
  <si>
    <t>MT-G-PM-368</t>
  </si>
  <si>
    <t>MT-G-PM-378</t>
  </si>
  <si>
    <t>MT-G-PM-387</t>
  </si>
  <si>
    <t>MT-G-PM-398</t>
  </si>
  <si>
    <t>MT-G-PM-399</t>
  </si>
  <si>
    <t>MT-G-PM-400</t>
  </si>
  <si>
    <t>MT-G-PM-401</t>
  </si>
  <si>
    <t>MT-G-PM-402</t>
  </si>
  <si>
    <t>MT-G-PM-403</t>
  </si>
  <si>
    <t>MT-G-PM-404</t>
  </si>
  <si>
    <t>MT-G-PM-405</t>
  </si>
  <si>
    <t>MT-G-PM-406</t>
  </si>
  <si>
    <t>MT-G-PM-407</t>
  </si>
  <si>
    <t>MT-G-PM-408</t>
  </si>
  <si>
    <t>MT-G-PM-409</t>
  </si>
  <si>
    <t>MT-G-PM-410</t>
  </si>
  <si>
    <t>MT-G-PM-411</t>
  </si>
  <si>
    <t>MT-G-PM-412</t>
  </si>
  <si>
    <t>MT-G-PM-413</t>
  </si>
  <si>
    <t>MT-G-PM-414</t>
  </si>
  <si>
    <t>MT-G-PM-415</t>
  </si>
  <si>
    <t>MT-G-PM-416</t>
  </si>
  <si>
    <t>MT-G-PM-417</t>
  </si>
  <si>
    <t>MT-G-PM-418</t>
  </si>
  <si>
    <t>MT-G-PM-419</t>
  </si>
  <si>
    <t>MT-G-PM-420</t>
  </si>
  <si>
    <t>MT-G-PM-421</t>
  </si>
  <si>
    <t>MT-G-PM-422</t>
  </si>
  <si>
    <t>MT-G-PM-423</t>
  </si>
  <si>
    <t>MT-G-PM-424</t>
  </si>
  <si>
    <t>MT-G-PM-425</t>
  </si>
  <si>
    <t>MT-G-PM-426</t>
  </si>
  <si>
    <t>MT-G-PM-427</t>
  </si>
  <si>
    <t>MT-G-PM-428</t>
  </si>
  <si>
    <t>MT-G-PM-429</t>
  </si>
  <si>
    <t>MT-G-PM-430</t>
  </si>
  <si>
    <t>MT-G-PM-431</t>
  </si>
  <si>
    <t>MT-G-PM-432</t>
  </si>
  <si>
    <t>MT-G-PM-433</t>
  </si>
  <si>
    <t>MT-G-PM-434</t>
  </si>
  <si>
    <t>MT-G-PM-435</t>
  </si>
  <si>
    <t>MT-G-PM-436</t>
  </si>
  <si>
    <t>MT-G-PM-437</t>
  </si>
  <si>
    <t>MT-G-PM-438</t>
  </si>
  <si>
    <t>MT-G-PM-439</t>
  </si>
  <si>
    <t>MT-G-PM-440</t>
  </si>
  <si>
    <t>MT-G-PM-441</t>
  </si>
  <si>
    <t>MT-G-PM-442</t>
  </si>
  <si>
    <t>MT-G-PM-443</t>
  </si>
  <si>
    <t>MT-G-PM-444</t>
  </si>
  <si>
    <t>MT-G-PM-445</t>
  </si>
  <si>
    <t>MT-G-PM-446</t>
  </si>
  <si>
    <t>MT-G-PM-447</t>
  </si>
  <si>
    <t>MT-G-PM-448</t>
  </si>
  <si>
    <t>MT-G-PM-449</t>
  </si>
  <si>
    <t>MT-G-PM-450</t>
  </si>
  <si>
    <t>MT-G-PM-451</t>
  </si>
  <si>
    <t>MT-G-PM-452</t>
  </si>
  <si>
    <t>MT-G-PM-453</t>
  </si>
  <si>
    <t>MT-G-PM-454</t>
  </si>
  <si>
    <t>MT-G-PM-455</t>
  </si>
  <si>
    <t>MT-G-PM-456</t>
  </si>
  <si>
    <t>MT-G-PM-457</t>
  </si>
  <si>
    <t>MT-G-PM-458</t>
  </si>
  <si>
    <t>MT-G-PM-459</t>
  </si>
  <si>
    <t>MT-G-PM-460</t>
  </si>
  <si>
    <t>MT-G-PM-461</t>
  </si>
  <si>
    <t>MT-G-PM-462</t>
  </si>
  <si>
    <t>MT-G-PM-463</t>
  </si>
  <si>
    <t>MT-G-PM-464</t>
  </si>
  <si>
    <t>MT-G-PM-465</t>
  </si>
  <si>
    <t>MT-G-PM-467</t>
  </si>
  <si>
    <t>MT-G-PM-468</t>
  </si>
  <si>
    <t>MT-G-PM-469</t>
  </si>
  <si>
    <t>MT-G-PM-470</t>
  </si>
  <si>
    <t>MT-G-PM-471</t>
  </si>
  <si>
    <t>MT-G-PM-472</t>
  </si>
  <si>
    <t>MT-G-PM-473</t>
  </si>
  <si>
    <t>MT-G-PM-474</t>
  </si>
  <si>
    <t>MT-G-PM-475</t>
  </si>
  <si>
    <t>MT-G-PM-480</t>
  </si>
  <si>
    <t>MT-G-PM-481</t>
  </si>
  <si>
    <t>MT-G-PM-482</t>
  </si>
  <si>
    <t>MT-G-PM-483</t>
  </si>
  <si>
    <t>MT-G-PM-484</t>
  </si>
  <si>
    <t>MT-G-PM-485</t>
  </si>
  <si>
    <t>MT-G-PM-486</t>
  </si>
  <si>
    <t>MT-G-PM-487</t>
  </si>
  <si>
    <t>MT-G-PM-488</t>
  </si>
  <si>
    <t>MT-G-PM-490</t>
  </si>
  <si>
    <t>MT-G-PM-492</t>
  </si>
  <si>
    <t>MT-G-PM-493</t>
  </si>
  <si>
    <t>MT-G-PM-494</t>
  </si>
  <si>
    <t>MT-G-PM-495</t>
  </si>
  <si>
    <t>MT-G-PM-496</t>
  </si>
  <si>
    <t>MT-G-PM-497</t>
  </si>
  <si>
    <t>MT-G-PM-498</t>
  </si>
  <si>
    <t>1、选中装备打造点击【购买】按钮
2、查看</t>
    <phoneticPr fontId="1" type="noConversion"/>
  </si>
  <si>
    <t>1、选中坐骑点击【购买】按钮
2、查看</t>
    <phoneticPr fontId="1" type="noConversion"/>
  </si>
  <si>
    <t>装备打造的tips界面</t>
    <phoneticPr fontId="1" type="noConversion"/>
  </si>
  <si>
    <t>坐骑的tips界面</t>
    <phoneticPr fontId="1" type="noConversion"/>
  </si>
  <si>
    <t>购买确认界面右边弹出当前装备打造的tips界面</t>
    <phoneticPr fontId="1" type="noConversion"/>
  </si>
  <si>
    <t>购买确认界面右边弹出当前坐骑的tips界面</t>
    <phoneticPr fontId="1" type="noConversion"/>
  </si>
  <si>
    <t>【搜索】按钮下面依次显示拍卖分类标签按钮</t>
    <phoneticPr fontId="1" type="noConversion"/>
  </si>
  <si>
    <t>弹出购买界面</t>
    <phoneticPr fontId="1" type="noConversion"/>
  </si>
  <si>
    <t>1、选中叠加的奇珍异宝点击【购买】按钮
2、查看</t>
    <phoneticPr fontId="1" type="noConversion"/>
  </si>
  <si>
    <t>道具图标+道具名称</t>
    <phoneticPr fontId="1" type="noConversion"/>
  </si>
  <si>
    <t>中间部分显示道具文本说明文字</t>
    <phoneticPr fontId="1" type="noConversion"/>
  </si>
  <si>
    <t>数量【-】输入框【+】</t>
    <phoneticPr fontId="1" type="noConversion"/>
  </si>
  <si>
    <t>点击输入框后可以弹出小键盘</t>
    <phoneticPr fontId="1" type="noConversion"/>
  </si>
  <si>
    <t>单价显示确认</t>
    <phoneticPr fontId="1" type="noConversion"/>
  </si>
  <si>
    <t>总价显示确认</t>
    <phoneticPr fontId="1" type="noConversion"/>
  </si>
  <si>
    <t>上架界面</t>
    <phoneticPr fontId="1" type="noConversion"/>
  </si>
  <si>
    <t>珍品道具上架界面</t>
    <phoneticPr fontId="1" type="noConversion"/>
  </si>
  <si>
    <t>非珍品不叠加道具上架界面</t>
    <phoneticPr fontId="1" type="noConversion"/>
  </si>
  <si>
    <t>非珍品叠加道具上架界面</t>
    <phoneticPr fontId="1" type="noConversion"/>
  </si>
  <si>
    <t>下架界面</t>
    <phoneticPr fontId="1" type="noConversion"/>
  </si>
  <si>
    <t>普通道具上架成功界面</t>
    <phoneticPr fontId="1" type="noConversion"/>
  </si>
  <si>
    <t>珍品道具上架成功界面</t>
    <phoneticPr fontId="1" type="noConversion"/>
  </si>
  <si>
    <t>查看普通道具上架成功界面</t>
    <phoneticPr fontId="1" type="noConversion"/>
  </si>
  <si>
    <t>查看珍品道具上架成功界面</t>
    <phoneticPr fontId="1" type="noConversion"/>
  </si>
  <si>
    <t>title显示：上架成功</t>
    <phoneticPr fontId="1" type="noConversion"/>
  </si>
  <si>
    <t>文字说明：出售期1天，未出售的商品自动下架</t>
    <phoneticPr fontId="1" type="noConversion"/>
  </si>
  <si>
    <t>今日税率：10%（10%是常量，通用配置表里面配置）</t>
    <phoneticPr fontId="1" type="noConversion"/>
  </si>
  <si>
    <t>下次不再提示，勾选后如果玩家没下线则一直不提示，如果玩家完全下线后重新登陆游戏，则继续提醒</t>
    <phoneticPr fontId="1" type="noConversion"/>
  </si>
  <si>
    <t>title显示：公示成功</t>
    <phoneticPr fontId="1" type="noConversion"/>
  </si>
  <si>
    <t>文字说明：公示期8个小时，自动开放购买，出售期为7天，未售出的商品自动下架</t>
    <phoneticPr fontId="1" type="noConversion"/>
  </si>
  <si>
    <t>7天不再提示，默认不勾选</t>
    <phoneticPr fontId="1" type="noConversion"/>
  </si>
  <si>
    <t>7天不再提示，勾选后如果玩家没下线则一直不提示，如果玩家完全下线后重新登陆游戏，则继续提醒</t>
    <phoneticPr fontId="1" type="noConversion"/>
  </si>
  <si>
    <t>七、交易审核</t>
    <phoneticPr fontId="2" type="noConversion"/>
  </si>
  <si>
    <t>八、特殊操作</t>
    <phoneticPr fontId="2" type="noConversion"/>
  </si>
  <si>
    <t>九、DB存储</t>
    <phoneticPr fontId="2" type="noConversion"/>
  </si>
  <si>
    <t>交易审核</t>
    <phoneticPr fontId="1" type="noConversion"/>
  </si>
  <si>
    <t>1、上架不同类型的道具
2、查看</t>
    <phoneticPr fontId="1" type="noConversion"/>
  </si>
  <si>
    <t>摊位界面道具排序按上架道具顺序排序</t>
    <phoneticPr fontId="1" type="noConversion"/>
  </si>
  <si>
    <t>1、点击可以出售的商品
2、查看</t>
    <phoneticPr fontId="1" type="noConversion"/>
  </si>
  <si>
    <t>打开上架界面</t>
    <phoneticPr fontId="1" type="noConversion"/>
  </si>
  <si>
    <t>整体居中</t>
    <phoneticPr fontId="1" type="noConversion"/>
  </si>
  <si>
    <t>关闭右侧的出售预览界面后，上架操作部分居中</t>
    <phoneticPr fontId="1" type="noConversion"/>
  </si>
  <si>
    <t>左边上架操作界面</t>
    <phoneticPr fontId="1" type="noConversion"/>
  </si>
  <si>
    <t>右边其余玩家出售预览界面</t>
    <phoneticPr fontId="1" type="noConversion"/>
  </si>
  <si>
    <t>玩家出售预览界面</t>
    <phoneticPr fontId="1" type="noConversion"/>
  </si>
  <si>
    <t>title显示：其他玩家正在出售：</t>
    <phoneticPr fontId="1" type="noConversion"/>
  </si>
  <si>
    <t>商品：商品图标+（品质角标）+道具名称+商品价格，点击有道具tips</t>
    <phoneticPr fontId="1" type="noConversion"/>
  </si>
  <si>
    <t>商品价格：货币图标+货币值</t>
    <phoneticPr fontId="1" type="noConversion"/>
  </si>
  <si>
    <t>道具图标+商品名称+要求+商品说明+商品价格+摊位费+摊位费规则+【取消】+【上架】</t>
    <phoneticPr fontId="1" type="noConversion"/>
  </si>
  <si>
    <t>商品说明文字可上下滑动</t>
    <phoneticPr fontId="1" type="noConversion"/>
  </si>
  <si>
    <t>商品出售的价格，每次打开有一个默认价格，点击“-”“+”可以调整</t>
    <phoneticPr fontId="1" type="noConversion"/>
  </si>
  <si>
    <t>低于100%，推荐价格处文本显示为“红色</t>
    <phoneticPr fontId="1" type="noConversion"/>
  </si>
  <si>
    <t>高于100%，推荐价格处文本显示为“绿色”</t>
    <phoneticPr fontId="1" type="noConversion"/>
  </si>
  <si>
    <t>100%时，显示推荐价格</t>
    <phoneticPr fontId="1" type="noConversion"/>
  </si>
  <si>
    <t>价格调整在50%-150%之间（包含）</t>
    <phoneticPr fontId="1" type="noConversion"/>
  </si>
  <si>
    <t>摊位费:根据规则决定，在调整价格时才会自动变化,货币图标+货币值</t>
    <phoneticPr fontId="1" type="noConversion"/>
  </si>
  <si>
    <t>点击 “叹号”弹出tips（点击任意空白处关闭）</t>
    <phoneticPr fontId="1" type="noConversion"/>
  </si>
  <si>
    <t>【取消】点击取消按钮关闭界面</t>
    <phoneticPr fontId="1" type="noConversion"/>
  </si>
  <si>
    <t>【上架】点击上架按钮道具上架</t>
    <phoneticPr fontId="1" type="noConversion"/>
  </si>
  <si>
    <t>要求不同类型的商品显示的不同</t>
    <phoneticPr fontId="1" type="noConversion"/>
  </si>
  <si>
    <t>道具图标+商品名称+要求+商品说明+上架数量+商品价格+总价+摊位费+摊位费规则+【取消】+【上架】</t>
    <phoneticPr fontId="1" type="noConversion"/>
  </si>
  <si>
    <t>上架数量可以点击“-”“+”可以调整</t>
    <phoneticPr fontId="1" type="noConversion"/>
  </si>
  <si>
    <t>点击上架数量输入框弹出小键盘</t>
    <phoneticPr fontId="1" type="noConversion"/>
  </si>
  <si>
    <t>上架最大数量不能大于玩家自身拥有商品的最大数量</t>
    <phoneticPr fontId="1" type="noConversion"/>
  </si>
  <si>
    <t>总价=价格*数量</t>
    <phoneticPr fontId="1" type="noConversion"/>
  </si>
  <si>
    <t>珍品道具上架只有上架界面</t>
    <phoneticPr fontId="1" type="noConversion"/>
  </si>
  <si>
    <t>非珍品非叠加道具上架操作界面</t>
    <phoneticPr fontId="1" type="noConversion"/>
  </si>
  <si>
    <t>非珍品叠加道具上架操作界面</t>
    <phoneticPr fontId="1" type="noConversion"/>
  </si>
  <si>
    <t>价格无默认价格</t>
    <phoneticPr fontId="1" type="noConversion"/>
  </si>
  <si>
    <t>点击价格输入框弹出小键盘</t>
    <phoneticPr fontId="1" type="noConversion"/>
  </si>
  <si>
    <t>1、玩家打开购买界面后选中一件商品
2、此时选中的商品被下架，玩家A点击【购买】按钮
3、查看</t>
    <phoneticPr fontId="1" type="noConversion"/>
  </si>
  <si>
    <t>商品购买不成功</t>
    <phoneticPr fontId="1" type="noConversion"/>
  </si>
  <si>
    <t>系统提示：“商品信息已发生变化，请重新购买”</t>
    <phoneticPr fontId="1" type="noConversion"/>
  </si>
  <si>
    <t>1、刚开服
2、商品拍卖出售
3、查看</t>
    <phoneticPr fontId="1" type="noConversion"/>
  </si>
  <si>
    <t>商品上架价格默认价格为表里面的填的价格</t>
    <phoneticPr fontId="1" type="noConversion"/>
  </si>
  <si>
    <t>商品上架价格为【周期内的总交易成功价格/周期内的总交易成功数量】</t>
    <phoneticPr fontId="1" type="noConversion"/>
  </si>
  <si>
    <t>表里面填的价格*价格上限</t>
    <phoneticPr fontId="1" type="noConversion"/>
  </si>
  <si>
    <t>表里面填的价格*价格下限</t>
    <phoneticPr fontId="1" type="noConversion"/>
  </si>
  <si>
    <t>商品上架价格为【表里面填的价格*价格上限】</t>
    <phoneticPr fontId="1" type="noConversion"/>
  </si>
  <si>
    <t>商品上架价格为【表里面填的价格*价格下限】</t>
    <phoneticPr fontId="1" type="noConversion"/>
  </si>
  <si>
    <t>1、商品的价格浮动数超过商品的价格上限
2、查看</t>
    <phoneticPr fontId="1" type="noConversion"/>
  </si>
  <si>
    <t>1、商品的价格浮动数超过商品的价格下限
2、查看</t>
    <phoneticPr fontId="1" type="noConversion"/>
  </si>
  <si>
    <t>商品上架价格为【上期价格*（1+浮动价格系数）】</t>
    <phoneticPr fontId="1" type="noConversion"/>
  </si>
  <si>
    <t>商品上架价格为【上期价格*（1-浮动价格系数）】</t>
    <phoneticPr fontId="1" type="noConversion"/>
  </si>
  <si>
    <t>商品的上架价格上限</t>
    <phoneticPr fontId="1" type="noConversion"/>
  </si>
  <si>
    <t>商品的上架价格下限</t>
    <phoneticPr fontId="1" type="noConversion"/>
  </si>
  <si>
    <t>1、商品当期成交量大于基准成交量
2、一个周期后商品拍卖出售
3、查看</t>
    <phoneticPr fontId="1" type="noConversion"/>
  </si>
  <si>
    <t>1、商品当期成交量等于基准成交量
2、一个周期后商品拍卖出售
3、查看</t>
    <phoneticPr fontId="1" type="noConversion"/>
  </si>
  <si>
    <t>1、商品当期成交量小于基准成交量，挂单量小于基准挂单量
2、一个周期后商品拍卖出售
3、查看</t>
    <phoneticPr fontId="1" type="noConversion"/>
  </si>
  <si>
    <t>1、商品当期成交量小于基准成交量，挂单量大于基准挂单量
2、一个周期后商品拍卖出售
3、查看</t>
    <phoneticPr fontId="1" type="noConversion"/>
  </si>
  <si>
    <t>1、商品当期成交量小于基准成交量，挂单量等于基准挂单量
2、一个周期后商品拍卖出售
3、查看</t>
    <phoneticPr fontId="1" type="noConversion"/>
  </si>
  <si>
    <r>
      <t>一、执行情况
Case总量</t>
    </r>
    <r>
      <rPr>
        <sz val="10"/>
        <color theme="1"/>
        <rFont val="微软雅黑"/>
        <family val="2"/>
        <charset val="134"/>
      </rPr>
      <t xml:space="preserve">
P</t>
    </r>
    <r>
      <rPr>
        <sz val="10"/>
        <rFont val="微软雅黑"/>
        <family val="2"/>
        <charset val="134"/>
      </rPr>
      <t xml:space="preserve"> </t>
    </r>
    <r>
      <rPr>
        <sz val="10"/>
        <color theme="1"/>
        <rFont val="微软雅黑"/>
        <family val="2"/>
        <charset val="134"/>
      </rPr>
      <t xml:space="preserve">
F</t>
    </r>
    <r>
      <rPr>
        <sz val="10"/>
        <rFont val="微软雅黑"/>
        <family val="2"/>
        <charset val="134"/>
      </rPr>
      <t xml:space="preserve">  </t>
    </r>
    <r>
      <rPr>
        <sz val="10"/>
        <color theme="1"/>
        <rFont val="微软雅黑"/>
        <family val="2"/>
        <charset val="134"/>
      </rPr>
      <t xml:space="preserve">
B</t>
    </r>
    <r>
      <rPr>
        <sz val="10"/>
        <rFont val="微软雅黑"/>
        <family val="2"/>
        <charset val="134"/>
      </rPr>
      <t xml:space="preserve">  </t>
    </r>
    <r>
      <rPr>
        <sz val="10"/>
        <color theme="1"/>
        <rFont val="微软雅黑"/>
        <family val="2"/>
        <charset val="134"/>
      </rPr>
      <t xml:space="preserve">
/</t>
    </r>
    <r>
      <rPr>
        <sz val="10"/>
        <rFont val="微软雅黑"/>
        <family val="2"/>
        <charset val="134"/>
      </rPr>
      <t xml:space="preserve">  </t>
    </r>
    <r>
      <rPr>
        <sz val="10"/>
        <color theme="1"/>
        <rFont val="微软雅黑"/>
        <family val="2"/>
        <charset val="134"/>
      </rPr>
      <t xml:space="preserve">
Bug</t>
    </r>
    <r>
      <rPr>
        <sz val="10"/>
        <rFont val="微软雅黑"/>
        <family val="2"/>
        <charset val="134"/>
      </rPr>
      <t xml:space="preserve">  
</t>
    </r>
    <r>
      <rPr>
        <sz val="10"/>
        <color theme="1"/>
        <rFont val="微软雅黑"/>
        <family val="2"/>
        <charset val="134"/>
      </rPr>
      <t xml:space="preserve">
二、系统完成度评估
已完成:</t>
    </r>
    <r>
      <rPr>
        <sz val="10"/>
        <color theme="1"/>
        <rFont val="微软雅黑"/>
        <family val="2"/>
        <charset val="134"/>
      </rPr>
      <t>%
三、近期需要完成的功能:
无
非近期需要完成的功能:
无
四、Bug分布
功能性Bug：</t>
    </r>
    <r>
      <rPr>
        <sz val="10"/>
        <color theme="1"/>
        <rFont val="微软雅黑"/>
        <family val="2"/>
        <charset val="134"/>
      </rPr>
      <t>%
界面Bug：</t>
    </r>
    <r>
      <rPr>
        <sz val="10"/>
        <color theme="1"/>
        <rFont val="微软雅黑"/>
        <family val="2"/>
        <charset val="134"/>
      </rPr>
      <t>%
五、较严重的Bug
无</t>
    </r>
    <phoneticPr fontId="2" type="noConversion"/>
  </si>
  <si>
    <t>2016/3/15</t>
    <phoneticPr fontId="1" type="noConversion"/>
  </si>
  <si>
    <t>周学强</t>
    <phoneticPr fontId="1" type="noConversion"/>
  </si>
  <si>
    <t>0.0.70</t>
    <phoneticPr fontId="1" type="noConversion"/>
  </si>
  <si>
    <t>成功打开拍卖界面</t>
    <phoneticPr fontId="1" type="noConversion"/>
  </si>
  <si>
    <t>左上部分依次显示分页按钮：【我要购买】【我要出售】【公示物品】</t>
    <phoneticPr fontId="1" type="noConversion"/>
  </si>
  <si>
    <t>MTG-8567</t>
    <phoneticPr fontId="1" type="noConversion"/>
  </si>
  <si>
    <t>高级法术连击、高级法术波动、高级魔之心、高级法术穿刺、高级冥思、高级吸血、高级回春、</t>
    <phoneticPr fontId="1" type="noConversion"/>
  </si>
  <si>
    <t>剑舞、舍命击、散失之刃、英勇打击、灵魂禁锢、法力燃烧、法术否定。</t>
    <phoneticPr fontId="1" type="noConversion"/>
  </si>
  <si>
    <t>高级溅射、地狱烈火、霜冻新星、天崩地裂、雷神之怒、壁垒击破</t>
    <phoneticPr fontId="1" type="noConversion"/>
  </si>
  <si>
    <t>/</t>
    <phoneticPr fontId="1" type="noConversion"/>
  </si>
  <si>
    <t>烹饪二级菜单界面</t>
    <phoneticPr fontId="1" type="noConversion"/>
  </si>
  <si>
    <t>MTG-8571</t>
  </si>
  <si>
    <t>炼金二级菜单界面</t>
    <phoneticPr fontId="1" type="noConversion"/>
  </si>
  <si>
    <t>Title显示：选择炼金商品分类</t>
    <phoneticPr fontId="1" type="noConversion"/>
  </si>
  <si>
    <t>MTG-8572</t>
  </si>
  <si>
    <t>标题显示：“拍卖”</t>
    <phoneticPr fontId="1" type="noConversion"/>
  </si>
  <si>
    <t>B</t>
    <phoneticPr fontId="1" type="noConversion"/>
  </si>
  <si>
    <t>功能未制作</t>
    <phoneticPr fontId="1" type="noConversion"/>
  </si>
  <si>
    <t>购买确认界面右边弹出当前高级技能书的tips界面</t>
    <phoneticPr fontId="1" type="noConversion"/>
  </si>
  <si>
    <t>MTG-8577</t>
  </si>
  <si>
    <t>坐骑图标+角标+技能书名称+类型+功能</t>
    <phoneticPr fontId="1" type="noConversion"/>
  </si>
  <si>
    <t>装备打造图标+角标+技能书名称+类型+功能</t>
    <phoneticPr fontId="1" type="noConversion"/>
  </si>
  <si>
    <t>列表：最多显示4个商品，可以上下滑动</t>
    <phoneticPr fontId="1" type="noConversion"/>
  </si>
  <si>
    <t>P</t>
    <phoneticPr fontId="2" type="noConversion"/>
  </si>
  <si>
    <t>MT-G-PM-259</t>
  </si>
  <si>
    <t>1、摊位界面打开未过期上架道具
2、查看</t>
    <phoneticPr fontId="1" type="noConversion"/>
  </si>
  <si>
    <t>1、摊位界面打开已过期道具
2、查看</t>
    <phoneticPr fontId="1" type="noConversion"/>
  </si>
  <si>
    <t>商品说明文字可上下滑动</t>
    <phoneticPr fontId="1" type="noConversion"/>
  </si>
  <si>
    <t>道具图标+道具名称+道具功能</t>
    <phoneticPr fontId="1" type="noConversion"/>
  </si>
  <si>
    <t>中间部分显示道具文本说明文字</t>
    <phoneticPr fontId="1" type="noConversion"/>
  </si>
  <si>
    <t>售价+金币图标+价格</t>
    <phoneticPr fontId="1" type="noConversion"/>
  </si>
  <si>
    <t>左边为【取消】按钮</t>
    <phoneticPr fontId="1" type="noConversion"/>
  </si>
  <si>
    <t>右边为【下架】按钮</t>
    <phoneticPr fontId="1" type="noConversion"/>
  </si>
  <si>
    <t>状态显示：上架售卖中</t>
    <phoneticPr fontId="1" type="noConversion"/>
  </si>
  <si>
    <t>状态显示：已下架</t>
    <phoneticPr fontId="1" type="noConversion"/>
  </si>
  <si>
    <t>【重新上架】点击重新上架按钮道具上架</t>
    <phoneticPr fontId="1" type="noConversion"/>
  </si>
  <si>
    <t>默认兑换符石数量为1</t>
    <phoneticPr fontId="1" type="noConversion"/>
  </si>
  <si>
    <t>MT-G-PM-277</t>
    <phoneticPr fontId="1" type="noConversion"/>
  </si>
  <si>
    <t>珍品宠物出现在公式物品界面</t>
    <phoneticPr fontId="1" type="noConversion"/>
  </si>
  <si>
    <t>重新上架</t>
    <phoneticPr fontId="1" type="noConversion"/>
  </si>
  <si>
    <t>1、过期珍品商品不修改商品价格
2、点击【重新上架】按钮
2、查看</t>
    <phoneticPr fontId="1" type="noConversion"/>
  </si>
  <si>
    <t>弹出二级确认界面</t>
    <phoneticPr fontId="1" type="noConversion"/>
  </si>
  <si>
    <t>商品价格未做修改，将按当前价格不进入公示期，直接上架出售。</t>
    <phoneticPr fontId="1" type="noConversion"/>
  </si>
  <si>
    <t>【取消】【确认】按钮</t>
    <phoneticPr fontId="1" type="noConversion"/>
  </si>
  <si>
    <t>1、点击【确认】按钮
2、查看</t>
    <phoneticPr fontId="1" type="noConversion"/>
  </si>
  <si>
    <t>1、点击【取消】按钮
2、查看</t>
    <phoneticPr fontId="1" type="noConversion"/>
  </si>
  <si>
    <t>二级确认界面关闭</t>
    <phoneticPr fontId="1" type="noConversion"/>
  </si>
  <si>
    <t>商品未重新上架</t>
    <phoneticPr fontId="1" type="noConversion"/>
  </si>
  <si>
    <t>商品重新上架界面未关闭</t>
    <phoneticPr fontId="1" type="noConversion"/>
  </si>
  <si>
    <t>商品上架成功</t>
    <phoneticPr fontId="1" type="noConversion"/>
  </si>
  <si>
    <t>商品出现在我要购买界面</t>
    <phoneticPr fontId="1" type="noConversion"/>
  </si>
  <si>
    <t>MTG-8592</t>
  </si>
  <si>
    <t>1、过期珍品商品修改商品价格
2、点击【重新上架】按钮
2、查看</t>
    <phoneticPr fontId="1" type="noConversion"/>
  </si>
  <si>
    <t>修改价格后，需要重新进行8小时公示，修改吗？</t>
    <phoneticPr fontId="1" type="noConversion"/>
  </si>
  <si>
    <t>商品价格显示正确</t>
    <phoneticPr fontId="1" type="noConversion"/>
  </si>
  <si>
    <t>商品出现在公示物品界面</t>
    <phoneticPr fontId="1" type="noConversion"/>
  </si>
  <si>
    <t>1、非珍品过期道具修改价格重新上架
2、查看</t>
    <phoneticPr fontId="1" type="noConversion"/>
  </si>
  <si>
    <t>1、非珍品过期道具不修改价格重新上架
2、查看</t>
    <phoneticPr fontId="1" type="noConversion"/>
  </si>
  <si>
    <t>MT-G-PM-466</t>
  </si>
  <si>
    <t>MT-G-PM-476</t>
  </si>
  <si>
    <t>MT-G-PM-477</t>
  </si>
  <si>
    <t>MT-G-PM-478</t>
  </si>
  <si>
    <t>MT-G-PM-479</t>
  </si>
  <si>
    <t>MT-G-PM-489</t>
    <phoneticPr fontId="1" type="noConversion"/>
  </si>
  <si>
    <t>MT-G-PM-491</t>
  </si>
  <si>
    <t>MT-G-PM-499</t>
    <phoneticPr fontId="1" type="noConversion"/>
  </si>
  <si>
    <t>MT-G-PM-502</t>
    <phoneticPr fontId="1" type="noConversion"/>
  </si>
  <si>
    <t>MT-G-PM-503</t>
  </si>
  <si>
    <t>MT-G-PM-504</t>
  </si>
  <si>
    <t>MT-G-PM-505</t>
  </si>
  <si>
    <t>MT-G-PM-506</t>
  </si>
  <si>
    <t>MT-G-PM-507</t>
  </si>
  <si>
    <t>MT-G-PM-508</t>
  </si>
  <si>
    <t>MT-G-PM-509</t>
  </si>
  <si>
    <t>MT-G-PM-510</t>
  </si>
  <si>
    <t>MT-G-PM-511</t>
  </si>
  <si>
    <t>MT-G-PM-512</t>
  </si>
  <si>
    <t>MT-G-PM-513</t>
  </si>
  <si>
    <t>MT-G-PM-514</t>
  </si>
  <si>
    <t>MT-G-PM-515</t>
  </si>
  <si>
    <t>MT-G-PM-516</t>
  </si>
  <si>
    <t>MT-G-PM-517</t>
  </si>
  <si>
    <t>MT-G-PM-518</t>
  </si>
  <si>
    <t>MT-G-PM-519</t>
  </si>
  <si>
    <t>MT-G-PM-520</t>
  </si>
  <si>
    <t>MT-G-PM-521</t>
  </si>
  <si>
    <t>1、玩家选中自己的商品
2、点击【购买】按钮
3、查看</t>
    <phoneticPr fontId="1" type="noConversion"/>
  </si>
  <si>
    <t>购买失败</t>
    <phoneticPr fontId="1" type="noConversion"/>
  </si>
  <si>
    <t>系统提示：不能购买自己上架的商品</t>
    <phoneticPr fontId="1" type="noConversion"/>
  </si>
  <si>
    <t>1、点击非珍品宠物
2、查看</t>
    <phoneticPr fontId="1" type="noConversion"/>
  </si>
  <si>
    <t>系统提示：这只宠物普普通通不能上架哦！</t>
    <phoneticPr fontId="1" type="noConversion"/>
  </si>
  <si>
    <t>没有打开上架界面</t>
    <phoneticPr fontId="1" type="noConversion"/>
  </si>
  <si>
    <t>系统提示：参战宠物的等级低于35级不能上架</t>
    <phoneticPr fontId="1" type="noConversion"/>
  </si>
  <si>
    <t>1、点击参战等级35级以下宠物
2、查看</t>
    <phoneticPr fontId="1" type="noConversion"/>
  </si>
  <si>
    <t>系统提示：参战宠物不能上架</t>
    <phoneticPr fontId="1" type="noConversion"/>
  </si>
  <si>
    <t>1、点击参战等级大于35级的已出战宠物
2、查看</t>
    <phoneticPr fontId="1" type="noConversion"/>
  </si>
  <si>
    <t>系统提示：35级才能购买珍品宠物</t>
    <phoneticPr fontId="1" type="noConversion"/>
  </si>
  <si>
    <t>购买宠物失败</t>
    <phoneticPr fontId="1" type="noConversion"/>
  </si>
  <si>
    <t>1、玩家等级大于等于30级小于35级
2、点击购买宠物
3、查看</t>
    <phoneticPr fontId="1" type="noConversion"/>
  </si>
  <si>
    <t>1、玩家等级大于等于35级
2、点击购买参战等级大于自己10级的宠物
3、查看</t>
    <phoneticPr fontId="1" type="noConversion"/>
  </si>
  <si>
    <t>系统提示：不能购买参战等级超过自己10级的宠物</t>
    <phoneticPr fontId="1" type="noConversion"/>
  </si>
  <si>
    <t>MTG-8594</t>
  </si>
  <si>
    <t>MT-G-PM-522</t>
  </si>
  <si>
    <t>MT-G-PM-523</t>
  </si>
  <si>
    <t>MT-G-PM-524</t>
  </si>
  <si>
    <t>MT-G-PM-525</t>
  </si>
  <si>
    <t>MTG-6323</t>
    <phoneticPr fontId="1" type="noConversion"/>
  </si>
  <si>
    <t>MTG-8549</t>
  </si>
  <si>
    <t>MT-G-PM-526</t>
    <phoneticPr fontId="1" type="noConversion"/>
  </si>
  <si>
    <t>MT-G-PM-527</t>
  </si>
  <si>
    <t>MT-G-PM-528</t>
  </si>
  <si>
    <t>MT-G-PM-529</t>
  </si>
  <si>
    <t>MT-G-PM-530</t>
  </si>
  <si>
    <t>MT-G-PM-531</t>
  </si>
  <si>
    <t>MT-G-PM-532</t>
  </si>
  <si>
    <t>MT-G-PM-533</t>
  </si>
  <si>
    <t>MT-G-PM-489</t>
  </si>
  <si>
    <t>MT-G-PM-499</t>
  </si>
  <si>
    <t>MT-G-PM-500</t>
  </si>
  <si>
    <t>MT-G-PM-501</t>
  </si>
  <si>
    <t>MT-G-PM-502</t>
  </si>
  <si>
    <t>1、未过期道具
2、点击【下架】按钮
3、查看</t>
    <phoneticPr fontId="1" type="noConversion"/>
  </si>
  <si>
    <t>1、过期道具
2、点击【取回】按钮
3、查看</t>
    <phoneticPr fontId="1" type="noConversion"/>
  </si>
  <si>
    <t>商品取回成功</t>
    <phoneticPr fontId="1" type="noConversion"/>
  </si>
  <si>
    <t>下架界面关闭</t>
    <phoneticPr fontId="1" type="noConversion"/>
  </si>
  <si>
    <t>商品下架成功</t>
    <phoneticPr fontId="1" type="noConversion"/>
  </si>
  <si>
    <t>取回界面关闭</t>
    <phoneticPr fontId="1" type="noConversion"/>
  </si>
  <si>
    <t>商品出现在背包中</t>
    <phoneticPr fontId="1" type="noConversion"/>
  </si>
  <si>
    <t>P</t>
    <phoneticPr fontId="2" type="noConversion"/>
  </si>
  <si>
    <t>1、玩家打开购买界面后选中一件商品
2、此时选中的商品被其他玩家购买，玩家A点击【购买】按钮
3、查看</t>
    <phoneticPr fontId="1" type="noConversion"/>
  </si>
  <si>
    <t>MTG-8631</t>
  </si>
  <si>
    <t>六、搜索功能</t>
    <phoneticPr fontId="2" type="noConversion"/>
  </si>
  <si>
    <t>搜索功能</t>
    <phoneticPr fontId="1" type="noConversion"/>
  </si>
  <si>
    <t>五、关注</t>
    <phoneticPr fontId="2" type="noConversion"/>
  </si>
  <si>
    <t>关注</t>
    <phoneticPr fontId="1" type="noConversion"/>
  </si>
  <si>
    <t>MT-G-PM-501</t>
    <phoneticPr fontId="1" type="noConversion"/>
  </si>
  <si>
    <t>MT-G-PM-502</t>
    <phoneticPr fontId="1" type="noConversion"/>
  </si>
  <si>
    <t>MT-G-PM-505</t>
    <phoneticPr fontId="1" type="noConversion"/>
  </si>
  <si>
    <t>1、拍卖同类型道具
2、查看</t>
    <phoneticPr fontId="1" type="noConversion"/>
  </si>
  <si>
    <t>基础价格相同</t>
    <phoneticPr fontId="1" type="noConversion"/>
  </si>
  <si>
    <t>MTG-8628</t>
  </si>
  <si>
    <t>珍品装备没有价格涨跌</t>
    <phoneticPr fontId="1" type="noConversion"/>
  </si>
  <si>
    <t>1、价格涨跌
2、查看</t>
    <phoneticPr fontId="1" type="noConversion"/>
  </si>
  <si>
    <t>非珍品装备有价格涨跌</t>
    <phoneticPr fontId="1" type="noConversion"/>
  </si>
  <si>
    <t>1、服务器开服（2016/3/16）后
2、拍卖出售蓝剑（ID60550101）
3、查看</t>
    <phoneticPr fontId="1" type="noConversion"/>
  </si>
  <si>
    <t>默认价格800</t>
    <phoneticPr fontId="1" type="noConversion"/>
  </si>
  <si>
    <r>
      <t xml:space="preserve">推荐价格-50% </t>
    </r>
    <r>
      <rPr>
        <sz val="10"/>
        <color theme="1" tint="4.9989318521683403E-2"/>
        <rFont val="微软雅黑"/>
        <family val="2"/>
        <charset val="134"/>
      </rPr>
      <t xml:space="preserve"> 价格400</t>
    </r>
    <phoneticPr fontId="1" type="noConversion"/>
  </si>
  <si>
    <r>
      <t xml:space="preserve">推荐价格+50% </t>
    </r>
    <r>
      <rPr>
        <sz val="10"/>
        <color theme="1" tint="4.9989318521683403E-2"/>
        <rFont val="微软雅黑"/>
        <family val="2"/>
        <charset val="134"/>
      </rPr>
      <t>价格1200</t>
    </r>
    <phoneticPr fontId="1" type="noConversion"/>
  </si>
  <si>
    <t>1、本周期（2016/3/17）出售4把蓝剑（800、800、1200、1200）
2、下一周期（2016/3/18）查看上架价格</t>
    <phoneticPr fontId="1" type="noConversion"/>
  </si>
  <si>
    <t>默认价格1000</t>
    <phoneticPr fontId="1" type="noConversion"/>
  </si>
  <si>
    <r>
      <t xml:space="preserve">推荐价格+50% </t>
    </r>
    <r>
      <rPr>
        <sz val="10"/>
        <color theme="1" tint="4.9989318521683403E-2"/>
        <rFont val="微软雅黑"/>
        <family val="2"/>
        <charset val="134"/>
      </rPr>
      <t>价格1500</t>
    </r>
    <phoneticPr fontId="1" type="noConversion"/>
  </si>
  <si>
    <r>
      <t xml:space="preserve">推荐价格-50% </t>
    </r>
    <r>
      <rPr>
        <sz val="10"/>
        <color theme="1" tint="4.9989318521683403E-2"/>
        <rFont val="微软雅黑"/>
        <family val="2"/>
        <charset val="134"/>
      </rPr>
      <t xml:space="preserve"> 价格500</t>
    </r>
    <phoneticPr fontId="1" type="noConversion"/>
  </si>
  <si>
    <t>默认价格1500</t>
    <phoneticPr fontId="1" type="noConversion"/>
  </si>
  <si>
    <r>
      <t xml:space="preserve">推荐价格+50% </t>
    </r>
    <r>
      <rPr>
        <sz val="10"/>
        <color theme="1" tint="4.9989318521683403E-2"/>
        <rFont val="微软雅黑"/>
        <family val="2"/>
        <charset val="134"/>
      </rPr>
      <t>价格2250</t>
    </r>
    <phoneticPr fontId="1" type="noConversion"/>
  </si>
  <si>
    <r>
      <t xml:space="preserve">推荐价格-50% </t>
    </r>
    <r>
      <rPr>
        <sz val="10"/>
        <color theme="1" tint="4.9989318521683403E-2"/>
        <rFont val="微软雅黑"/>
        <family val="2"/>
        <charset val="134"/>
      </rPr>
      <t xml:space="preserve"> 价格750</t>
    </r>
    <phoneticPr fontId="1" type="noConversion"/>
  </si>
  <si>
    <t>默认价格2250</t>
    <phoneticPr fontId="1" type="noConversion"/>
  </si>
  <si>
    <t>1、本周期（2016/3/18）出售2把蓝剑（1500、1500）
2、下一周期（2016/3/19）查看上架价格</t>
    <phoneticPr fontId="1" type="noConversion"/>
  </si>
  <si>
    <t>1、本周期（2016/3/19）出售2把蓝剑（2250、2250）
2、下一周期（2016/3/20）查看上架价格</t>
    <phoneticPr fontId="1" type="noConversion"/>
  </si>
  <si>
    <r>
      <t xml:space="preserve">推荐价格+50% </t>
    </r>
    <r>
      <rPr>
        <sz val="10"/>
        <color theme="1" tint="4.9989318521683403E-2"/>
        <rFont val="微软雅黑"/>
        <family val="2"/>
        <charset val="134"/>
      </rPr>
      <t>价格3375</t>
    </r>
    <phoneticPr fontId="1" type="noConversion"/>
  </si>
  <si>
    <r>
      <t xml:space="preserve">推荐价格-50% </t>
    </r>
    <r>
      <rPr>
        <sz val="10"/>
        <color theme="1" tint="4.9989318521683403E-2"/>
        <rFont val="微软雅黑"/>
        <family val="2"/>
        <charset val="134"/>
      </rPr>
      <t xml:space="preserve"> 价格1125</t>
    </r>
    <phoneticPr fontId="1" type="noConversion"/>
  </si>
  <si>
    <t>1、本周期（2016/3/20）出售2把蓝剑（3375、3375）
2、下一周期（2016/3/21）查看上架价格</t>
    <phoneticPr fontId="1" type="noConversion"/>
  </si>
  <si>
    <t>1、本周期（2016/3/17）出售2把蓝剑（400、400）
2、下一周期（2016/3/18）查看上架价格</t>
    <phoneticPr fontId="1" type="noConversion"/>
  </si>
  <si>
    <t>默认价格480（已达到价格默认下限800*0.6=480）</t>
    <phoneticPr fontId="1" type="noConversion"/>
  </si>
  <si>
    <t>默认价格2400（已达到价格上限800*3=2400）</t>
    <phoneticPr fontId="1" type="noConversion"/>
  </si>
  <si>
    <r>
      <t xml:space="preserve">推荐价格+50% </t>
    </r>
    <r>
      <rPr>
        <sz val="10"/>
        <color theme="1" tint="4.9989318521683403E-2"/>
        <rFont val="微软雅黑"/>
        <family val="2"/>
        <charset val="134"/>
      </rPr>
      <t>价格3600</t>
    </r>
    <phoneticPr fontId="1" type="noConversion"/>
  </si>
  <si>
    <r>
      <t xml:space="preserve">推荐价格-50% </t>
    </r>
    <r>
      <rPr>
        <sz val="10"/>
        <color theme="1" tint="4.9989318521683403E-2"/>
        <rFont val="微软雅黑"/>
        <family val="2"/>
        <charset val="134"/>
      </rPr>
      <t xml:space="preserve"> 价格1200</t>
    </r>
    <phoneticPr fontId="1" type="noConversion"/>
  </si>
  <si>
    <t>1、本周期（2016/03/16）拍卖上架1把蓝剑（800）
2、下一周期（2016/3/17）查看上架价格</t>
    <phoneticPr fontId="1" type="noConversion"/>
  </si>
  <si>
    <t>默认价格960</t>
    <phoneticPr fontId="1" type="noConversion"/>
  </si>
  <si>
    <r>
      <t xml:space="preserve">推荐价格+50% </t>
    </r>
    <r>
      <rPr>
        <sz val="10"/>
        <color theme="1" tint="4.9989318521683403E-2"/>
        <rFont val="微软雅黑"/>
        <family val="2"/>
        <charset val="134"/>
      </rPr>
      <t>价格1440</t>
    </r>
    <phoneticPr fontId="1" type="noConversion"/>
  </si>
  <si>
    <r>
      <t xml:space="preserve">推荐价格-50% </t>
    </r>
    <r>
      <rPr>
        <sz val="10"/>
        <color theme="1" tint="4.9989318521683403E-2"/>
        <rFont val="微软雅黑"/>
        <family val="2"/>
        <charset val="134"/>
      </rPr>
      <t xml:space="preserve"> 价格480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</si>
</sst>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rgb="FF0000FF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0"/>
      <color indexed="12"/>
      <name val="微软雅黑"/>
      <family val="2"/>
      <charset val="134"/>
    </font>
    <font>
      <sz val="10"/>
      <color indexed="10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1"/>
      <name val="微软雅黑"/>
      <family val="2"/>
      <charset val="134"/>
    </font>
    <font>
      <sz val="11"/>
      <color indexed="10"/>
      <name val="微软雅黑"/>
      <family val="2"/>
      <charset val="134"/>
    </font>
    <font>
      <b/>
      <sz val="10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rgb="FF000000"/>
      <name val="Arial"/>
      <family val="2"/>
    </font>
    <font>
      <u/>
      <sz val="11"/>
      <color theme="10"/>
      <name val="宋体"/>
      <family val="2"/>
      <charset val="134"/>
      <scheme val="minor"/>
    </font>
    <font>
      <sz val="10"/>
      <color theme="1" tint="4.9989318521683403E-2"/>
      <name val="微软雅黑"/>
      <family val="2"/>
      <charset val="134"/>
    </font>
    <font>
      <sz val="10"/>
      <color rgb="FF00B050"/>
      <name val="微软雅黑"/>
      <family val="2"/>
      <charset val="134"/>
    </font>
  </fonts>
  <fills count="1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7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4" fillId="0" borderId="0" xfId="0" applyFont="1" applyBorder="1">
      <alignment vertical="center"/>
    </xf>
    <xf numFmtId="0" fontId="3" fillId="0" borderId="0" xfId="0" applyFont="1" applyBorder="1">
      <alignment vertical="center"/>
    </xf>
    <xf numFmtId="49" fontId="7" fillId="0" borderId="2" xfId="0" applyNumberFormat="1" applyFont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vertical="center" wrapText="1"/>
    </xf>
    <xf numFmtId="0" fontId="15" fillId="5" borderId="1" xfId="0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16" fillId="0" borderId="1" xfId="0" applyFont="1" applyBorder="1">
      <alignment vertical="center"/>
    </xf>
    <xf numFmtId="0" fontId="17" fillId="0" borderId="1" xfId="0" applyFont="1" applyBorder="1">
      <alignment vertical="center"/>
    </xf>
    <xf numFmtId="0" fontId="7" fillId="0" borderId="0" xfId="0" applyFont="1" applyBorder="1">
      <alignment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19" fillId="0" borderId="0" xfId="0" applyFont="1" applyBorder="1">
      <alignment vertical="center"/>
    </xf>
    <xf numFmtId="0" fontId="19" fillId="0" borderId="1" xfId="0" applyFont="1" applyBorder="1">
      <alignment vertical="center"/>
    </xf>
    <xf numFmtId="0" fontId="7" fillId="0" borderId="0" xfId="0" applyFont="1">
      <alignment vertical="center"/>
    </xf>
    <xf numFmtId="0" fontId="18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vertical="center" wrapText="1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>
      <alignment vertical="center"/>
    </xf>
    <xf numFmtId="14" fontId="7" fillId="0" borderId="1" xfId="0" applyNumberFormat="1" applyFont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1" fillId="0" borderId="1" xfId="1" applyBorder="1" applyAlignment="1">
      <alignment horizontal="center" vertical="center"/>
    </xf>
    <xf numFmtId="0" fontId="7" fillId="13" borderId="1" xfId="0" applyFont="1" applyFill="1" applyBorder="1">
      <alignment vertical="center"/>
    </xf>
    <xf numFmtId="0" fontId="20" fillId="14" borderId="0" xfId="0" applyFont="1" applyFill="1" applyAlignment="1">
      <alignment horizontal="left" vertical="top" wrapText="1"/>
    </xf>
    <xf numFmtId="0" fontId="21" fillId="14" borderId="1" xfId="1" applyFill="1" applyBorder="1" applyAlignment="1">
      <alignment horizontal="center" vertical="center" wrapText="1"/>
    </xf>
    <xf numFmtId="0" fontId="2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21" fillId="14" borderId="1" xfId="1" applyFill="1" applyBorder="1" applyAlignment="1">
      <alignment horizontal="left" vertical="top" wrapText="1"/>
    </xf>
    <xf numFmtId="0" fontId="21" fillId="14" borderId="1" xfId="1" applyFill="1" applyBorder="1" applyAlignment="1">
      <alignment horizontal="center" vertical="top" wrapText="1"/>
    </xf>
    <xf numFmtId="0" fontId="21" fillId="0" borderId="1" xfId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2" fillId="0" borderId="4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/>
    </xf>
    <xf numFmtId="0" fontId="7" fillId="10" borderId="3" xfId="0" applyFont="1" applyFill="1" applyBorder="1" applyAlignment="1">
      <alignment horizontal="left" vertical="center"/>
    </xf>
    <xf numFmtId="0" fontId="7" fillId="10" borderId="6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23" fillId="0" borderId="1" xfId="0" applyFont="1" applyBorder="1">
      <alignment vertical="center"/>
    </xf>
    <xf numFmtId="0" fontId="7" fillId="0" borderId="0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8.29.162:8080/browse/MTG-8549" TargetMode="External"/><Relationship Id="rId3" Type="http://schemas.openxmlformats.org/officeDocument/2006/relationships/hyperlink" Target="http://192.168.29.162:8080/browse/MTG-8572" TargetMode="External"/><Relationship Id="rId7" Type="http://schemas.openxmlformats.org/officeDocument/2006/relationships/hyperlink" Target="http://192.168.29.162:8080/browse/MTG-6323" TargetMode="External"/><Relationship Id="rId2" Type="http://schemas.openxmlformats.org/officeDocument/2006/relationships/hyperlink" Target="http://192.168.29.162:8080/browse/MTG-8571" TargetMode="External"/><Relationship Id="rId1" Type="http://schemas.openxmlformats.org/officeDocument/2006/relationships/hyperlink" Target="http://192.168.29.162:8080/browse/MTG-8567" TargetMode="External"/><Relationship Id="rId6" Type="http://schemas.openxmlformats.org/officeDocument/2006/relationships/hyperlink" Target="http://192.168.29.162:8080/browse/MTG-8594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://192.168.29.162:8080/browse/MTG-8592" TargetMode="External"/><Relationship Id="rId10" Type="http://schemas.openxmlformats.org/officeDocument/2006/relationships/hyperlink" Target="http://192.168.29.162:8080/browse/MTG-8628" TargetMode="External"/><Relationship Id="rId4" Type="http://schemas.openxmlformats.org/officeDocument/2006/relationships/hyperlink" Target="http://192.168.29.162:8080/browse/MTG-8577" TargetMode="External"/><Relationship Id="rId9" Type="http://schemas.openxmlformats.org/officeDocument/2006/relationships/hyperlink" Target="http://192.168.29.162:8080/browse/MTG-863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L1517"/>
  <sheetViews>
    <sheetView tabSelected="1" zoomScaleNormal="100" workbookViewId="0">
      <pane ySplit="6" topLeftCell="A431" activePane="bottomLeft" state="frozen"/>
      <selection pane="bottomLeft" activeCell="A2" sqref="A2:A5"/>
    </sheetView>
  </sheetViews>
  <sheetFormatPr defaultRowHeight="16.5" x14ac:dyDescent="0.15"/>
  <cols>
    <col min="1" max="1" width="10.5" style="60" customWidth="1"/>
    <col min="2" max="2" width="12.75" style="7" customWidth="1"/>
    <col min="3" max="3" width="53.625" style="7" customWidth="1"/>
    <col min="4" max="4" width="79.625" style="7" customWidth="1"/>
    <col min="5" max="7" width="9" style="7"/>
    <col min="8" max="8" width="9.125" style="14" customWidth="1"/>
    <col min="9" max="9" width="9" style="7"/>
    <col min="10" max="10" width="15.625" style="29" customWidth="1"/>
    <col min="11" max="220" width="9" style="33"/>
    <col min="221" max="16384" width="9" style="7"/>
  </cols>
  <sheetData>
    <row r="1" spans="1:220" s="38" customFormat="1" ht="21" x14ac:dyDescent="0.15">
      <c r="A1" s="94" t="s">
        <v>42</v>
      </c>
      <c r="B1" s="95"/>
      <c r="C1" s="95"/>
      <c r="D1" s="95"/>
      <c r="E1" s="95"/>
      <c r="F1" s="95"/>
      <c r="G1" s="95"/>
      <c r="H1" s="95"/>
      <c r="I1" s="96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7"/>
      <c r="DV1" s="37"/>
      <c r="DW1" s="37"/>
      <c r="DX1" s="37"/>
      <c r="DY1" s="37"/>
      <c r="DZ1" s="37"/>
      <c r="EA1" s="37"/>
      <c r="EB1" s="37"/>
      <c r="EC1" s="37"/>
      <c r="ED1" s="37"/>
      <c r="EE1" s="37"/>
      <c r="EF1" s="37"/>
      <c r="EG1" s="37"/>
      <c r="EH1" s="37"/>
      <c r="EI1" s="37"/>
      <c r="EJ1" s="37"/>
      <c r="EK1" s="37"/>
      <c r="EL1" s="37"/>
      <c r="EM1" s="37"/>
      <c r="EN1" s="37"/>
      <c r="EO1" s="37"/>
      <c r="EP1" s="37"/>
      <c r="EQ1" s="37"/>
      <c r="ER1" s="37"/>
      <c r="ES1" s="37"/>
      <c r="ET1" s="37"/>
      <c r="EU1" s="37"/>
      <c r="EV1" s="37"/>
      <c r="EW1" s="37"/>
      <c r="EX1" s="37"/>
      <c r="EY1" s="37"/>
      <c r="EZ1" s="37"/>
      <c r="FA1" s="37"/>
      <c r="FB1" s="37"/>
      <c r="FC1" s="37"/>
      <c r="FD1" s="37"/>
      <c r="FE1" s="37"/>
      <c r="FF1" s="37"/>
      <c r="FG1" s="37"/>
      <c r="FH1" s="37"/>
      <c r="FI1" s="37"/>
      <c r="FJ1" s="37"/>
      <c r="FK1" s="37"/>
      <c r="FL1" s="37"/>
      <c r="FM1" s="37"/>
      <c r="FN1" s="37"/>
      <c r="FO1" s="37"/>
      <c r="FP1" s="37"/>
      <c r="FQ1" s="37"/>
      <c r="FR1" s="37"/>
      <c r="FS1" s="37"/>
      <c r="FT1" s="37"/>
      <c r="FU1" s="37"/>
      <c r="FV1" s="37"/>
      <c r="FW1" s="37"/>
      <c r="FX1" s="37"/>
      <c r="FY1" s="37"/>
      <c r="FZ1" s="37"/>
      <c r="GA1" s="37"/>
      <c r="GB1" s="37"/>
      <c r="GC1" s="37"/>
      <c r="GD1" s="37"/>
      <c r="GE1" s="37"/>
      <c r="GF1" s="37"/>
      <c r="GG1" s="37"/>
      <c r="GH1" s="37"/>
      <c r="GI1" s="37"/>
      <c r="GJ1" s="37"/>
      <c r="GK1" s="37"/>
      <c r="GL1" s="37"/>
      <c r="GM1" s="37"/>
      <c r="GN1" s="37"/>
      <c r="GO1" s="37"/>
      <c r="GP1" s="37"/>
      <c r="GQ1" s="37"/>
      <c r="GR1" s="37"/>
      <c r="GS1" s="37"/>
      <c r="GT1" s="37"/>
      <c r="GU1" s="37"/>
      <c r="GV1" s="37"/>
      <c r="GW1" s="37"/>
      <c r="GX1" s="37"/>
      <c r="GY1" s="37"/>
      <c r="GZ1" s="37"/>
      <c r="HA1" s="37"/>
      <c r="HB1" s="37"/>
      <c r="HC1" s="37"/>
      <c r="HD1" s="37"/>
      <c r="HE1" s="37"/>
      <c r="HF1" s="37"/>
      <c r="HG1" s="37"/>
      <c r="HH1" s="37"/>
      <c r="HI1" s="37"/>
      <c r="HJ1" s="37"/>
      <c r="HK1" s="37"/>
      <c r="HL1" s="37"/>
    </row>
    <row r="2" spans="1:220" x14ac:dyDescent="0.15">
      <c r="A2" s="61" t="s">
        <v>6</v>
      </c>
      <c r="B2" s="24" t="s">
        <v>35</v>
      </c>
      <c r="C2" s="2" t="s">
        <v>7</v>
      </c>
      <c r="D2" s="3" t="s">
        <v>8</v>
      </c>
      <c r="E2" s="97" t="s">
        <v>9</v>
      </c>
      <c r="F2" s="97"/>
      <c r="G2" s="25">
        <v>1</v>
      </c>
      <c r="H2" s="18">
        <v>2</v>
      </c>
      <c r="I2" s="25">
        <v>3</v>
      </c>
      <c r="J2" s="26" t="s">
        <v>10</v>
      </c>
      <c r="K2" s="20" t="s">
        <v>11</v>
      </c>
      <c r="L2" s="20">
        <f>SUM(L3:L6)</f>
        <v>591</v>
      </c>
      <c r="M2" s="20">
        <f>SUM(M3:M6)</f>
        <v>0</v>
      </c>
      <c r="N2" s="20">
        <f>SUM(N3:N6)</f>
        <v>0</v>
      </c>
      <c r="O2" s="20">
        <f>SUM(O3:O6)</f>
        <v>591</v>
      </c>
      <c r="P2" s="20">
        <f>SUM(P3:P6)</f>
        <v>0</v>
      </c>
    </row>
    <row r="3" spans="1:220" x14ac:dyDescent="0.15">
      <c r="A3" s="61" t="s">
        <v>12</v>
      </c>
      <c r="B3" s="4">
        <v>42424</v>
      </c>
      <c r="C3" s="5" t="s">
        <v>13</v>
      </c>
      <c r="D3" s="6" t="s">
        <v>14</v>
      </c>
      <c r="E3" s="98" t="s">
        <v>15</v>
      </c>
      <c r="F3" s="98"/>
      <c r="G3" s="34" t="s">
        <v>997</v>
      </c>
      <c r="H3" s="17"/>
      <c r="I3" s="35"/>
      <c r="J3" s="27"/>
      <c r="K3" s="21" t="s">
        <v>16</v>
      </c>
      <c r="L3" s="20">
        <f>COUNTIF(G:G,"P")</f>
        <v>565</v>
      </c>
      <c r="M3" s="20">
        <f>COUNTIF(H:H,"P")</f>
        <v>0</v>
      </c>
      <c r="N3" s="20">
        <f>COUNTIF(F:F,"P")</f>
        <v>0</v>
      </c>
      <c r="O3" s="20">
        <f>COUNTIF(G:G,"P")</f>
        <v>565</v>
      </c>
      <c r="P3" s="20">
        <f>COUNTIF(H:H,"P")</f>
        <v>0</v>
      </c>
    </row>
    <row r="4" spans="1:220" x14ac:dyDescent="0.15">
      <c r="A4" s="61" t="s">
        <v>17</v>
      </c>
      <c r="B4" s="24" t="s">
        <v>37</v>
      </c>
      <c r="C4" s="8" t="s">
        <v>18</v>
      </c>
      <c r="D4" s="9" t="s">
        <v>19</v>
      </c>
      <c r="E4" s="98" t="s">
        <v>20</v>
      </c>
      <c r="F4" s="98"/>
      <c r="G4" s="34" t="s">
        <v>999</v>
      </c>
      <c r="H4" s="17"/>
      <c r="I4" s="35"/>
      <c r="J4" s="27"/>
      <c r="K4" s="22" t="s">
        <v>21</v>
      </c>
      <c r="L4" s="20">
        <f>COUNTIF(G:G,"F")</f>
        <v>9</v>
      </c>
      <c r="M4" s="20">
        <f>COUNTIF(E:E,"F")</f>
        <v>0</v>
      </c>
      <c r="N4" s="20">
        <f>COUNTIF(F:F,"F")</f>
        <v>0</v>
      </c>
      <c r="O4" s="20">
        <f>COUNTIF(G:G,"F")</f>
        <v>9</v>
      </c>
      <c r="P4" s="20">
        <f>COUNTIF(H:H,"F")</f>
        <v>0</v>
      </c>
    </row>
    <row r="5" spans="1:220" ht="13.5" customHeight="1" x14ac:dyDescent="0.15">
      <c r="A5" s="61" t="s">
        <v>22</v>
      </c>
      <c r="B5" s="24" t="s">
        <v>38</v>
      </c>
      <c r="C5" s="10" t="s">
        <v>23</v>
      </c>
      <c r="D5" s="11" t="s">
        <v>24</v>
      </c>
      <c r="E5" s="98" t="s">
        <v>25</v>
      </c>
      <c r="F5" s="98"/>
      <c r="G5" s="34" t="s">
        <v>998</v>
      </c>
      <c r="H5" s="17"/>
      <c r="I5" s="35"/>
      <c r="J5" s="27"/>
      <c r="K5" s="20" t="s">
        <v>26</v>
      </c>
      <c r="L5" s="20">
        <f>COUNTIF(G:G,"B")</f>
        <v>16</v>
      </c>
      <c r="M5" s="20">
        <f>COUNTIF(E:E,"B")</f>
        <v>0</v>
      </c>
      <c r="N5" s="20">
        <f>COUNTIF(F:F,"B")</f>
        <v>0</v>
      </c>
      <c r="O5" s="20">
        <f>COUNTIF(G:G,"B")</f>
        <v>16</v>
      </c>
      <c r="P5" s="20">
        <f>COUNTIF(H:H,"B")</f>
        <v>0</v>
      </c>
    </row>
    <row r="6" spans="1:220" x14ac:dyDescent="0.15">
      <c r="A6" s="99" t="s">
        <v>33</v>
      </c>
      <c r="B6" s="100"/>
      <c r="C6" s="100"/>
      <c r="D6" s="100"/>
      <c r="E6" s="100"/>
      <c r="F6" s="100"/>
      <c r="G6" s="100"/>
      <c r="H6" s="100"/>
      <c r="I6" s="100"/>
      <c r="J6" s="101"/>
      <c r="K6" s="7" t="s">
        <v>27</v>
      </c>
      <c r="L6" s="20">
        <f>COUNTIF(G:G,"/")</f>
        <v>1</v>
      </c>
      <c r="M6" s="20">
        <f>COUNTIF(E:E,"/")</f>
        <v>0</v>
      </c>
      <c r="N6" s="20">
        <f>COUNTIF(F:F,"/")</f>
        <v>0</v>
      </c>
      <c r="O6" s="20">
        <f>COUNTIF(G:G,"/")</f>
        <v>1</v>
      </c>
      <c r="P6" s="20">
        <f>COUNTIF(H:H,"/")</f>
        <v>0</v>
      </c>
    </row>
    <row r="7" spans="1:220" s="19" customFormat="1" x14ac:dyDescent="0.15">
      <c r="A7" s="102" t="s">
        <v>36</v>
      </c>
      <c r="B7" s="103"/>
      <c r="C7" s="103"/>
      <c r="D7" s="103"/>
      <c r="E7" s="103"/>
      <c r="F7" s="103"/>
      <c r="G7" s="103"/>
      <c r="H7" s="103"/>
      <c r="I7" s="103"/>
      <c r="J7" s="104"/>
      <c r="K7" s="32" t="s">
        <v>1</v>
      </c>
      <c r="L7" s="31">
        <v>0</v>
      </c>
      <c r="M7" s="31"/>
      <c r="N7" s="31"/>
      <c r="O7" s="31"/>
      <c r="P7" s="31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</row>
    <row r="8" spans="1:220" x14ac:dyDescent="0.15">
      <c r="A8" s="59" t="s">
        <v>28</v>
      </c>
      <c r="B8" s="23" t="s">
        <v>29</v>
      </c>
      <c r="C8" s="12" t="s">
        <v>0</v>
      </c>
      <c r="D8" s="6" t="s">
        <v>30</v>
      </c>
      <c r="E8" s="23" t="s">
        <v>31</v>
      </c>
      <c r="F8" s="23" t="s">
        <v>32</v>
      </c>
      <c r="G8" s="90" t="s">
        <v>34</v>
      </c>
      <c r="H8" s="90"/>
      <c r="I8" s="90"/>
      <c r="J8" s="28" t="s">
        <v>10</v>
      </c>
    </row>
    <row r="9" spans="1:220" ht="34.5" customHeight="1" x14ac:dyDescent="0.15">
      <c r="A9" s="73" t="s">
        <v>139</v>
      </c>
      <c r="B9" s="24" t="s">
        <v>41</v>
      </c>
      <c r="C9" s="29" t="s">
        <v>516</v>
      </c>
      <c r="D9" s="7" t="s">
        <v>39</v>
      </c>
      <c r="G9" s="62" t="s">
        <v>16</v>
      </c>
    </row>
    <row r="10" spans="1:220" ht="34.5" customHeight="1" x14ac:dyDescent="0.15">
      <c r="A10" s="74"/>
      <c r="B10" s="56" t="s">
        <v>43</v>
      </c>
      <c r="C10" s="29" t="s">
        <v>140</v>
      </c>
      <c r="D10" s="7" t="s">
        <v>39</v>
      </c>
      <c r="G10" s="62" t="s">
        <v>16</v>
      </c>
    </row>
    <row r="11" spans="1:220" ht="31.5" customHeight="1" x14ac:dyDescent="0.15">
      <c r="A11" s="74"/>
      <c r="B11" s="56" t="s">
        <v>44</v>
      </c>
      <c r="C11" s="29" t="s">
        <v>45</v>
      </c>
      <c r="D11" s="7" t="s">
        <v>1000</v>
      </c>
      <c r="G11" s="62" t="s">
        <v>16</v>
      </c>
    </row>
    <row r="12" spans="1:220" ht="31.5" customHeight="1" x14ac:dyDescent="0.15">
      <c r="A12" s="74"/>
      <c r="B12" s="56" t="s">
        <v>46</v>
      </c>
      <c r="C12" s="29" t="s">
        <v>213</v>
      </c>
      <c r="D12" s="7" t="s">
        <v>39</v>
      </c>
      <c r="G12" s="62" t="s">
        <v>16</v>
      </c>
    </row>
    <row r="13" spans="1:220" ht="31.5" customHeight="1" x14ac:dyDescent="0.15">
      <c r="A13" s="74"/>
      <c r="B13" s="56" t="s">
        <v>47</v>
      </c>
      <c r="C13" s="29" t="s">
        <v>214</v>
      </c>
      <c r="D13" s="7" t="s">
        <v>517</v>
      </c>
      <c r="G13" s="62" t="s">
        <v>16</v>
      </c>
    </row>
    <row r="14" spans="1:220" ht="16.5" customHeight="1" x14ac:dyDescent="0.15">
      <c r="A14" s="74"/>
      <c r="B14" s="56" t="s">
        <v>48</v>
      </c>
      <c r="C14" s="81" t="s">
        <v>519</v>
      </c>
      <c r="D14" s="7" t="s">
        <v>520</v>
      </c>
      <c r="G14" s="62" t="s">
        <v>16</v>
      </c>
    </row>
    <row r="15" spans="1:220" ht="16.5" customHeight="1" x14ac:dyDescent="0.15">
      <c r="A15" s="74"/>
      <c r="B15" s="56" t="s">
        <v>49</v>
      </c>
      <c r="C15" s="86"/>
      <c r="D15" s="7" t="s">
        <v>518</v>
      </c>
      <c r="G15" s="62" t="s">
        <v>16</v>
      </c>
    </row>
    <row r="16" spans="1:220" ht="24" customHeight="1" x14ac:dyDescent="0.15">
      <c r="A16" s="74"/>
      <c r="B16" s="56" t="s">
        <v>50</v>
      </c>
      <c r="C16" s="81" t="s">
        <v>221</v>
      </c>
      <c r="D16" s="7" t="s">
        <v>222</v>
      </c>
      <c r="G16" s="62" t="s">
        <v>16</v>
      </c>
    </row>
    <row r="17" spans="1:220" ht="21" customHeight="1" x14ac:dyDescent="0.15">
      <c r="A17" s="74"/>
      <c r="B17" s="56" t="s">
        <v>51</v>
      </c>
      <c r="C17" s="86"/>
      <c r="D17" s="7" t="s">
        <v>493</v>
      </c>
      <c r="G17" s="62" t="s">
        <v>16</v>
      </c>
    </row>
    <row r="18" spans="1:220" ht="16.5" customHeight="1" x14ac:dyDescent="0.15">
      <c r="A18" s="74"/>
      <c r="B18" s="56" t="s">
        <v>52</v>
      </c>
      <c r="C18" s="81" t="s">
        <v>657</v>
      </c>
      <c r="D18" s="7" t="s">
        <v>395</v>
      </c>
      <c r="G18" s="62" t="s">
        <v>16</v>
      </c>
    </row>
    <row r="19" spans="1:220" ht="16.5" customHeight="1" x14ac:dyDescent="0.15">
      <c r="A19" s="74"/>
      <c r="B19" s="56" t="s">
        <v>53</v>
      </c>
      <c r="C19" s="82"/>
      <c r="D19" s="7" t="s">
        <v>494</v>
      </c>
      <c r="G19" s="62" t="s">
        <v>16</v>
      </c>
    </row>
    <row r="20" spans="1:220" ht="16.5" customHeight="1" x14ac:dyDescent="0.15">
      <c r="A20" s="74"/>
      <c r="B20" s="56" t="s">
        <v>54</v>
      </c>
      <c r="C20" s="82"/>
      <c r="D20" s="7" t="s">
        <v>659</v>
      </c>
      <c r="G20" s="62" t="s">
        <v>16</v>
      </c>
    </row>
    <row r="21" spans="1:220" ht="16.5" customHeight="1" x14ac:dyDescent="0.15">
      <c r="A21" s="74"/>
      <c r="B21" s="56" t="s">
        <v>55</v>
      </c>
      <c r="C21" s="86"/>
      <c r="D21" s="7" t="s">
        <v>495</v>
      </c>
      <c r="G21" s="62" t="s">
        <v>16</v>
      </c>
    </row>
    <row r="22" spans="1:220" ht="16.5" customHeight="1" x14ac:dyDescent="0.15">
      <c r="A22" s="74"/>
      <c r="B22" s="56" t="s">
        <v>56</v>
      </c>
      <c r="C22" s="81" t="s">
        <v>658</v>
      </c>
      <c r="D22" s="7" t="s">
        <v>395</v>
      </c>
      <c r="G22" s="62" t="s">
        <v>16</v>
      </c>
    </row>
    <row r="23" spans="1:220" ht="16.5" customHeight="1" x14ac:dyDescent="0.15">
      <c r="A23" s="74"/>
      <c r="B23" s="56" t="s">
        <v>57</v>
      </c>
      <c r="C23" s="82"/>
      <c r="D23" s="7" t="s">
        <v>494</v>
      </c>
      <c r="G23" s="62" t="s">
        <v>16</v>
      </c>
    </row>
    <row r="24" spans="1:220" ht="16.5" customHeight="1" x14ac:dyDescent="0.15">
      <c r="A24" s="74"/>
      <c r="B24" s="56" t="s">
        <v>58</v>
      </c>
      <c r="C24" s="82"/>
      <c r="D24" s="7" t="s">
        <v>659</v>
      </c>
      <c r="G24" s="62" t="s">
        <v>16</v>
      </c>
    </row>
    <row r="25" spans="1:220" ht="16.5" customHeight="1" x14ac:dyDescent="0.15">
      <c r="A25" s="74"/>
      <c r="B25" s="56" t="s">
        <v>59</v>
      </c>
      <c r="C25" s="86"/>
      <c r="D25" s="7" t="s">
        <v>495</v>
      </c>
      <c r="G25" s="62" t="s">
        <v>16</v>
      </c>
    </row>
    <row r="26" spans="1:220" ht="16.7" customHeight="1" x14ac:dyDescent="0.15">
      <c r="A26" s="74"/>
      <c r="B26" s="56" t="s">
        <v>60</v>
      </c>
      <c r="C26" s="81" t="s">
        <v>215</v>
      </c>
      <c r="D26" s="7" t="s">
        <v>219</v>
      </c>
      <c r="G26" s="62" t="s">
        <v>16</v>
      </c>
    </row>
    <row r="27" spans="1:220" ht="16.7" customHeight="1" x14ac:dyDescent="0.15">
      <c r="A27" s="74"/>
      <c r="B27" s="56" t="s">
        <v>61</v>
      </c>
      <c r="C27" s="86"/>
      <c r="D27" s="7" t="s">
        <v>218</v>
      </c>
      <c r="G27" s="62" t="s">
        <v>16</v>
      </c>
    </row>
    <row r="28" spans="1:220" ht="31.5" customHeight="1" x14ac:dyDescent="0.15">
      <c r="A28" s="74"/>
      <c r="B28" s="56" t="s">
        <v>62</v>
      </c>
      <c r="C28" s="50" t="s">
        <v>217</v>
      </c>
      <c r="D28" s="7" t="s">
        <v>220</v>
      </c>
      <c r="G28" s="62" t="s">
        <v>16</v>
      </c>
    </row>
    <row r="29" spans="1:220" ht="31.5" customHeight="1" x14ac:dyDescent="0.15">
      <c r="A29" s="74"/>
      <c r="B29" s="56" t="s">
        <v>63</v>
      </c>
      <c r="C29" s="50" t="s">
        <v>216</v>
      </c>
      <c r="D29" s="7" t="s">
        <v>220</v>
      </c>
      <c r="G29" s="62" t="s">
        <v>16</v>
      </c>
    </row>
    <row r="30" spans="1:220" ht="32.25" customHeight="1" x14ac:dyDescent="0.15">
      <c r="A30" s="74"/>
      <c r="B30" s="56" t="s">
        <v>64</v>
      </c>
      <c r="C30" s="29" t="s">
        <v>212</v>
      </c>
      <c r="D30" s="7" t="s">
        <v>40</v>
      </c>
      <c r="G30" s="62" t="s">
        <v>16</v>
      </c>
    </row>
    <row r="31" spans="1:220" s="19" customFormat="1" x14ac:dyDescent="0.15">
      <c r="A31" s="87" t="s">
        <v>141</v>
      </c>
      <c r="B31" s="88"/>
      <c r="C31" s="88"/>
      <c r="D31" s="88"/>
      <c r="E31" s="88"/>
      <c r="F31" s="88"/>
      <c r="G31" s="88"/>
      <c r="H31" s="88"/>
      <c r="I31" s="88"/>
      <c r="J31" s="89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</row>
    <row r="32" spans="1:220" ht="13.5" customHeight="1" x14ac:dyDescent="0.15">
      <c r="A32" s="59" t="s">
        <v>28</v>
      </c>
      <c r="B32" s="48" t="s">
        <v>29</v>
      </c>
      <c r="C32" s="12" t="s">
        <v>0</v>
      </c>
      <c r="D32" s="6" t="s">
        <v>30</v>
      </c>
      <c r="E32" s="48" t="s">
        <v>31</v>
      </c>
      <c r="F32" s="48" t="s">
        <v>32</v>
      </c>
      <c r="G32" s="90" t="s">
        <v>34</v>
      </c>
      <c r="H32" s="90"/>
      <c r="I32" s="90"/>
      <c r="J32" s="28" t="s">
        <v>10</v>
      </c>
    </row>
    <row r="33" spans="1:8" ht="16.5" customHeight="1" x14ac:dyDescent="0.15">
      <c r="A33" s="73" t="s">
        <v>665</v>
      </c>
      <c r="B33" s="49" t="s">
        <v>680</v>
      </c>
      <c r="C33" s="81" t="s">
        <v>164</v>
      </c>
      <c r="D33" s="7" t="s">
        <v>165</v>
      </c>
      <c r="G33" s="62" t="s">
        <v>16</v>
      </c>
      <c r="H33" s="7"/>
    </row>
    <row r="34" spans="1:8" ht="16.5" customHeight="1" x14ac:dyDescent="0.15">
      <c r="A34" s="74"/>
      <c r="B34" s="56" t="s">
        <v>65</v>
      </c>
      <c r="C34" s="82"/>
      <c r="D34" s="7" t="s">
        <v>1001</v>
      </c>
      <c r="G34" s="62" t="s">
        <v>16</v>
      </c>
      <c r="H34" s="7"/>
    </row>
    <row r="35" spans="1:8" ht="16.5" customHeight="1" x14ac:dyDescent="0.15">
      <c r="A35" s="74"/>
      <c r="B35" s="56" t="s">
        <v>66</v>
      </c>
      <c r="C35" s="82"/>
      <c r="D35" s="7" t="s">
        <v>666</v>
      </c>
      <c r="G35" s="62" t="s">
        <v>16</v>
      </c>
      <c r="H35" s="7"/>
    </row>
    <row r="36" spans="1:8" ht="16.5" customHeight="1" x14ac:dyDescent="0.15">
      <c r="A36" s="74"/>
      <c r="B36" s="56" t="s">
        <v>67</v>
      </c>
      <c r="C36" s="82"/>
      <c r="D36" s="7" t="s">
        <v>911</v>
      </c>
      <c r="G36" s="62" t="s">
        <v>16</v>
      </c>
      <c r="H36" s="7"/>
    </row>
    <row r="37" spans="1:8" ht="16.5" customHeight="1" x14ac:dyDescent="0.15">
      <c r="A37" s="74"/>
      <c r="B37" s="56" t="s">
        <v>68</v>
      </c>
      <c r="C37" s="82"/>
      <c r="D37" s="7" t="s">
        <v>667</v>
      </c>
      <c r="G37" s="62" t="s">
        <v>16</v>
      </c>
      <c r="H37" s="7"/>
    </row>
    <row r="38" spans="1:8" ht="16.5" customHeight="1" x14ac:dyDescent="0.15">
      <c r="A38" s="74"/>
      <c r="B38" s="56" t="s">
        <v>69</v>
      </c>
      <c r="C38" s="82"/>
      <c r="D38" s="7" t="s">
        <v>668</v>
      </c>
      <c r="G38" s="62" t="s">
        <v>16</v>
      </c>
      <c r="H38" s="7"/>
    </row>
    <row r="39" spans="1:8" ht="16.5" customHeight="1" x14ac:dyDescent="0.15">
      <c r="A39" s="74"/>
      <c r="B39" s="56" t="s">
        <v>70</v>
      </c>
      <c r="C39" s="82"/>
      <c r="D39" s="7" t="s">
        <v>670</v>
      </c>
      <c r="G39" s="62" t="s">
        <v>16</v>
      </c>
      <c r="H39" s="7"/>
    </row>
    <row r="40" spans="1:8" ht="16.5" customHeight="1" x14ac:dyDescent="0.15">
      <c r="A40" s="74"/>
      <c r="B40" s="56" t="s">
        <v>71</v>
      </c>
      <c r="C40" s="82"/>
      <c r="D40" s="7" t="s">
        <v>669</v>
      </c>
      <c r="G40" s="62" t="s">
        <v>16</v>
      </c>
      <c r="H40" s="7"/>
    </row>
    <row r="41" spans="1:8" ht="16.5" customHeight="1" x14ac:dyDescent="0.15">
      <c r="A41" s="74"/>
      <c r="B41" s="56" t="s">
        <v>72</v>
      </c>
      <c r="C41" s="81" t="s">
        <v>684</v>
      </c>
      <c r="D41" s="7" t="s">
        <v>681</v>
      </c>
      <c r="G41" s="62" t="s">
        <v>16</v>
      </c>
      <c r="H41" s="7"/>
    </row>
    <row r="42" spans="1:8" ht="16.5" customHeight="1" x14ac:dyDescent="0.15">
      <c r="A42" s="74"/>
      <c r="B42" s="56" t="s">
        <v>73</v>
      </c>
      <c r="C42" s="82"/>
      <c r="D42" s="7" t="s">
        <v>682</v>
      </c>
      <c r="G42" s="62" t="s">
        <v>16</v>
      </c>
      <c r="H42" s="7"/>
    </row>
    <row r="43" spans="1:8" ht="16.5" customHeight="1" x14ac:dyDescent="0.15">
      <c r="A43" s="74"/>
      <c r="B43" s="56" t="s">
        <v>74</v>
      </c>
      <c r="C43" s="82"/>
      <c r="D43" s="7" t="s">
        <v>683</v>
      </c>
      <c r="G43" s="62" t="s">
        <v>16</v>
      </c>
      <c r="H43" s="7"/>
    </row>
    <row r="44" spans="1:8" ht="16.5" customHeight="1" x14ac:dyDescent="0.15">
      <c r="A44" s="74"/>
      <c r="B44" s="56" t="s">
        <v>75</v>
      </c>
      <c r="C44" s="80" t="s">
        <v>685</v>
      </c>
      <c r="D44" s="7" t="s">
        <v>676</v>
      </c>
      <c r="G44" s="62" t="s">
        <v>16</v>
      </c>
      <c r="H44" s="7"/>
    </row>
    <row r="45" spans="1:8" ht="16.5" customHeight="1" x14ac:dyDescent="0.15">
      <c r="A45" s="74"/>
      <c r="B45" s="56" t="s">
        <v>76</v>
      </c>
      <c r="C45" s="80"/>
      <c r="D45" s="7" t="s">
        <v>677</v>
      </c>
      <c r="G45" s="62" t="s">
        <v>16</v>
      </c>
      <c r="H45" s="7"/>
    </row>
    <row r="46" spans="1:8" ht="16.5" customHeight="1" x14ac:dyDescent="0.15">
      <c r="A46" s="74"/>
      <c r="B46" s="56" t="s">
        <v>77</v>
      </c>
      <c r="C46" s="80"/>
      <c r="D46" s="7" t="s">
        <v>679</v>
      </c>
      <c r="G46" s="62" t="s">
        <v>16</v>
      </c>
      <c r="H46" s="7"/>
    </row>
    <row r="47" spans="1:8" ht="16.5" customHeight="1" x14ac:dyDescent="0.15">
      <c r="A47" s="74"/>
      <c r="B47" s="56" t="s">
        <v>78</v>
      </c>
      <c r="C47" s="80"/>
      <c r="D47" s="7" t="s">
        <v>678</v>
      </c>
      <c r="G47" s="62" t="s">
        <v>16</v>
      </c>
      <c r="H47" s="7"/>
    </row>
    <row r="48" spans="1:8" ht="16.5" customHeight="1" x14ac:dyDescent="0.15">
      <c r="A48" s="74"/>
      <c r="B48" s="56" t="s">
        <v>79</v>
      </c>
      <c r="C48" s="81" t="s">
        <v>686</v>
      </c>
      <c r="D48" s="7" t="s">
        <v>674</v>
      </c>
      <c r="G48" s="62" t="s">
        <v>16</v>
      </c>
      <c r="H48" s="7"/>
    </row>
    <row r="49" spans="1:8" ht="16.5" customHeight="1" x14ac:dyDescent="0.15">
      <c r="A49" s="74"/>
      <c r="B49" s="56" t="s">
        <v>80</v>
      </c>
      <c r="C49" s="86"/>
      <c r="D49" s="7" t="s">
        <v>675</v>
      </c>
      <c r="G49" s="62" t="s">
        <v>16</v>
      </c>
      <c r="H49" s="7"/>
    </row>
    <row r="50" spans="1:8" ht="16.5" customHeight="1" x14ac:dyDescent="0.15">
      <c r="A50" s="74"/>
      <c r="B50" s="56" t="s">
        <v>81</v>
      </c>
      <c r="C50" s="81" t="s">
        <v>687</v>
      </c>
      <c r="D50" s="7" t="s">
        <v>672</v>
      </c>
      <c r="G50" s="62" t="s">
        <v>16</v>
      </c>
      <c r="H50" s="7"/>
    </row>
    <row r="51" spans="1:8" ht="16.5" customHeight="1" x14ac:dyDescent="0.15">
      <c r="A51" s="74"/>
      <c r="B51" s="56" t="s">
        <v>82</v>
      </c>
      <c r="C51" s="86"/>
      <c r="D51" s="7" t="s">
        <v>673</v>
      </c>
      <c r="G51" s="62" t="s">
        <v>16</v>
      </c>
      <c r="H51" s="7"/>
    </row>
    <row r="52" spans="1:8" ht="16.5" customHeight="1" x14ac:dyDescent="0.15">
      <c r="A52" s="73" t="s">
        <v>170</v>
      </c>
      <c r="B52" s="56" t="s">
        <v>83</v>
      </c>
      <c r="C52" s="81" t="s">
        <v>799</v>
      </c>
      <c r="D52" s="7" t="s">
        <v>671</v>
      </c>
      <c r="G52" s="62" t="s">
        <v>16</v>
      </c>
      <c r="H52" s="7"/>
    </row>
    <row r="53" spans="1:8" ht="16.5" customHeight="1" x14ac:dyDescent="0.15">
      <c r="A53" s="74"/>
      <c r="B53" s="56" t="s">
        <v>84</v>
      </c>
      <c r="C53" s="82"/>
      <c r="D53" s="7" t="s">
        <v>697</v>
      </c>
      <c r="G53" s="62" t="s">
        <v>16</v>
      </c>
      <c r="H53" s="7"/>
    </row>
    <row r="54" spans="1:8" ht="16.5" customHeight="1" x14ac:dyDescent="0.15">
      <c r="A54" s="74"/>
      <c r="B54" s="56" t="s">
        <v>85</v>
      </c>
      <c r="C54" s="82"/>
      <c r="D54" s="7" t="s">
        <v>698</v>
      </c>
      <c r="G54" s="62" t="s">
        <v>16</v>
      </c>
      <c r="H54" s="7"/>
    </row>
    <row r="55" spans="1:8" ht="16.5" customHeight="1" x14ac:dyDescent="0.15">
      <c r="A55" s="74"/>
      <c r="B55" s="56" t="s">
        <v>86</v>
      </c>
      <c r="C55" s="82"/>
      <c r="D55" s="7" t="s">
        <v>699</v>
      </c>
      <c r="G55" s="62" t="s">
        <v>16</v>
      </c>
      <c r="H55" s="7"/>
    </row>
    <row r="56" spans="1:8" ht="16.5" customHeight="1" x14ac:dyDescent="0.15">
      <c r="A56" s="74"/>
      <c r="B56" s="56" t="s">
        <v>87</v>
      </c>
      <c r="C56" s="82"/>
      <c r="D56" s="7" t="s">
        <v>700</v>
      </c>
      <c r="G56" s="62" t="s">
        <v>16</v>
      </c>
      <c r="H56" s="7"/>
    </row>
    <row r="57" spans="1:8" ht="16.5" customHeight="1" x14ac:dyDescent="0.15">
      <c r="A57" s="74"/>
      <c r="B57" s="56" t="s">
        <v>88</v>
      </c>
      <c r="C57" s="82"/>
      <c r="D57" s="7" t="s">
        <v>708</v>
      </c>
      <c r="G57" s="62" t="s">
        <v>16</v>
      </c>
      <c r="H57" s="7"/>
    </row>
    <row r="58" spans="1:8" ht="16.5" customHeight="1" x14ac:dyDescent="0.15">
      <c r="A58" s="74"/>
      <c r="B58" s="56" t="s">
        <v>89</v>
      </c>
      <c r="C58" s="82"/>
      <c r="D58" s="7" t="s">
        <v>707</v>
      </c>
      <c r="G58" s="62" t="s">
        <v>16</v>
      </c>
      <c r="H58" s="7"/>
    </row>
    <row r="59" spans="1:8" ht="16.5" customHeight="1" x14ac:dyDescent="0.15">
      <c r="A59" s="74"/>
      <c r="B59" s="56" t="s">
        <v>90</v>
      </c>
      <c r="C59" s="82"/>
      <c r="D59" s="7" t="s">
        <v>706</v>
      </c>
      <c r="G59" s="62" t="s">
        <v>16</v>
      </c>
      <c r="H59" s="7"/>
    </row>
    <row r="60" spans="1:8" ht="16.5" customHeight="1" x14ac:dyDescent="0.15">
      <c r="A60" s="74"/>
      <c r="B60" s="56" t="s">
        <v>91</v>
      </c>
      <c r="C60" s="82"/>
      <c r="D60" s="7" t="s">
        <v>705</v>
      </c>
      <c r="G60" s="62" t="s">
        <v>16</v>
      </c>
      <c r="H60" s="7"/>
    </row>
    <row r="61" spans="1:8" ht="16.5" customHeight="1" x14ac:dyDescent="0.15">
      <c r="A61" s="74"/>
      <c r="B61" s="56" t="s">
        <v>92</v>
      </c>
      <c r="C61" s="82"/>
      <c r="D61" s="7" t="s">
        <v>704</v>
      </c>
      <c r="G61" s="62" t="s">
        <v>16</v>
      </c>
      <c r="H61" s="7"/>
    </row>
    <row r="62" spans="1:8" ht="16.5" customHeight="1" x14ac:dyDescent="0.15">
      <c r="A62" s="74"/>
      <c r="B62" s="56" t="s">
        <v>93</v>
      </c>
      <c r="C62" s="82"/>
      <c r="D62" s="7" t="s">
        <v>703</v>
      </c>
      <c r="G62" s="62" t="s">
        <v>16</v>
      </c>
      <c r="H62" s="7"/>
    </row>
    <row r="63" spans="1:8" ht="16.5" customHeight="1" x14ac:dyDescent="0.15">
      <c r="A63" s="74"/>
      <c r="B63" s="56" t="s">
        <v>94</v>
      </c>
      <c r="C63" s="82"/>
      <c r="D63" s="7" t="s">
        <v>702</v>
      </c>
      <c r="G63" s="62" t="s">
        <v>16</v>
      </c>
      <c r="H63" s="7"/>
    </row>
    <row r="64" spans="1:8" ht="16.5" customHeight="1" x14ac:dyDescent="0.15">
      <c r="A64" s="74"/>
      <c r="B64" s="56" t="s">
        <v>95</v>
      </c>
      <c r="C64" s="86"/>
      <c r="D64" s="7" t="s">
        <v>701</v>
      </c>
      <c r="G64" s="62" t="s">
        <v>16</v>
      </c>
      <c r="H64" s="7"/>
    </row>
    <row r="65" spans="1:10" ht="16.5" customHeight="1" x14ac:dyDescent="0.15">
      <c r="A65" s="74"/>
      <c r="B65" s="56" t="s">
        <v>96</v>
      </c>
      <c r="C65" s="81" t="s">
        <v>711</v>
      </c>
      <c r="D65" s="7" t="s">
        <v>709</v>
      </c>
      <c r="G65" s="62" t="s">
        <v>16</v>
      </c>
      <c r="H65" s="7"/>
    </row>
    <row r="66" spans="1:10" ht="16.5" customHeight="1" x14ac:dyDescent="0.15">
      <c r="A66" s="74"/>
      <c r="B66" s="56" t="s">
        <v>97</v>
      </c>
      <c r="C66" s="82"/>
      <c r="D66" s="7" t="s">
        <v>710</v>
      </c>
      <c r="G66" s="62" t="s">
        <v>16</v>
      </c>
      <c r="H66" s="7"/>
    </row>
    <row r="67" spans="1:10" ht="16.5" customHeight="1" x14ac:dyDescent="0.15">
      <c r="A67" s="74"/>
      <c r="B67" s="56" t="s">
        <v>98</v>
      </c>
      <c r="C67" s="82"/>
      <c r="D67" s="7" t="s">
        <v>714</v>
      </c>
      <c r="G67" s="62" t="s">
        <v>16</v>
      </c>
      <c r="H67" s="7"/>
    </row>
    <row r="68" spans="1:10" ht="16.5" customHeight="1" x14ac:dyDescent="0.15">
      <c r="A68" s="74"/>
      <c r="B68" s="56" t="s">
        <v>99</v>
      </c>
      <c r="C68" s="82"/>
      <c r="D68" s="7" t="s">
        <v>719</v>
      </c>
      <c r="G68" s="62" t="s">
        <v>16</v>
      </c>
      <c r="H68" s="7"/>
    </row>
    <row r="69" spans="1:10" ht="16.5" customHeight="1" x14ac:dyDescent="0.15">
      <c r="A69" s="74"/>
      <c r="B69" s="56" t="s">
        <v>100</v>
      </c>
      <c r="C69" s="82"/>
      <c r="D69" s="7" t="s">
        <v>712</v>
      </c>
      <c r="G69" s="63" t="s">
        <v>21</v>
      </c>
      <c r="H69" s="7"/>
      <c r="J69" s="64" t="s">
        <v>1002</v>
      </c>
    </row>
    <row r="70" spans="1:10" ht="16.5" customHeight="1" x14ac:dyDescent="0.15">
      <c r="A70" s="74"/>
      <c r="B70" s="56" t="s">
        <v>101</v>
      </c>
      <c r="C70" s="81" t="s">
        <v>713</v>
      </c>
      <c r="D70" s="7" t="s">
        <v>717</v>
      </c>
      <c r="G70" s="62" t="s">
        <v>16</v>
      </c>
      <c r="H70" s="7"/>
    </row>
    <row r="71" spans="1:10" ht="16.5" customHeight="1" x14ac:dyDescent="0.15">
      <c r="A71" s="74"/>
      <c r="B71" s="56" t="s">
        <v>102</v>
      </c>
      <c r="C71" s="82"/>
      <c r="D71" s="7" t="s">
        <v>716</v>
      </c>
      <c r="G71" s="62" t="s">
        <v>16</v>
      </c>
      <c r="H71" s="7"/>
    </row>
    <row r="72" spans="1:10" ht="16.5" customHeight="1" x14ac:dyDescent="0.15">
      <c r="A72" s="74"/>
      <c r="B72" s="56" t="s">
        <v>103</v>
      </c>
      <c r="C72" s="82"/>
      <c r="D72" s="7" t="s">
        <v>715</v>
      </c>
      <c r="G72" s="62" t="s">
        <v>16</v>
      </c>
      <c r="H72" s="7"/>
    </row>
    <row r="73" spans="1:10" ht="16.5" customHeight="1" x14ac:dyDescent="0.15">
      <c r="A73" s="74"/>
      <c r="B73" s="56" t="s">
        <v>104</v>
      </c>
      <c r="C73" s="82"/>
      <c r="D73" s="7" t="s">
        <v>718</v>
      </c>
      <c r="G73" s="62" t="s">
        <v>16</v>
      </c>
      <c r="H73" s="7"/>
    </row>
    <row r="74" spans="1:10" ht="16.5" customHeight="1" x14ac:dyDescent="0.15">
      <c r="A74" s="74"/>
      <c r="B74" s="56" t="s">
        <v>105</v>
      </c>
      <c r="C74" s="86"/>
      <c r="D74" s="7" t="s">
        <v>712</v>
      </c>
      <c r="G74" s="62" t="s">
        <v>16</v>
      </c>
      <c r="H74" s="7"/>
    </row>
    <row r="75" spans="1:10" ht="16.5" customHeight="1" x14ac:dyDescent="0.15">
      <c r="A75" s="74"/>
      <c r="B75" s="56" t="s">
        <v>106</v>
      </c>
      <c r="C75" s="81" t="s">
        <v>720</v>
      </c>
      <c r="D75" s="7" t="s">
        <v>721</v>
      </c>
      <c r="G75" s="62" t="s">
        <v>16</v>
      </c>
      <c r="H75" s="7"/>
    </row>
    <row r="76" spans="1:10" ht="16.5" customHeight="1" x14ac:dyDescent="0.15">
      <c r="A76" s="74"/>
      <c r="B76" s="56" t="s">
        <v>107</v>
      </c>
      <c r="C76" s="82"/>
      <c r="D76" s="7" t="s">
        <v>722</v>
      </c>
      <c r="G76" s="62" t="s">
        <v>16</v>
      </c>
      <c r="H76" s="7"/>
    </row>
    <row r="77" spans="1:10" ht="16.5" customHeight="1" x14ac:dyDescent="0.15">
      <c r="A77" s="74"/>
      <c r="B77" s="56" t="s">
        <v>108</v>
      </c>
      <c r="C77" s="82"/>
      <c r="D77" s="7" t="s">
        <v>723</v>
      </c>
      <c r="G77" s="62" t="s">
        <v>16</v>
      </c>
      <c r="H77" s="7"/>
    </row>
    <row r="78" spans="1:10" ht="16.5" customHeight="1" x14ac:dyDescent="0.15">
      <c r="A78" s="74"/>
      <c r="B78" s="56" t="s">
        <v>109</v>
      </c>
      <c r="C78" s="82"/>
      <c r="D78" s="7" t="s">
        <v>724</v>
      </c>
      <c r="G78" s="62" t="s">
        <v>16</v>
      </c>
      <c r="H78" s="7"/>
    </row>
    <row r="79" spans="1:10" ht="16.5" customHeight="1" x14ac:dyDescent="0.15">
      <c r="A79" s="74"/>
      <c r="B79" s="56" t="s">
        <v>110</v>
      </c>
      <c r="C79" s="86"/>
      <c r="D79" s="7" t="s">
        <v>712</v>
      </c>
      <c r="G79" s="62" t="s">
        <v>16</v>
      </c>
      <c r="H79" s="7"/>
    </row>
    <row r="80" spans="1:10" ht="16.5" customHeight="1" x14ac:dyDescent="0.15">
      <c r="A80" s="74"/>
      <c r="B80" s="56" t="s">
        <v>111</v>
      </c>
      <c r="C80" s="81" t="s">
        <v>725</v>
      </c>
      <c r="D80" s="7" t="s">
        <v>726</v>
      </c>
      <c r="G80" s="62" t="s">
        <v>16</v>
      </c>
      <c r="H80" s="7"/>
    </row>
    <row r="81" spans="1:8" ht="16.5" customHeight="1" x14ac:dyDescent="0.15">
      <c r="A81" s="74"/>
      <c r="B81" s="56" t="s">
        <v>112</v>
      </c>
      <c r="C81" s="82"/>
      <c r="D81" s="7" t="s">
        <v>727</v>
      </c>
      <c r="G81" s="62" t="s">
        <v>16</v>
      </c>
      <c r="H81" s="7"/>
    </row>
    <row r="82" spans="1:8" ht="16.5" customHeight="1" x14ac:dyDescent="0.15">
      <c r="A82" s="74"/>
      <c r="B82" s="56" t="s">
        <v>113</v>
      </c>
      <c r="C82" s="82"/>
      <c r="D82" s="7" t="s">
        <v>728</v>
      </c>
      <c r="G82" s="62" t="s">
        <v>16</v>
      </c>
      <c r="H82" s="7"/>
    </row>
    <row r="83" spans="1:8" ht="16.5" customHeight="1" x14ac:dyDescent="0.15">
      <c r="A83" s="74"/>
      <c r="B83" s="56" t="s">
        <v>114</v>
      </c>
      <c r="C83" s="82"/>
      <c r="D83" s="7" t="s">
        <v>729</v>
      </c>
      <c r="G83" s="62" t="s">
        <v>16</v>
      </c>
      <c r="H83" s="7"/>
    </row>
    <row r="84" spans="1:8" ht="16.5" customHeight="1" x14ac:dyDescent="0.15">
      <c r="A84" s="74"/>
      <c r="B84" s="56" t="s">
        <v>115</v>
      </c>
      <c r="C84" s="82"/>
      <c r="D84" s="7" t="s">
        <v>1003</v>
      </c>
      <c r="G84" s="62" t="s">
        <v>16</v>
      </c>
      <c r="H84" s="7"/>
    </row>
    <row r="85" spans="1:8" ht="16.5" customHeight="1" x14ac:dyDescent="0.15">
      <c r="A85" s="74"/>
      <c r="B85" s="56" t="s">
        <v>116</v>
      </c>
      <c r="C85" s="82"/>
      <c r="D85" s="7" t="s">
        <v>730</v>
      </c>
      <c r="G85" s="62" t="s">
        <v>16</v>
      </c>
      <c r="H85" s="7"/>
    </row>
    <row r="86" spans="1:8" ht="16.5" customHeight="1" x14ac:dyDescent="0.15">
      <c r="A86" s="74"/>
      <c r="B86" s="56" t="s">
        <v>117</v>
      </c>
      <c r="C86" s="82"/>
      <c r="D86" s="7" t="s">
        <v>731</v>
      </c>
      <c r="G86" s="62" t="s">
        <v>16</v>
      </c>
      <c r="H86" s="7"/>
    </row>
    <row r="87" spans="1:8" ht="16.5" customHeight="1" x14ac:dyDescent="0.15">
      <c r="A87" s="74"/>
      <c r="B87" s="56" t="s">
        <v>118</v>
      </c>
      <c r="C87" s="82"/>
      <c r="D87" s="7" t="s">
        <v>732</v>
      </c>
      <c r="G87" s="62" t="s">
        <v>16</v>
      </c>
      <c r="H87" s="7"/>
    </row>
    <row r="88" spans="1:8" ht="16.5" customHeight="1" x14ac:dyDescent="0.15">
      <c r="A88" s="74"/>
      <c r="B88" s="56" t="s">
        <v>119</v>
      </c>
      <c r="C88" s="82"/>
      <c r="D88" s="7" t="s">
        <v>1005</v>
      </c>
      <c r="G88" s="62" t="s">
        <v>16</v>
      </c>
      <c r="H88" s="7"/>
    </row>
    <row r="89" spans="1:8" ht="16.5" customHeight="1" x14ac:dyDescent="0.15">
      <c r="A89" s="74"/>
      <c r="B89" s="56" t="s">
        <v>120</v>
      </c>
      <c r="C89" s="82"/>
      <c r="D89" s="65" t="s">
        <v>1004</v>
      </c>
      <c r="G89" s="56" t="s">
        <v>1006</v>
      </c>
      <c r="H89" s="7"/>
    </row>
    <row r="90" spans="1:8" ht="16.5" customHeight="1" x14ac:dyDescent="0.15">
      <c r="A90" s="74"/>
      <c r="B90" s="56" t="s">
        <v>121</v>
      </c>
      <c r="C90" s="86"/>
      <c r="D90" s="7" t="s">
        <v>712</v>
      </c>
      <c r="G90" s="62" t="s">
        <v>16</v>
      </c>
      <c r="H90" s="7"/>
    </row>
    <row r="91" spans="1:8" ht="16.5" customHeight="1" x14ac:dyDescent="0.15">
      <c r="A91" s="74"/>
      <c r="B91" s="56" t="s">
        <v>122</v>
      </c>
      <c r="C91" s="81" t="s">
        <v>733</v>
      </c>
      <c r="D91" s="7" t="s">
        <v>734</v>
      </c>
      <c r="G91" s="62" t="s">
        <v>16</v>
      </c>
      <c r="H91" s="7"/>
    </row>
    <row r="92" spans="1:8" ht="16.5" customHeight="1" x14ac:dyDescent="0.15">
      <c r="A92" s="74"/>
      <c r="B92" s="56" t="s">
        <v>123</v>
      </c>
      <c r="C92" s="82"/>
      <c r="D92" s="7" t="s">
        <v>735</v>
      </c>
      <c r="G92" s="62" t="s">
        <v>16</v>
      </c>
      <c r="H92" s="7"/>
    </row>
    <row r="93" spans="1:8" ht="16.5" customHeight="1" x14ac:dyDescent="0.15">
      <c r="A93" s="74"/>
      <c r="B93" s="56" t="s">
        <v>124</v>
      </c>
      <c r="C93" s="82"/>
      <c r="D93" s="7" t="s">
        <v>728</v>
      </c>
      <c r="G93" s="62" t="s">
        <v>16</v>
      </c>
      <c r="H93" s="7"/>
    </row>
    <row r="94" spans="1:8" ht="16.5" customHeight="1" x14ac:dyDescent="0.15">
      <c r="A94" s="74"/>
      <c r="B94" s="56" t="s">
        <v>125</v>
      </c>
      <c r="C94" s="82"/>
      <c r="D94" s="7" t="s">
        <v>736</v>
      </c>
      <c r="G94" s="62" t="s">
        <v>16</v>
      </c>
      <c r="H94" s="7"/>
    </row>
    <row r="95" spans="1:8" ht="16.5" customHeight="1" x14ac:dyDescent="0.15">
      <c r="A95" s="74"/>
      <c r="B95" s="56" t="s">
        <v>126</v>
      </c>
      <c r="C95" s="82"/>
      <c r="D95" s="7" t="s">
        <v>737</v>
      </c>
      <c r="G95" s="62" t="s">
        <v>16</v>
      </c>
      <c r="H95" s="7"/>
    </row>
    <row r="96" spans="1:8" ht="16.5" customHeight="1" x14ac:dyDescent="0.15">
      <c r="A96" s="74"/>
      <c r="B96" s="56" t="s">
        <v>127</v>
      </c>
      <c r="C96" s="82"/>
      <c r="D96" s="7" t="s">
        <v>738</v>
      </c>
      <c r="G96" s="62" t="s">
        <v>16</v>
      </c>
      <c r="H96" s="7"/>
    </row>
    <row r="97" spans="1:11" ht="16.5" customHeight="1" x14ac:dyDescent="0.15">
      <c r="A97" s="74"/>
      <c r="B97" s="56" t="s">
        <v>128</v>
      </c>
      <c r="C97" s="82"/>
      <c r="D97" s="7" t="s">
        <v>739</v>
      </c>
      <c r="G97" s="62" t="s">
        <v>16</v>
      </c>
      <c r="H97" s="7"/>
    </row>
    <row r="98" spans="1:11" ht="16.5" customHeight="1" x14ac:dyDescent="0.15">
      <c r="A98" s="74"/>
      <c r="B98" s="56" t="s">
        <v>129</v>
      </c>
      <c r="C98" s="86"/>
      <c r="D98" s="7" t="s">
        <v>712</v>
      </c>
      <c r="G98" s="62" t="s">
        <v>16</v>
      </c>
      <c r="H98" s="7"/>
    </row>
    <row r="99" spans="1:11" ht="16.5" customHeight="1" x14ac:dyDescent="0.15">
      <c r="A99" s="74"/>
      <c r="B99" s="56" t="s">
        <v>130</v>
      </c>
      <c r="C99" s="81" t="s">
        <v>1009</v>
      </c>
      <c r="D99" s="7" t="s">
        <v>1010</v>
      </c>
      <c r="G99" s="63" t="s">
        <v>21</v>
      </c>
      <c r="H99" s="7"/>
      <c r="J99" s="67" t="s">
        <v>1008</v>
      </c>
      <c r="K99" s="66"/>
    </row>
    <row r="100" spans="1:11" ht="16.5" customHeight="1" x14ac:dyDescent="0.15">
      <c r="A100" s="74"/>
      <c r="B100" s="56" t="s">
        <v>131</v>
      </c>
      <c r="C100" s="82"/>
      <c r="D100" s="7" t="s">
        <v>740</v>
      </c>
      <c r="G100" s="62" t="s">
        <v>16</v>
      </c>
      <c r="H100" s="7"/>
    </row>
    <row r="101" spans="1:11" ht="16.5" customHeight="1" x14ac:dyDescent="0.15">
      <c r="A101" s="74"/>
      <c r="B101" s="56" t="s">
        <v>132</v>
      </c>
      <c r="C101" s="82"/>
      <c r="D101" s="7" t="s">
        <v>741</v>
      </c>
      <c r="G101" s="62" t="s">
        <v>16</v>
      </c>
      <c r="H101" s="7"/>
    </row>
    <row r="102" spans="1:11" ht="16.5" customHeight="1" x14ac:dyDescent="0.15">
      <c r="A102" s="74"/>
      <c r="B102" s="56" t="s">
        <v>133</v>
      </c>
      <c r="C102" s="82"/>
      <c r="D102" s="7" t="s">
        <v>745</v>
      </c>
      <c r="G102" s="62" t="s">
        <v>16</v>
      </c>
      <c r="H102" s="7"/>
    </row>
    <row r="103" spans="1:11" ht="16.5" customHeight="1" x14ac:dyDescent="0.15">
      <c r="A103" s="74"/>
      <c r="B103" s="56" t="s">
        <v>134</v>
      </c>
      <c r="C103" s="86"/>
      <c r="D103" s="7" t="s">
        <v>712</v>
      </c>
      <c r="G103" s="62" t="s">
        <v>16</v>
      </c>
      <c r="H103" s="7"/>
    </row>
    <row r="104" spans="1:11" ht="16.5" customHeight="1" x14ac:dyDescent="0.15">
      <c r="A104" s="74"/>
      <c r="B104" s="56" t="s">
        <v>135</v>
      </c>
      <c r="C104" s="81" t="s">
        <v>1007</v>
      </c>
      <c r="D104" s="7" t="s">
        <v>742</v>
      </c>
      <c r="G104" s="62" t="s">
        <v>16</v>
      </c>
      <c r="H104" s="7"/>
    </row>
    <row r="105" spans="1:11" ht="16.5" customHeight="1" x14ac:dyDescent="0.15">
      <c r="A105" s="74"/>
      <c r="B105" s="56" t="s">
        <v>136</v>
      </c>
      <c r="C105" s="82"/>
      <c r="D105" s="7" t="s">
        <v>743</v>
      </c>
      <c r="G105" s="62" t="s">
        <v>16</v>
      </c>
      <c r="H105" s="7"/>
    </row>
    <row r="106" spans="1:11" ht="16.5" customHeight="1" x14ac:dyDescent="0.15">
      <c r="A106" s="74"/>
      <c r="B106" s="56" t="s">
        <v>137</v>
      </c>
      <c r="C106" s="82"/>
      <c r="D106" s="7" t="s">
        <v>744</v>
      </c>
      <c r="G106" s="62" t="s">
        <v>16</v>
      </c>
      <c r="H106" s="7"/>
    </row>
    <row r="107" spans="1:11" ht="16.5" customHeight="1" x14ac:dyDescent="0.15">
      <c r="A107" s="74"/>
      <c r="B107" s="56" t="s">
        <v>138</v>
      </c>
      <c r="C107" s="82"/>
      <c r="D107" s="7" t="s">
        <v>746</v>
      </c>
      <c r="G107" s="62" t="s">
        <v>16</v>
      </c>
      <c r="H107" s="7"/>
    </row>
    <row r="108" spans="1:11" ht="16.5" customHeight="1" x14ac:dyDescent="0.15">
      <c r="A108" s="74"/>
      <c r="B108" s="56" t="s">
        <v>143</v>
      </c>
      <c r="C108" s="86"/>
      <c r="D108" s="7" t="s">
        <v>712</v>
      </c>
      <c r="G108" s="62" t="s">
        <v>16</v>
      </c>
      <c r="H108" s="7"/>
    </row>
    <row r="109" spans="1:11" ht="16.5" customHeight="1" x14ac:dyDescent="0.15">
      <c r="A109" s="74"/>
      <c r="B109" s="56" t="s">
        <v>144</v>
      </c>
      <c r="C109" s="81" t="s">
        <v>747</v>
      </c>
      <c r="D109" s="7" t="s">
        <v>752</v>
      </c>
      <c r="G109" s="62" t="s">
        <v>16</v>
      </c>
      <c r="H109" s="7"/>
    </row>
    <row r="110" spans="1:11" ht="16.5" customHeight="1" x14ac:dyDescent="0.15">
      <c r="A110" s="74"/>
      <c r="B110" s="56" t="s">
        <v>145</v>
      </c>
      <c r="C110" s="82"/>
      <c r="D110" s="7" t="s">
        <v>753</v>
      </c>
      <c r="G110" s="62" t="s">
        <v>16</v>
      </c>
      <c r="H110" s="7"/>
    </row>
    <row r="111" spans="1:11" ht="16.5" customHeight="1" x14ac:dyDescent="0.15">
      <c r="A111" s="74"/>
      <c r="B111" s="56" t="s">
        <v>146</v>
      </c>
      <c r="C111" s="82"/>
      <c r="D111" s="7" t="s">
        <v>754</v>
      </c>
      <c r="G111" s="62" t="s">
        <v>16</v>
      </c>
      <c r="H111" s="7"/>
    </row>
    <row r="112" spans="1:11" ht="16.5" customHeight="1" x14ac:dyDescent="0.15">
      <c r="A112" s="74"/>
      <c r="B112" s="56" t="s">
        <v>147</v>
      </c>
      <c r="C112" s="82"/>
      <c r="D112" s="7" t="s">
        <v>755</v>
      </c>
      <c r="G112" s="62" t="s">
        <v>16</v>
      </c>
      <c r="H112" s="7"/>
    </row>
    <row r="113" spans="1:10" ht="16.5" customHeight="1" x14ac:dyDescent="0.15">
      <c r="A113" s="74"/>
      <c r="B113" s="56" t="s">
        <v>148</v>
      </c>
      <c r="C113" s="86"/>
      <c r="D113" s="7" t="s">
        <v>712</v>
      </c>
      <c r="G113" s="62" t="s">
        <v>16</v>
      </c>
      <c r="H113" s="7"/>
    </row>
    <row r="114" spans="1:10" ht="16.5" customHeight="1" x14ac:dyDescent="0.15">
      <c r="A114" s="74"/>
      <c r="B114" s="56" t="s">
        <v>149</v>
      </c>
      <c r="C114" s="81" t="s">
        <v>748</v>
      </c>
      <c r="D114" s="7" t="s">
        <v>756</v>
      </c>
      <c r="G114" s="62" t="s">
        <v>16</v>
      </c>
      <c r="H114" s="7"/>
    </row>
    <row r="115" spans="1:10" ht="16.5" customHeight="1" x14ac:dyDescent="0.15">
      <c r="A115" s="74"/>
      <c r="B115" s="56" t="s">
        <v>150</v>
      </c>
      <c r="C115" s="82"/>
      <c r="D115" s="7" t="s">
        <v>757</v>
      </c>
      <c r="G115" s="62" t="s">
        <v>16</v>
      </c>
      <c r="H115" s="7"/>
    </row>
    <row r="116" spans="1:10" ht="16.5" customHeight="1" x14ac:dyDescent="0.15">
      <c r="A116" s="74"/>
      <c r="B116" s="56" t="s">
        <v>151</v>
      </c>
      <c r="C116" s="82"/>
      <c r="D116" s="7" t="s">
        <v>758</v>
      </c>
      <c r="G116" s="63" t="s">
        <v>21</v>
      </c>
      <c r="H116" s="7"/>
      <c r="J116" s="64" t="s">
        <v>1011</v>
      </c>
    </row>
    <row r="117" spans="1:10" ht="16.5" customHeight="1" x14ac:dyDescent="0.15">
      <c r="A117" s="74"/>
      <c r="B117" s="56" t="s">
        <v>152</v>
      </c>
      <c r="C117" s="82"/>
      <c r="D117" s="7" t="s">
        <v>759</v>
      </c>
      <c r="G117" s="62" t="s">
        <v>16</v>
      </c>
      <c r="H117" s="7"/>
    </row>
    <row r="118" spans="1:10" ht="16.5" customHeight="1" x14ac:dyDescent="0.15">
      <c r="A118" s="74"/>
      <c r="B118" s="56" t="s">
        <v>153</v>
      </c>
      <c r="C118" s="82"/>
      <c r="D118" s="7" t="s">
        <v>760</v>
      </c>
      <c r="G118" s="62" t="s">
        <v>16</v>
      </c>
      <c r="H118" s="7"/>
    </row>
    <row r="119" spans="1:10" ht="16.5" customHeight="1" x14ac:dyDescent="0.15">
      <c r="A119" s="74"/>
      <c r="B119" s="56" t="s">
        <v>154</v>
      </c>
      <c r="C119" s="86"/>
      <c r="D119" s="7" t="s">
        <v>712</v>
      </c>
      <c r="G119" s="62" t="s">
        <v>16</v>
      </c>
      <c r="H119" s="7"/>
    </row>
    <row r="120" spans="1:10" ht="16.5" customHeight="1" x14ac:dyDescent="0.15">
      <c r="A120" s="74"/>
      <c r="B120" s="56" t="s">
        <v>155</v>
      </c>
      <c r="C120" s="81" t="s">
        <v>749</v>
      </c>
      <c r="D120" s="7" t="s">
        <v>761</v>
      </c>
      <c r="G120" s="62" t="s">
        <v>16</v>
      </c>
      <c r="H120" s="7"/>
    </row>
    <row r="121" spans="1:10" ht="16.5" customHeight="1" x14ac:dyDescent="0.15">
      <c r="A121" s="74"/>
      <c r="B121" s="56" t="s">
        <v>156</v>
      </c>
      <c r="C121" s="82"/>
      <c r="D121" s="7" t="s">
        <v>762</v>
      </c>
      <c r="G121" s="62" t="s">
        <v>16</v>
      </c>
      <c r="H121" s="7"/>
    </row>
    <row r="122" spans="1:10" ht="16.5" customHeight="1" x14ac:dyDescent="0.15">
      <c r="A122" s="74"/>
      <c r="B122" s="56" t="s">
        <v>157</v>
      </c>
      <c r="C122" s="82"/>
      <c r="D122" s="7" t="s">
        <v>763</v>
      </c>
      <c r="G122" s="62" t="s">
        <v>16</v>
      </c>
      <c r="H122" s="7"/>
    </row>
    <row r="123" spans="1:10" ht="16.5" customHeight="1" x14ac:dyDescent="0.15">
      <c r="A123" s="74"/>
      <c r="B123" s="56" t="s">
        <v>158</v>
      </c>
      <c r="C123" s="82"/>
      <c r="D123" s="7" t="s">
        <v>764</v>
      </c>
      <c r="G123" s="62" t="s">
        <v>16</v>
      </c>
      <c r="H123" s="7"/>
    </row>
    <row r="124" spans="1:10" ht="16.5" customHeight="1" x14ac:dyDescent="0.15">
      <c r="A124" s="74"/>
      <c r="B124" s="56" t="s">
        <v>159</v>
      </c>
      <c r="C124" s="86"/>
      <c r="D124" s="7" t="s">
        <v>712</v>
      </c>
      <c r="G124" s="62" t="s">
        <v>16</v>
      </c>
      <c r="H124" s="7"/>
    </row>
    <row r="125" spans="1:10" ht="16.5" customHeight="1" x14ac:dyDescent="0.15">
      <c r="A125" s="74"/>
      <c r="B125" s="56" t="s">
        <v>160</v>
      </c>
      <c r="C125" s="81" t="s">
        <v>750</v>
      </c>
      <c r="D125" s="7" t="s">
        <v>769</v>
      </c>
      <c r="G125" s="62" t="s">
        <v>16</v>
      </c>
      <c r="H125" s="7"/>
    </row>
    <row r="126" spans="1:10" ht="16.5" customHeight="1" x14ac:dyDescent="0.15">
      <c r="A126" s="74"/>
      <c r="B126" s="56" t="s">
        <v>161</v>
      </c>
      <c r="C126" s="82"/>
      <c r="D126" s="7" t="s">
        <v>770</v>
      </c>
      <c r="G126" s="62" t="s">
        <v>16</v>
      </c>
      <c r="H126" s="7"/>
    </row>
    <row r="127" spans="1:10" ht="16.5" customHeight="1" x14ac:dyDescent="0.15">
      <c r="A127" s="74"/>
      <c r="B127" s="56" t="s">
        <v>162</v>
      </c>
      <c r="C127" s="82"/>
      <c r="D127" s="7" t="s">
        <v>771</v>
      </c>
      <c r="G127" s="62" t="s">
        <v>16</v>
      </c>
      <c r="H127" s="7"/>
    </row>
    <row r="128" spans="1:10" ht="16.5" customHeight="1" x14ac:dyDescent="0.15">
      <c r="A128" s="74"/>
      <c r="B128" s="56" t="s">
        <v>163</v>
      </c>
      <c r="C128" s="82"/>
      <c r="D128" s="7" t="s">
        <v>772</v>
      </c>
      <c r="G128" s="62" t="s">
        <v>16</v>
      </c>
      <c r="H128" s="7"/>
    </row>
    <row r="129" spans="1:8" ht="16.5" customHeight="1" x14ac:dyDescent="0.15">
      <c r="A129" s="74"/>
      <c r="B129" s="56" t="s">
        <v>176</v>
      </c>
      <c r="C129" s="86"/>
      <c r="D129" s="7" t="s">
        <v>712</v>
      </c>
      <c r="G129" s="62" t="s">
        <v>16</v>
      </c>
      <c r="H129" s="7"/>
    </row>
    <row r="130" spans="1:8" ht="16.5" customHeight="1" x14ac:dyDescent="0.15">
      <c r="A130" s="74"/>
      <c r="B130" s="56" t="s">
        <v>177</v>
      </c>
      <c r="C130" s="81" t="s">
        <v>751</v>
      </c>
      <c r="D130" s="7" t="s">
        <v>765</v>
      </c>
      <c r="G130" s="62" t="s">
        <v>16</v>
      </c>
      <c r="H130" s="7"/>
    </row>
    <row r="131" spans="1:8" ht="16.5" customHeight="1" x14ac:dyDescent="0.15">
      <c r="A131" s="74"/>
      <c r="B131" s="56" t="s">
        <v>178</v>
      </c>
      <c r="C131" s="82"/>
      <c r="D131" s="7" t="s">
        <v>766</v>
      </c>
      <c r="G131" s="62" t="s">
        <v>16</v>
      </c>
      <c r="H131" s="7"/>
    </row>
    <row r="132" spans="1:8" ht="16.5" customHeight="1" x14ac:dyDescent="0.15">
      <c r="A132" s="74"/>
      <c r="B132" s="56" t="s">
        <v>179</v>
      </c>
      <c r="C132" s="82"/>
      <c r="D132" s="7" t="s">
        <v>767</v>
      </c>
      <c r="G132" s="62" t="s">
        <v>16</v>
      </c>
      <c r="H132" s="7"/>
    </row>
    <row r="133" spans="1:8" ht="16.5" customHeight="1" x14ac:dyDescent="0.15">
      <c r="A133" s="74"/>
      <c r="B133" s="56" t="s">
        <v>180</v>
      </c>
      <c r="C133" s="82"/>
      <c r="D133" s="7" t="s">
        <v>768</v>
      </c>
      <c r="G133" s="62" t="s">
        <v>16</v>
      </c>
      <c r="H133" s="7"/>
    </row>
    <row r="134" spans="1:8" ht="16.5" customHeight="1" x14ac:dyDescent="0.15">
      <c r="A134" s="74"/>
      <c r="B134" s="56" t="s">
        <v>181</v>
      </c>
      <c r="C134" s="86"/>
      <c r="D134" s="7" t="s">
        <v>712</v>
      </c>
      <c r="G134" s="62" t="s">
        <v>16</v>
      </c>
      <c r="H134" s="7"/>
    </row>
    <row r="135" spans="1:8" ht="16.5" customHeight="1" x14ac:dyDescent="0.15">
      <c r="A135" s="92" t="s">
        <v>171</v>
      </c>
      <c r="B135" s="56" t="s">
        <v>182</v>
      </c>
      <c r="C135" s="81" t="s">
        <v>504</v>
      </c>
      <c r="D135" s="7" t="s">
        <v>1012</v>
      </c>
      <c r="G135" s="62" t="s">
        <v>16</v>
      </c>
      <c r="H135" s="7"/>
    </row>
    <row r="136" spans="1:8" ht="16.5" customHeight="1" x14ac:dyDescent="0.15">
      <c r="A136" s="92"/>
      <c r="B136" s="56" t="s">
        <v>183</v>
      </c>
      <c r="C136" s="82"/>
      <c r="D136" s="7" t="s">
        <v>1001</v>
      </c>
      <c r="G136" s="62" t="s">
        <v>16</v>
      </c>
      <c r="H136" s="7"/>
    </row>
    <row r="137" spans="1:8" ht="16.5" customHeight="1" x14ac:dyDescent="0.15">
      <c r="A137" s="92"/>
      <c r="B137" s="56" t="s">
        <v>184</v>
      </c>
      <c r="C137" s="82"/>
      <c r="D137" s="7" t="s">
        <v>512</v>
      </c>
      <c r="G137" s="62" t="s">
        <v>16</v>
      </c>
      <c r="H137" s="7"/>
    </row>
    <row r="138" spans="1:8" ht="16.5" customHeight="1" x14ac:dyDescent="0.15">
      <c r="A138" s="92"/>
      <c r="B138" s="56" t="s">
        <v>185</v>
      </c>
      <c r="C138" s="82"/>
      <c r="D138" s="7" t="s">
        <v>513</v>
      </c>
      <c r="G138" s="62" t="s">
        <v>16</v>
      </c>
      <c r="H138" s="7"/>
    </row>
    <row r="139" spans="1:8" ht="16.5" customHeight="1" x14ac:dyDescent="0.15">
      <c r="A139" s="92"/>
      <c r="B139" s="56" t="s">
        <v>186</v>
      </c>
      <c r="C139" s="82"/>
      <c r="D139" s="7" t="s">
        <v>527</v>
      </c>
      <c r="G139" s="62" t="s">
        <v>16</v>
      </c>
      <c r="H139" s="7"/>
    </row>
    <row r="140" spans="1:8" ht="16.5" customHeight="1" x14ac:dyDescent="0.15">
      <c r="A140" s="92"/>
      <c r="B140" s="56" t="s">
        <v>187</v>
      </c>
      <c r="C140" s="86"/>
      <c r="D140" s="7" t="s">
        <v>515</v>
      </c>
      <c r="G140" s="62" t="s">
        <v>16</v>
      </c>
      <c r="H140" s="7"/>
    </row>
    <row r="141" spans="1:8" ht="16.5" customHeight="1" x14ac:dyDescent="0.15">
      <c r="A141" s="92"/>
      <c r="B141" s="56" t="s">
        <v>188</v>
      </c>
      <c r="C141" s="81" t="s">
        <v>514</v>
      </c>
      <c r="D141" s="7" t="s">
        <v>505</v>
      </c>
      <c r="G141" s="62" t="s">
        <v>16</v>
      </c>
      <c r="H141" s="7"/>
    </row>
    <row r="142" spans="1:8" ht="16.5" customHeight="1" x14ac:dyDescent="0.15">
      <c r="A142" s="92"/>
      <c r="B142" s="56" t="s">
        <v>189</v>
      </c>
      <c r="C142" s="82"/>
      <c r="D142" s="7" t="s">
        <v>506</v>
      </c>
      <c r="G142" s="62" t="s">
        <v>16</v>
      </c>
      <c r="H142" s="7"/>
    </row>
    <row r="143" spans="1:8" ht="16.5" customHeight="1" x14ac:dyDescent="0.15">
      <c r="A143" s="92"/>
      <c r="B143" s="56" t="s">
        <v>190</v>
      </c>
      <c r="C143" s="82"/>
      <c r="D143" s="7" t="s">
        <v>507</v>
      </c>
      <c r="G143" s="62" t="s">
        <v>16</v>
      </c>
      <c r="H143" s="7"/>
    </row>
    <row r="144" spans="1:8" ht="16.5" customHeight="1" x14ac:dyDescent="0.15">
      <c r="A144" s="92"/>
      <c r="B144" s="56" t="s">
        <v>191</v>
      </c>
      <c r="C144" s="82"/>
      <c r="D144" s="7" t="s">
        <v>509</v>
      </c>
      <c r="G144" s="62" t="s">
        <v>16</v>
      </c>
      <c r="H144" s="7"/>
    </row>
    <row r="145" spans="1:10" ht="16.5" customHeight="1" x14ac:dyDescent="0.15">
      <c r="A145" s="92"/>
      <c r="B145" s="56" t="s">
        <v>192</v>
      </c>
      <c r="C145" s="82"/>
      <c r="D145" s="7" t="s">
        <v>510</v>
      </c>
      <c r="G145" s="56" t="s">
        <v>1013</v>
      </c>
      <c r="H145" s="7"/>
      <c r="J145" s="29" t="s">
        <v>1014</v>
      </c>
    </row>
    <row r="146" spans="1:10" ht="16.5" customHeight="1" x14ac:dyDescent="0.15">
      <c r="A146" s="92"/>
      <c r="B146" s="56" t="s">
        <v>193</v>
      </c>
      <c r="C146" s="86"/>
      <c r="D146" s="7" t="s">
        <v>508</v>
      </c>
      <c r="G146" s="62" t="s">
        <v>16</v>
      </c>
      <c r="H146" s="7"/>
    </row>
    <row r="147" spans="1:10" ht="16.5" customHeight="1" x14ac:dyDescent="0.15">
      <c r="A147" s="92"/>
      <c r="B147" s="56" t="s">
        <v>194</v>
      </c>
      <c r="C147" s="81" t="s">
        <v>660</v>
      </c>
      <c r="D147" s="7" t="s">
        <v>661</v>
      </c>
      <c r="G147" s="62" t="s">
        <v>16</v>
      </c>
      <c r="H147" s="7"/>
    </row>
    <row r="148" spans="1:10" ht="16.5" customHeight="1" x14ac:dyDescent="0.15">
      <c r="A148" s="92"/>
      <c r="B148" s="56" t="s">
        <v>195</v>
      </c>
      <c r="C148" s="82"/>
      <c r="D148" s="7" t="s">
        <v>663</v>
      </c>
      <c r="G148" s="62" t="s">
        <v>16</v>
      </c>
      <c r="H148" s="7"/>
    </row>
    <row r="149" spans="1:10" ht="16.5" customHeight="1" x14ac:dyDescent="0.15">
      <c r="A149" s="92"/>
      <c r="B149" s="56" t="s">
        <v>196</v>
      </c>
      <c r="C149" s="82"/>
      <c r="D149" s="7" t="s">
        <v>662</v>
      </c>
      <c r="G149" s="62" t="s">
        <v>16</v>
      </c>
      <c r="H149" s="7"/>
    </row>
    <row r="150" spans="1:10" ht="16.5" customHeight="1" x14ac:dyDescent="0.15">
      <c r="A150" s="92"/>
      <c r="B150" s="56" t="s">
        <v>197</v>
      </c>
      <c r="C150" s="82"/>
      <c r="D150" s="7" t="s">
        <v>664</v>
      </c>
      <c r="G150" s="62" t="s">
        <v>16</v>
      </c>
      <c r="H150" s="7"/>
    </row>
    <row r="151" spans="1:10" ht="16.5" customHeight="1" x14ac:dyDescent="0.15">
      <c r="A151" s="73" t="s">
        <v>798</v>
      </c>
      <c r="B151" s="56" t="s">
        <v>198</v>
      </c>
      <c r="C151" s="77" t="s">
        <v>804</v>
      </c>
      <c r="D151" s="7" t="s">
        <v>165</v>
      </c>
      <c r="G151" s="62" t="s">
        <v>16</v>
      </c>
      <c r="H151" s="7"/>
    </row>
    <row r="152" spans="1:10" ht="16.5" customHeight="1" x14ac:dyDescent="0.15">
      <c r="A152" s="74"/>
      <c r="B152" s="56" t="s">
        <v>199</v>
      </c>
      <c r="C152" s="78"/>
      <c r="D152" s="7" t="s">
        <v>511</v>
      </c>
      <c r="G152" s="62" t="s">
        <v>16</v>
      </c>
      <c r="H152" s="7"/>
    </row>
    <row r="153" spans="1:10" ht="16.5" customHeight="1" x14ac:dyDescent="0.15">
      <c r="A153" s="74"/>
      <c r="B153" s="56" t="s">
        <v>200</v>
      </c>
      <c r="C153" s="78"/>
      <c r="D153" s="7" t="s">
        <v>666</v>
      </c>
      <c r="G153" s="62" t="s">
        <v>16</v>
      </c>
      <c r="H153" s="7"/>
    </row>
    <row r="154" spans="1:10" ht="16.5" customHeight="1" x14ac:dyDescent="0.15">
      <c r="A154" s="74"/>
      <c r="B154" s="56" t="s">
        <v>201</v>
      </c>
      <c r="C154" s="78"/>
      <c r="D154" s="7" t="s">
        <v>911</v>
      </c>
      <c r="G154" s="62" t="s">
        <v>16</v>
      </c>
      <c r="H154" s="7"/>
    </row>
    <row r="155" spans="1:10" ht="16.5" customHeight="1" x14ac:dyDescent="0.15">
      <c r="A155" s="74"/>
      <c r="B155" s="56" t="s">
        <v>202</v>
      </c>
      <c r="C155" s="78"/>
      <c r="D155" s="7" t="s">
        <v>667</v>
      </c>
      <c r="G155" s="62" t="s">
        <v>16</v>
      </c>
      <c r="H155" s="7"/>
    </row>
    <row r="156" spans="1:10" ht="16.5" customHeight="1" x14ac:dyDescent="0.15">
      <c r="A156" s="74"/>
      <c r="B156" s="56" t="s">
        <v>203</v>
      </c>
      <c r="C156" s="78"/>
      <c r="D156" s="7" t="s">
        <v>668</v>
      </c>
      <c r="G156" s="62" t="s">
        <v>16</v>
      </c>
      <c r="H156" s="7"/>
    </row>
    <row r="157" spans="1:10" ht="16.5" customHeight="1" x14ac:dyDescent="0.15">
      <c r="A157" s="74"/>
      <c r="B157" s="56" t="s">
        <v>204</v>
      </c>
      <c r="C157" s="78"/>
      <c r="D157" s="7" t="s">
        <v>670</v>
      </c>
      <c r="G157" s="62" t="s">
        <v>16</v>
      </c>
      <c r="H157" s="7"/>
    </row>
    <row r="158" spans="1:10" ht="16.5" customHeight="1" x14ac:dyDescent="0.15">
      <c r="A158" s="74"/>
      <c r="B158" s="56" t="s">
        <v>205</v>
      </c>
      <c r="C158" s="78"/>
      <c r="D158" s="7" t="s">
        <v>805</v>
      </c>
      <c r="G158" s="62" t="s">
        <v>16</v>
      </c>
      <c r="H158" s="7"/>
    </row>
    <row r="159" spans="1:10" ht="16.5" customHeight="1" x14ac:dyDescent="0.15">
      <c r="A159" s="74"/>
      <c r="B159" s="56" t="s">
        <v>206</v>
      </c>
      <c r="C159" s="79"/>
      <c r="D159" s="7" t="s">
        <v>806</v>
      </c>
      <c r="G159" s="62" t="s">
        <v>16</v>
      </c>
      <c r="H159" s="7"/>
    </row>
    <row r="160" spans="1:10" ht="16.5" customHeight="1" x14ac:dyDescent="0.15">
      <c r="A160" s="74"/>
      <c r="B160" s="56" t="s">
        <v>207</v>
      </c>
      <c r="C160" s="81" t="s">
        <v>800</v>
      </c>
      <c r="D160" s="7" t="s">
        <v>671</v>
      </c>
      <c r="G160" s="62" t="s">
        <v>16</v>
      </c>
      <c r="H160" s="7"/>
    </row>
    <row r="161" spans="1:10" ht="16.5" customHeight="1" x14ac:dyDescent="0.15">
      <c r="A161" s="74"/>
      <c r="B161" s="56" t="s">
        <v>208</v>
      </c>
      <c r="C161" s="82"/>
      <c r="D161" s="7" t="s">
        <v>697</v>
      </c>
      <c r="G161" s="62" t="s">
        <v>16</v>
      </c>
      <c r="H161" s="7"/>
    </row>
    <row r="162" spans="1:10" ht="16.5" customHeight="1" x14ac:dyDescent="0.15">
      <c r="A162" s="74"/>
      <c r="B162" s="56" t="s">
        <v>209</v>
      </c>
      <c r="C162" s="82"/>
      <c r="D162" s="7" t="s">
        <v>698</v>
      </c>
      <c r="G162" s="62" t="s">
        <v>16</v>
      </c>
      <c r="H162" s="7"/>
    </row>
    <row r="163" spans="1:10" ht="16.5" customHeight="1" x14ac:dyDescent="0.15">
      <c r="A163" s="74"/>
      <c r="B163" s="56" t="s">
        <v>210</v>
      </c>
      <c r="C163" s="82"/>
      <c r="D163" s="7" t="s">
        <v>803</v>
      </c>
      <c r="G163" s="62" t="s">
        <v>16</v>
      </c>
      <c r="H163" s="7"/>
    </row>
    <row r="164" spans="1:10" ht="16.5" customHeight="1" x14ac:dyDescent="0.15">
      <c r="A164" s="74"/>
      <c r="B164" s="56" t="s">
        <v>211</v>
      </c>
      <c r="C164" s="82"/>
      <c r="D164" s="7" t="s">
        <v>802</v>
      </c>
      <c r="G164" s="62" t="s">
        <v>16</v>
      </c>
      <c r="H164" s="7"/>
    </row>
    <row r="165" spans="1:10" ht="16.5" customHeight="1" x14ac:dyDescent="0.15">
      <c r="A165" s="74"/>
      <c r="B165" s="56" t="s">
        <v>291</v>
      </c>
      <c r="C165" s="86"/>
      <c r="D165" s="7" t="s">
        <v>801</v>
      </c>
      <c r="G165" s="62" t="s">
        <v>16</v>
      </c>
      <c r="H165" s="7"/>
    </row>
    <row r="166" spans="1:10" ht="16.5" customHeight="1" x14ac:dyDescent="0.15">
      <c r="A166" s="73" t="s">
        <v>172</v>
      </c>
      <c r="B166" s="56" t="s">
        <v>292</v>
      </c>
      <c r="C166" s="81" t="s">
        <v>773</v>
      </c>
      <c r="D166" s="7" t="s">
        <v>774</v>
      </c>
      <c r="G166" s="62" t="s">
        <v>16</v>
      </c>
      <c r="H166" s="7"/>
    </row>
    <row r="167" spans="1:10" ht="16.5" customHeight="1" x14ac:dyDescent="0.15">
      <c r="A167" s="74"/>
      <c r="B167" s="56" t="s">
        <v>293</v>
      </c>
      <c r="C167" s="86"/>
      <c r="D167" s="7" t="s">
        <v>775</v>
      </c>
      <c r="G167" s="62" t="s">
        <v>16</v>
      </c>
      <c r="H167" s="7"/>
    </row>
    <row r="168" spans="1:10" ht="16.5" customHeight="1" x14ac:dyDescent="0.15">
      <c r="A168" s="74"/>
      <c r="B168" s="56" t="s">
        <v>294</v>
      </c>
      <c r="C168" s="81" t="s">
        <v>789</v>
      </c>
      <c r="D168" s="7" t="s">
        <v>774</v>
      </c>
      <c r="G168" s="62" t="s">
        <v>16</v>
      </c>
      <c r="H168" s="7"/>
    </row>
    <row r="169" spans="1:10" ht="16.5" customHeight="1" x14ac:dyDescent="0.15">
      <c r="A169" s="74"/>
      <c r="B169" s="56" t="s">
        <v>295</v>
      </c>
      <c r="C169" s="82"/>
      <c r="D169" s="7" t="s">
        <v>1015</v>
      </c>
      <c r="G169" s="63" t="s">
        <v>21</v>
      </c>
      <c r="H169" s="7"/>
      <c r="J169" s="64" t="s">
        <v>1016</v>
      </c>
    </row>
    <row r="170" spans="1:10" ht="16.5" customHeight="1" x14ac:dyDescent="0.15">
      <c r="A170" s="74"/>
      <c r="B170" s="56" t="s">
        <v>296</v>
      </c>
      <c r="C170" s="81" t="s">
        <v>793</v>
      </c>
      <c r="D170" s="7" t="s">
        <v>774</v>
      </c>
      <c r="G170" s="63" t="s">
        <v>21</v>
      </c>
      <c r="H170" s="7"/>
      <c r="J170" s="64" t="s">
        <v>1104</v>
      </c>
    </row>
    <row r="171" spans="1:10" ht="16.5" customHeight="1" x14ac:dyDescent="0.15">
      <c r="A171" s="74"/>
      <c r="B171" s="56" t="s">
        <v>297</v>
      </c>
      <c r="C171" s="82"/>
      <c r="D171" s="7" t="s">
        <v>790</v>
      </c>
      <c r="G171" s="69" t="s">
        <v>26</v>
      </c>
      <c r="H171" s="7"/>
    </row>
    <row r="172" spans="1:10" ht="16.5" customHeight="1" x14ac:dyDescent="0.15">
      <c r="A172" s="74"/>
      <c r="B172" s="56" t="s">
        <v>298</v>
      </c>
      <c r="C172" s="81" t="s">
        <v>905</v>
      </c>
      <c r="D172" s="7" t="s">
        <v>774</v>
      </c>
      <c r="G172" s="62" t="s">
        <v>16</v>
      </c>
      <c r="H172" s="7"/>
    </row>
    <row r="173" spans="1:10" ht="16.5" customHeight="1" x14ac:dyDescent="0.15">
      <c r="A173" s="74"/>
      <c r="B173" s="56" t="s">
        <v>299</v>
      </c>
      <c r="C173" s="82"/>
      <c r="D173" s="7" t="s">
        <v>909</v>
      </c>
      <c r="G173" s="62" t="s">
        <v>16</v>
      </c>
      <c r="H173" s="7"/>
    </row>
    <row r="174" spans="1:10" ht="16.5" customHeight="1" x14ac:dyDescent="0.15">
      <c r="A174" s="74"/>
      <c r="B174" s="56" t="s">
        <v>300</v>
      </c>
      <c r="C174" s="81" t="s">
        <v>906</v>
      </c>
      <c r="D174" s="7" t="s">
        <v>774</v>
      </c>
      <c r="G174" s="62" t="s">
        <v>16</v>
      </c>
      <c r="H174" s="7"/>
    </row>
    <row r="175" spans="1:10" ht="16.5" customHeight="1" x14ac:dyDescent="0.15">
      <c r="A175" s="74"/>
      <c r="B175" s="56" t="s">
        <v>301</v>
      </c>
      <c r="C175" s="82"/>
      <c r="D175" s="7" t="s">
        <v>910</v>
      </c>
      <c r="G175" s="62" t="s">
        <v>16</v>
      </c>
      <c r="H175" s="7"/>
    </row>
    <row r="176" spans="1:10" ht="16.5" customHeight="1" x14ac:dyDescent="0.15">
      <c r="A176" s="74"/>
      <c r="B176" s="56" t="s">
        <v>302</v>
      </c>
      <c r="C176" s="81" t="s">
        <v>776</v>
      </c>
      <c r="D176" s="7" t="s">
        <v>778</v>
      </c>
      <c r="G176" s="62" t="s">
        <v>16</v>
      </c>
      <c r="H176" s="7"/>
    </row>
    <row r="177" spans="1:8" ht="16.5" customHeight="1" x14ac:dyDescent="0.15">
      <c r="A177" s="74"/>
      <c r="B177" s="56" t="s">
        <v>303</v>
      </c>
      <c r="C177" s="82"/>
      <c r="D177" s="7" t="s">
        <v>779</v>
      </c>
      <c r="G177" s="62" t="s">
        <v>16</v>
      </c>
      <c r="H177" s="7"/>
    </row>
    <row r="178" spans="1:8" ht="16.5" customHeight="1" x14ac:dyDescent="0.15">
      <c r="A178" s="74"/>
      <c r="B178" s="56" t="s">
        <v>304</v>
      </c>
      <c r="C178" s="82"/>
      <c r="D178" s="7" t="s">
        <v>780</v>
      </c>
      <c r="G178" s="62" t="s">
        <v>16</v>
      </c>
      <c r="H178" s="7"/>
    </row>
    <row r="179" spans="1:8" ht="16.5" customHeight="1" x14ac:dyDescent="0.15">
      <c r="A179" s="74"/>
      <c r="B179" s="56" t="s">
        <v>305</v>
      </c>
      <c r="C179" s="82"/>
      <c r="D179" s="7" t="s">
        <v>781</v>
      </c>
      <c r="G179" s="62" t="s">
        <v>16</v>
      </c>
      <c r="H179" s="7"/>
    </row>
    <row r="180" spans="1:8" ht="16.5" customHeight="1" x14ac:dyDescent="0.15">
      <c r="A180" s="74"/>
      <c r="B180" s="56" t="s">
        <v>306</v>
      </c>
      <c r="C180" s="86"/>
      <c r="D180" s="7" t="s">
        <v>782</v>
      </c>
      <c r="G180" s="62" t="s">
        <v>16</v>
      </c>
      <c r="H180" s="7"/>
    </row>
    <row r="181" spans="1:8" ht="16.5" customHeight="1" x14ac:dyDescent="0.15">
      <c r="A181" s="74"/>
      <c r="B181" s="56" t="s">
        <v>307</v>
      </c>
      <c r="C181" s="81" t="s">
        <v>777</v>
      </c>
      <c r="D181" s="7" t="s">
        <v>783</v>
      </c>
      <c r="G181" s="62" t="s">
        <v>16</v>
      </c>
      <c r="H181" s="7"/>
    </row>
    <row r="182" spans="1:8" ht="16.5" customHeight="1" x14ac:dyDescent="0.15">
      <c r="A182" s="74"/>
      <c r="B182" s="56" t="s">
        <v>308</v>
      </c>
      <c r="C182" s="82"/>
      <c r="D182" s="7" t="s">
        <v>788</v>
      </c>
      <c r="G182" s="62" t="s">
        <v>16</v>
      </c>
      <c r="H182" s="7"/>
    </row>
    <row r="183" spans="1:8" ht="16.5" customHeight="1" x14ac:dyDescent="0.15">
      <c r="A183" s="74"/>
      <c r="B183" s="56" t="s">
        <v>309</v>
      </c>
      <c r="C183" s="82"/>
      <c r="D183" s="7" t="s">
        <v>785</v>
      </c>
      <c r="G183" s="62" t="s">
        <v>16</v>
      </c>
      <c r="H183" s="7"/>
    </row>
    <row r="184" spans="1:8" ht="16.5" customHeight="1" x14ac:dyDescent="0.15">
      <c r="A184" s="74"/>
      <c r="B184" s="56" t="s">
        <v>310</v>
      </c>
      <c r="C184" s="82"/>
      <c r="D184" s="7" t="s">
        <v>786</v>
      </c>
      <c r="G184" s="62" t="s">
        <v>16</v>
      </c>
      <c r="H184" s="7"/>
    </row>
    <row r="185" spans="1:8" ht="16.5" customHeight="1" x14ac:dyDescent="0.15">
      <c r="A185" s="74"/>
      <c r="B185" s="56" t="s">
        <v>311</v>
      </c>
      <c r="C185" s="82"/>
      <c r="D185" s="7" t="s">
        <v>787</v>
      </c>
      <c r="G185" s="62" t="s">
        <v>16</v>
      </c>
      <c r="H185" s="7"/>
    </row>
    <row r="186" spans="1:8" ht="16.5" customHeight="1" x14ac:dyDescent="0.15">
      <c r="A186" s="74"/>
      <c r="B186" s="56" t="s">
        <v>312</v>
      </c>
      <c r="C186" s="80" t="s">
        <v>795</v>
      </c>
      <c r="D186" s="7" t="s">
        <v>791</v>
      </c>
      <c r="G186" s="62" t="s">
        <v>16</v>
      </c>
      <c r="H186" s="7"/>
    </row>
    <row r="187" spans="1:8" ht="16.5" customHeight="1" x14ac:dyDescent="0.15">
      <c r="A187" s="74"/>
      <c r="B187" s="56" t="s">
        <v>313</v>
      </c>
      <c r="C187" s="80"/>
      <c r="D187" s="7" t="s">
        <v>792</v>
      </c>
      <c r="G187" s="62" t="s">
        <v>16</v>
      </c>
      <c r="H187" s="7"/>
    </row>
    <row r="188" spans="1:8" ht="16.5" customHeight="1" x14ac:dyDescent="0.15">
      <c r="A188" s="74"/>
      <c r="B188" s="56" t="s">
        <v>314</v>
      </c>
      <c r="C188" s="81" t="s">
        <v>794</v>
      </c>
      <c r="D188" s="7" t="s">
        <v>796</v>
      </c>
      <c r="G188" s="62" t="s">
        <v>16</v>
      </c>
      <c r="H188" s="7"/>
    </row>
    <row r="189" spans="1:8" ht="16.5" customHeight="1" x14ac:dyDescent="0.15">
      <c r="A189" s="74"/>
      <c r="B189" s="56" t="s">
        <v>315</v>
      </c>
      <c r="C189" s="82"/>
      <c r="D189" s="7" t="s">
        <v>797</v>
      </c>
      <c r="G189" s="62" t="s">
        <v>16</v>
      </c>
      <c r="H189" s="7"/>
    </row>
    <row r="190" spans="1:8" ht="16.5" customHeight="1" x14ac:dyDescent="0.15">
      <c r="A190" s="74"/>
      <c r="B190" s="56" t="s">
        <v>316</v>
      </c>
      <c r="C190" s="82"/>
      <c r="D190" s="7" t="s">
        <v>792</v>
      </c>
      <c r="G190" s="62" t="s">
        <v>16</v>
      </c>
      <c r="H190" s="7"/>
    </row>
    <row r="191" spans="1:8" ht="16.5" customHeight="1" x14ac:dyDescent="0.15">
      <c r="A191" s="74"/>
      <c r="B191" s="56" t="s">
        <v>317</v>
      </c>
      <c r="C191" s="81" t="s">
        <v>907</v>
      </c>
      <c r="D191" s="7" t="s">
        <v>1018</v>
      </c>
      <c r="G191" s="62" t="s">
        <v>16</v>
      </c>
      <c r="H191" s="7"/>
    </row>
    <row r="192" spans="1:8" ht="16.5" customHeight="1" x14ac:dyDescent="0.15">
      <c r="A192" s="74"/>
      <c r="B192" s="56" t="s">
        <v>318</v>
      </c>
      <c r="C192" s="86"/>
      <c r="D192" s="7" t="s">
        <v>792</v>
      </c>
      <c r="G192" s="62" t="s">
        <v>16</v>
      </c>
      <c r="H192" s="7"/>
    </row>
    <row r="193" spans="1:8" ht="16.5" customHeight="1" x14ac:dyDescent="0.15">
      <c r="A193" s="74"/>
      <c r="B193" s="56" t="s">
        <v>319</v>
      </c>
      <c r="C193" s="81" t="s">
        <v>908</v>
      </c>
      <c r="D193" s="7" t="s">
        <v>1017</v>
      </c>
      <c r="G193" s="62" t="s">
        <v>16</v>
      </c>
      <c r="H193" s="7"/>
    </row>
    <row r="194" spans="1:8" ht="16.5" customHeight="1" x14ac:dyDescent="0.15">
      <c r="A194" s="74"/>
      <c r="B194" s="56" t="s">
        <v>320</v>
      </c>
      <c r="C194" s="82"/>
      <c r="D194" s="7" t="s">
        <v>792</v>
      </c>
      <c r="G194" s="62" t="s">
        <v>16</v>
      </c>
      <c r="H194" s="7"/>
    </row>
    <row r="195" spans="1:8" ht="16.5" customHeight="1" x14ac:dyDescent="0.15">
      <c r="A195" s="74"/>
      <c r="B195" s="56" t="s">
        <v>321</v>
      </c>
      <c r="C195" s="80" t="s">
        <v>913</v>
      </c>
      <c r="D195" s="7" t="s">
        <v>912</v>
      </c>
      <c r="G195" s="62" t="s">
        <v>16</v>
      </c>
      <c r="H195" s="7"/>
    </row>
    <row r="196" spans="1:8" ht="16.5" customHeight="1" x14ac:dyDescent="0.15">
      <c r="A196" s="74"/>
      <c r="B196" s="56" t="s">
        <v>322</v>
      </c>
      <c r="C196" s="80"/>
      <c r="D196" s="7" t="s">
        <v>914</v>
      </c>
      <c r="G196" s="62" t="s">
        <v>16</v>
      </c>
      <c r="H196" s="7"/>
    </row>
    <row r="197" spans="1:8" ht="16.5" customHeight="1" x14ac:dyDescent="0.15">
      <c r="A197" s="74"/>
      <c r="B197" s="56" t="s">
        <v>323</v>
      </c>
      <c r="C197" s="80"/>
      <c r="D197" s="7" t="s">
        <v>915</v>
      </c>
      <c r="G197" s="62" t="s">
        <v>16</v>
      </c>
      <c r="H197" s="7"/>
    </row>
    <row r="198" spans="1:8" ht="16.5" customHeight="1" x14ac:dyDescent="0.15">
      <c r="A198" s="74"/>
      <c r="B198" s="56" t="s">
        <v>324</v>
      </c>
      <c r="C198" s="80"/>
      <c r="D198" s="7" t="s">
        <v>916</v>
      </c>
      <c r="G198" s="62" t="s">
        <v>16</v>
      </c>
      <c r="H198" s="7"/>
    </row>
    <row r="199" spans="1:8" ht="16.5" customHeight="1" x14ac:dyDescent="0.15">
      <c r="A199" s="74"/>
      <c r="B199" s="56" t="s">
        <v>325</v>
      </c>
      <c r="C199" s="80"/>
      <c r="D199" s="7" t="s">
        <v>917</v>
      </c>
      <c r="G199" s="62" t="s">
        <v>16</v>
      </c>
      <c r="H199" s="7"/>
    </row>
    <row r="200" spans="1:8" ht="16.5" customHeight="1" x14ac:dyDescent="0.15">
      <c r="A200" s="74"/>
      <c r="B200" s="56" t="s">
        <v>688</v>
      </c>
      <c r="C200" s="80"/>
      <c r="D200" s="7" t="s">
        <v>918</v>
      </c>
      <c r="G200" s="62" t="s">
        <v>16</v>
      </c>
      <c r="H200" s="7"/>
    </row>
    <row r="201" spans="1:8" ht="16.5" customHeight="1" x14ac:dyDescent="0.15">
      <c r="A201" s="74"/>
      <c r="B201" s="56" t="s">
        <v>689</v>
      </c>
      <c r="C201" s="80"/>
      <c r="D201" s="7" t="s">
        <v>919</v>
      </c>
      <c r="G201" s="62" t="s">
        <v>16</v>
      </c>
      <c r="H201" s="7"/>
    </row>
    <row r="202" spans="1:8" ht="32.25" customHeight="1" x14ac:dyDescent="0.15">
      <c r="A202" s="73" t="s">
        <v>920</v>
      </c>
      <c r="B202" s="56" t="s">
        <v>690</v>
      </c>
      <c r="C202" s="53" t="s">
        <v>943</v>
      </c>
      <c r="D202" s="7" t="s">
        <v>944</v>
      </c>
      <c r="G202" s="62" t="s">
        <v>16</v>
      </c>
      <c r="H202" s="7"/>
    </row>
    <row r="203" spans="1:8" ht="16.5" customHeight="1" x14ac:dyDescent="0.15">
      <c r="A203" s="74"/>
      <c r="B203" s="56" t="s">
        <v>691</v>
      </c>
      <c r="C203" s="82" t="s">
        <v>922</v>
      </c>
      <c r="D203" s="7" t="s">
        <v>947</v>
      </c>
      <c r="G203" s="62" t="s">
        <v>16</v>
      </c>
      <c r="H203" s="7"/>
    </row>
    <row r="204" spans="1:8" ht="16.5" customHeight="1" x14ac:dyDescent="0.15">
      <c r="A204" s="74"/>
      <c r="B204" s="56" t="s">
        <v>692</v>
      </c>
      <c r="C204" s="82"/>
      <c r="D204" s="7" t="s">
        <v>948</v>
      </c>
      <c r="G204" s="62" t="s">
        <v>16</v>
      </c>
      <c r="H204" s="7"/>
    </row>
    <row r="205" spans="1:8" ht="16.5" customHeight="1" x14ac:dyDescent="0.15">
      <c r="A205" s="74"/>
      <c r="B205" s="56" t="s">
        <v>693</v>
      </c>
      <c r="C205" s="82"/>
      <c r="D205" s="7" t="s">
        <v>945</v>
      </c>
      <c r="G205" s="62" t="s">
        <v>16</v>
      </c>
      <c r="H205" s="7"/>
    </row>
    <row r="206" spans="1:8" ht="16.5" customHeight="1" x14ac:dyDescent="0.15">
      <c r="A206" s="74"/>
      <c r="B206" s="56" t="s">
        <v>694</v>
      </c>
      <c r="C206" s="86"/>
      <c r="D206" s="7" t="s">
        <v>946</v>
      </c>
      <c r="G206" s="62" t="s">
        <v>16</v>
      </c>
      <c r="H206" s="7"/>
    </row>
    <row r="207" spans="1:8" ht="16.5" customHeight="1" x14ac:dyDescent="0.15">
      <c r="A207" s="74"/>
      <c r="B207" s="56" t="s">
        <v>695</v>
      </c>
      <c r="C207" s="81" t="s">
        <v>923</v>
      </c>
      <c r="D207" s="7" t="s">
        <v>947</v>
      </c>
      <c r="G207" s="62" t="s">
        <v>16</v>
      </c>
      <c r="H207" s="7"/>
    </row>
    <row r="208" spans="1:8" ht="16.5" customHeight="1" x14ac:dyDescent="0.15">
      <c r="A208" s="74"/>
      <c r="B208" s="56" t="s">
        <v>696</v>
      </c>
      <c r="C208" s="82"/>
      <c r="D208" s="7" t="s">
        <v>948</v>
      </c>
      <c r="G208" s="62" t="s">
        <v>16</v>
      </c>
      <c r="H208" s="7"/>
    </row>
    <row r="209" spans="1:8" ht="16.5" customHeight="1" x14ac:dyDescent="0.15">
      <c r="A209" s="74"/>
      <c r="B209" s="56" t="s">
        <v>326</v>
      </c>
      <c r="C209" s="82"/>
      <c r="D209" s="7" t="s">
        <v>945</v>
      </c>
      <c r="G209" s="62" t="s">
        <v>16</v>
      </c>
      <c r="H209" s="7"/>
    </row>
    <row r="210" spans="1:8" ht="16.5" customHeight="1" x14ac:dyDescent="0.15">
      <c r="A210" s="74"/>
      <c r="B210" s="56" t="s">
        <v>327</v>
      </c>
      <c r="C210" s="86"/>
      <c r="D210" s="7" t="s">
        <v>946</v>
      </c>
      <c r="G210" s="62" t="s">
        <v>16</v>
      </c>
      <c r="H210" s="7"/>
    </row>
    <row r="211" spans="1:8" ht="16.5" customHeight="1" x14ac:dyDescent="0.15">
      <c r="A211" s="74"/>
      <c r="B211" s="56" t="s">
        <v>328</v>
      </c>
      <c r="C211" s="77" t="s">
        <v>971</v>
      </c>
      <c r="D211" s="7" t="s">
        <v>953</v>
      </c>
      <c r="G211" s="62" t="s">
        <v>16</v>
      </c>
      <c r="H211" s="7"/>
    </row>
    <row r="212" spans="1:8" ht="16.5" customHeight="1" x14ac:dyDescent="0.15">
      <c r="A212" s="74"/>
      <c r="B212" s="56" t="s">
        <v>329</v>
      </c>
      <c r="C212" s="78"/>
      <c r="D212" s="7" t="s">
        <v>964</v>
      </c>
      <c r="G212" s="62" t="s">
        <v>16</v>
      </c>
      <c r="H212" s="7"/>
    </row>
    <row r="213" spans="1:8" ht="16.5" customHeight="1" x14ac:dyDescent="0.15">
      <c r="A213" s="74"/>
      <c r="B213" s="56" t="s">
        <v>330</v>
      </c>
      <c r="C213" s="78"/>
      <c r="D213" s="7" t="s">
        <v>1024</v>
      </c>
      <c r="G213" s="62" t="s">
        <v>16</v>
      </c>
      <c r="H213" s="7"/>
    </row>
    <row r="214" spans="1:8" ht="16.5" customHeight="1" x14ac:dyDescent="0.15">
      <c r="A214" s="74"/>
      <c r="B214" s="56" t="s">
        <v>331</v>
      </c>
      <c r="C214" s="78"/>
      <c r="D214" s="7" t="s">
        <v>955</v>
      </c>
      <c r="G214" s="62" t="s">
        <v>16</v>
      </c>
      <c r="H214" s="7"/>
    </row>
    <row r="215" spans="1:8" ht="16.5" customHeight="1" x14ac:dyDescent="0.15">
      <c r="A215" s="74"/>
      <c r="B215" s="56" t="s">
        <v>332</v>
      </c>
      <c r="C215" s="78"/>
      <c r="D215" s="7" t="s">
        <v>959</v>
      </c>
      <c r="G215" s="62" t="s">
        <v>16</v>
      </c>
      <c r="H215" s="7"/>
    </row>
    <row r="216" spans="1:8" ht="16.5" customHeight="1" x14ac:dyDescent="0.15">
      <c r="A216" s="74"/>
      <c r="B216" s="56" t="s">
        <v>333</v>
      </c>
      <c r="C216" s="78"/>
      <c r="D216" s="7" t="s">
        <v>956</v>
      </c>
      <c r="G216" s="62" t="s">
        <v>16</v>
      </c>
      <c r="H216" s="7"/>
    </row>
    <row r="217" spans="1:8" ht="16.5" customHeight="1" x14ac:dyDescent="0.15">
      <c r="A217" s="74"/>
      <c r="B217" s="56" t="s">
        <v>334</v>
      </c>
      <c r="C217" s="78"/>
      <c r="D217" s="7" t="s">
        <v>957</v>
      </c>
      <c r="G217" s="62" t="s">
        <v>16</v>
      </c>
      <c r="H217" s="7"/>
    </row>
    <row r="218" spans="1:8" ht="16.5" customHeight="1" x14ac:dyDescent="0.15">
      <c r="A218" s="74"/>
      <c r="B218" s="56" t="s">
        <v>335</v>
      </c>
      <c r="C218" s="78"/>
      <c r="D218" s="7" t="s">
        <v>958</v>
      </c>
      <c r="G218" s="62" t="s">
        <v>16</v>
      </c>
      <c r="H218" s="7"/>
    </row>
    <row r="219" spans="1:8" ht="16.5" customHeight="1" x14ac:dyDescent="0.15">
      <c r="A219" s="74"/>
      <c r="B219" s="56" t="s">
        <v>336</v>
      </c>
      <c r="C219" s="78"/>
      <c r="D219" s="29" t="s">
        <v>960</v>
      </c>
      <c r="G219" s="62" t="s">
        <v>16</v>
      </c>
      <c r="H219" s="7"/>
    </row>
    <row r="220" spans="1:8" ht="16.5" customHeight="1" x14ac:dyDescent="0.15">
      <c r="A220" s="74"/>
      <c r="B220" s="56" t="s">
        <v>337</v>
      </c>
      <c r="C220" s="78"/>
      <c r="D220" s="7" t="s">
        <v>961</v>
      </c>
      <c r="G220" s="62" t="s">
        <v>16</v>
      </c>
      <c r="H220" s="7"/>
    </row>
    <row r="221" spans="1:8" ht="16.5" customHeight="1" x14ac:dyDescent="0.15">
      <c r="A221" s="74"/>
      <c r="B221" s="56" t="s">
        <v>338</v>
      </c>
      <c r="C221" s="78"/>
      <c r="D221" s="7" t="s">
        <v>962</v>
      </c>
      <c r="G221" s="62" t="s">
        <v>16</v>
      </c>
      <c r="H221" s="7"/>
    </row>
    <row r="222" spans="1:8" ht="16.5" customHeight="1" x14ac:dyDescent="0.15">
      <c r="A222" s="74"/>
      <c r="B222" s="56" t="s">
        <v>339</v>
      </c>
      <c r="C222" s="78"/>
      <c r="D222" s="7" t="s">
        <v>963</v>
      </c>
      <c r="G222" s="62" t="s">
        <v>16</v>
      </c>
      <c r="H222" s="7"/>
    </row>
    <row r="223" spans="1:8" ht="16.5" customHeight="1" x14ac:dyDescent="0.15">
      <c r="A223" s="74"/>
      <c r="B223" s="56" t="s">
        <v>340</v>
      </c>
      <c r="C223" s="77" t="s">
        <v>972</v>
      </c>
      <c r="D223" s="7" t="s">
        <v>965</v>
      </c>
      <c r="G223" s="62" t="s">
        <v>16</v>
      </c>
      <c r="H223" s="7"/>
    </row>
    <row r="224" spans="1:8" ht="16.5" customHeight="1" x14ac:dyDescent="0.15">
      <c r="A224" s="74"/>
      <c r="B224" s="56" t="s">
        <v>341</v>
      </c>
      <c r="C224" s="78"/>
      <c r="D224" s="7" t="s">
        <v>964</v>
      </c>
      <c r="G224" s="62" t="s">
        <v>16</v>
      </c>
      <c r="H224" s="7"/>
    </row>
    <row r="225" spans="1:8" ht="16.5" customHeight="1" x14ac:dyDescent="0.15">
      <c r="A225" s="74"/>
      <c r="B225" s="56" t="s">
        <v>386</v>
      </c>
      <c r="C225" s="78"/>
      <c r="D225" s="7" t="s">
        <v>954</v>
      </c>
      <c r="G225" s="62" t="s">
        <v>16</v>
      </c>
      <c r="H225" s="7"/>
    </row>
    <row r="226" spans="1:8" ht="16.5" customHeight="1" x14ac:dyDescent="0.15">
      <c r="A226" s="74"/>
      <c r="B226" s="56" t="s">
        <v>387</v>
      </c>
      <c r="C226" s="78"/>
      <c r="D226" s="7" t="s">
        <v>966</v>
      </c>
      <c r="G226" s="62" t="s">
        <v>16</v>
      </c>
      <c r="H226" s="7"/>
    </row>
    <row r="227" spans="1:8" ht="16.5" customHeight="1" x14ac:dyDescent="0.15">
      <c r="A227" s="74"/>
      <c r="B227" s="56" t="s">
        <v>388</v>
      </c>
      <c r="C227" s="78"/>
      <c r="D227" s="7" t="s">
        <v>967</v>
      </c>
      <c r="G227" s="62" t="s">
        <v>16</v>
      </c>
      <c r="H227" s="7"/>
    </row>
    <row r="228" spans="1:8" ht="16.5" customHeight="1" x14ac:dyDescent="0.15">
      <c r="A228" s="74"/>
      <c r="B228" s="56" t="s">
        <v>389</v>
      </c>
      <c r="C228" s="78"/>
      <c r="D228" s="7" t="s">
        <v>968</v>
      </c>
      <c r="G228" s="62" t="s">
        <v>16</v>
      </c>
      <c r="H228" s="7"/>
    </row>
    <row r="229" spans="1:8" ht="16.5" customHeight="1" x14ac:dyDescent="0.15">
      <c r="A229" s="74"/>
      <c r="B229" s="56" t="s">
        <v>390</v>
      </c>
      <c r="C229" s="78"/>
      <c r="D229" s="7" t="s">
        <v>955</v>
      </c>
      <c r="G229" s="62" t="s">
        <v>16</v>
      </c>
      <c r="H229" s="7"/>
    </row>
    <row r="230" spans="1:8" ht="16.5" customHeight="1" x14ac:dyDescent="0.15">
      <c r="A230" s="74"/>
      <c r="B230" s="56" t="s">
        <v>391</v>
      </c>
      <c r="C230" s="78"/>
      <c r="D230" s="7" t="s">
        <v>959</v>
      </c>
      <c r="G230" s="62" t="s">
        <v>16</v>
      </c>
      <c r="H230" s="7"/>
    </row>
    <row r="231" spans="1:8" ht="16.5" customHeight="1" x14ac:dyDescent="0.15">
      <c r="A231" s="74"/>
      <c r="B231" s="56" t="s">
        <v>392</v>
      </c>
      <c r="C231" s="78"/>
      <c r="D231" s="7" t="s">
        <v>956</v>
      </c>
      <c r="G231" s="62" t="s">
        <v>16</v>
      </c>
      <c r="H231" s="7"/>
    </row>
    <row r="232" spans="1:8" ht="16.5" customHeight="1" x14ac:dyDescent="0.15">
      <c r="A232" s="74"/>
      <c r="B232" s="56" t="s">
        <v>393</v>
      </c>
      <c r="C232" s="78"/>
      <c r="D232" s="7" t="s">
        <v>957</v>
      </c>
      <c r="G232" s="62" t="s">
        <v>16</v>
      </c>
      <c r="H232" s="7"/>
    </row>
    <row r="233" spans="1:8" ht="16.5" customHeight="1" x14ac:dyDescent="0.15">
      <c r="A233" s="74"/>
      <c r="B233" s="56" t="s">
        <v>420</v>
      </c>
      <c r="C233" s="78"/>
      <c r="D233" s="7" t="s">
        <v>958</v>
      </c>
      <c r="G233" s="62" t="s">
        <v>16</v>
      </c>
      <c r="H233" s="7"/>
    </row>
    <row r="234" spans="1:8" ht="16.5" customHeight="1" x14ac:dyDescent="0.15">
      <c r="A234" s="74"/>
      <c r="B234" s="56" t="s">
        <v>421</v>
      </c>
      <c r="C234" s="78"/>
      <c r="D234" s="7" t="s">
        <v>969</v>
      </c>
      <c r="G234" s="62" t="s">
        <v>16</v>
      </c>
      <c r="H234" s="7"/>
    </row>
    <row r="235" spans="1:8" ht="16.5" customHeight="1" x14ac:dyDescent="0.15">
      <c r="A235" s="74"/>
      <c r="B235" s="56" t="s">
        <v>422</v>
      </c>
      <c r="C235" s="78"/>
      <c r="D235" s="29" t="s">
        <v>960</v>
      </c>
      <c r="G235" s="62" t="s">
        <v>16</v>
      </c>
      <c r="H235" s="7"/>
    </row>
    <row r="236" spans="1:8" ht="16.5" customHeight="1" x14ac:dyDescent="0.15">
      <c r="A236" s="74"/>
      <c r="B236" s="56" t="s">
        <v>423</v>
      </c>
      <c r="C236" s="78"/>
      <c r="D236" s="7" t="s">
        <v>961</v>
      </c>
      <c r="G236" s="62" t="s">
        <v>16</v>
      </c>
      <c r="H236" s="7"/>
    </row>
    <row r="237" spans="1:8" ht="16.5" customHeight="1" x14ac:dyDescent="0.15">
      <c r="A237" s="74"/>
      <c r="B237" s="56" t="s">
        <v>424</v>
      </c>
      <c r="C237" s="78"/>
      <c r="D237" s="7" t="s">
        <v>962</v>
      </c>
      <c r="G237" s="62" t="s">
        <v>16</v>
      </c>
      <c r="H237" s="7"/>
    </row>
    <row r="238" spans="1:8" ht="16.5" customHeight="1" x14ac:dyDescent="0.15">
      <c r="A238" s="74"/>
      <c r="B238" s="56" t="s">
        <v>425</v>
      </c>
      <c r="C238" s="78"/>
      <c r="D238" s="7" t="s">
        <v>963</v>
      </c>
      <c r="G238" s="62" t="s">
        <v>16</v>
      </c>
      <c r="H238" s="7"/>
    </row>
    <row r="239" spans="1:8" ht="16.5" customHeight="1" x14ac:dyDescent="0.15">
      <c r="A239" s="74"/>
      <c r="B239" s="56" t="s">
        <v>426</v>
      </c>
      <c r="C239" s="77" t="s">
        <v>949</v>
      </c>
      <c r="D239" s="7" t="s">
        <v>950</v>
      </c>
      <c r="G239" s="62" t="s">
        <v>16</v>
      </c>
      <c r="H239" s="7"/>
    </row>
    <row r="240" spans="1:8" ht="16.5" customHeight="1" x14ac:dyDescent="0.15">
      <c r="A240" s="74"/>
      <c r="B240" s="56" t="s">
        <v>427</v>
      </c>
      <c r="C240" s="78"/>
      <c r="D240" s="7" t="s">
        <v>1019</v>
      </c>
      <c r="G240" s="62" t="s">
        <v>16</v>
      </c>
      <c r="H240" s="7"/>
    </row>
    <row r="241" spans="1:8" ht="16.5" customHeight="1" x14ac:dyDescent="0.15">
      <c r="A241" s="74"/>
      <c r="B241" s="56" t="s">
        <v>428</v>
      </c>
      <c r="C241" s="78"/>
      <c r="D241" s="7" t="s">
        <v>951</v>
      </c>
      <c r="G241" s="62" t="s">
        <v>16</v>
      </c>
      <c r="H241" s="7"/>
    </row>
    <row r="242" spans="1:8" ht="16.5" customHeight="1" x14ac:dyDescent="0.15">
      <c r="A242" s="74"/>
      <c r="B242" s="56" t="s">
        <v>429</v>
      </c>
      <c r="C242" s="78"/>
      <c r="D242" s="7" t="s">
        <v>952</v>
      </c>
      <c r="G242" s="62" t="s">
        <v>16</v>
      </c>
      <c r="H242" s="7"/>
    </row>
    <row r="243" spans="1:8" ht="16.5" customHeight="1" x14ac:dyDescent="0.15">
      <c r="A243" s="74"/>
      <c r="B243" s="56" t="s">
        <v>430</v>
      </c>
      <c r="C243" s="77" t="s">
        <v>921</v>
      </c>
      <c r="D243" s="7" t="s">
        <v>970</v>
      </c>
      <c r="G243" s="62" t="s">
        <v>16</v>
      </c>
      <c r="H243" s="7"/>
    </row>
    <row r="244" spans="1:8" ht="16.5" customHeight="1" x14ac:dyDescent="0.15">
      <c r="A244" s="74"/>
      <c r="B244" s="56" t="s">
        <v>431</v>
      </c>
      <c r="C244" s="78"/>
      <c r="D244" s="7" t="s">
        <v>973</v>
      </c>
      <c r="G244" s="62" t="s">
        <v>1020</v>
      </c>
      <c r="H244" s="7"/>
    </row>
    <row r="245" spans="1:8" ht="16.5" customHeight="1" x14ac:dyDescent="0.15">
      <c r="A245" s="74"/>
      <c r="B245" s="56" t="s">
        <v>432</v>
      </c>
      <c r="C245" s="78"/>
      <c r="D245" s="7" t="s">
        <v>974</v>
      </c>
      <c r="G245" s="62" t="s">
        <v>1020</v>
      </c>
      <c r="H245" s="7"/>
    </row>
    <row r="246" spans="1:8" ht="16.5" customHeight="1" x14ac:dyDescent="0.15">
      <c r="A246" s="83" t="s">
        <v>925</v>
      </c>
      <c r="B246" s="56" t="s">
        <v>433</v>
      </c>
      <c r="C246" s="81" t="s">
        <v>927</v>
      </c>
      <c r="D246" s="7" t="s">
        <v>929</v>
      </c>
      <c r="G246" s="62" t="s">
        <v>1020</v>
      </c>
      <c r="H246" s="7"/>
    </row>
    <row r="247" spans="1:8" ht="16.5" customHeight="1" x14ac:dyDescent="0.15">
      <c r="A247" s="84"/>
      <c r="B247" s="56" t="s">
        <v>434</v>
      </c>
      <c r="C247" s="82"/>
      <c r="D247" s="7" t="s">
        <v>930</v>
      </c>
      <c r="G247" s="62" t="s">
        <v>1020</v>
      </c>
      <c r="H247" s="7"/>
    </row>
    <row r="248" spans="1:8" ht="16.5" customHeight="1" x14ac:dyDescent="0.15">
      <c r="A248" s="84"/>
      <c r="B248" s="56" t="s">
        <v>435</v>
      </c>
      <c r="C248" s="82"/>
      <c r="D248" s="7" t="s">
        <v>931</v>
      </c>
      <c r="G248" s="62" t="s">
        <v>1020</v>
      </c>
      <c r="H248" s="7"/>
    </row>
    <row r="249" spans="1:8" ht="16.5" customHeight="1" x14ac:dyDescent="0.15">
      <c r="A249" s="84"/>
      <c r="B249" s="56" t="s">
        <v>436</v>
      </c>
      <c r="C249" s="82"/>
      <c r="D249" s="7" t="s">
        <v>935</v>
      </c>
      <c r="G249" s="62" t="s">
        <v>1020</v>
      </c>
      <c r="H249" s="7"/>
    </row>
    <row r="250" spans="1:8" ht="16.5" customHeight="1" x14ac:dyDescent="0.15">
      <c r="A250" s="84"/>
      <c r="B250" s="56" t="s">
        <v>437</v>
      </c>
      <c r="C250" s="82"/>
      <c r="D250" s="7" t="s">
        <v>932</v>
      </c>
      <c r="G250" s="62" t="s">
        <v>1020</v>
      </c>
      <c r="H250" s="7"/>
    </row>
    <row r="251" spans="1:8" ht="16.5" customHeight="1" x14ac:dyDescent="0.15">
      <c r="A251" s="85"/>
      <c r="B251" s="56" t="s">
        <v>438</v>
      </c>
      <c r="C251" s="86"/>
      <c r="D251" s="7" t="s">
        <v>781</v>
      </c>
      <c r="G251" s="62" t="s">
        <v>1020</v>
      </c>
      <c r="H251" s="7"/>
    </row>
    <row r="252" spans="1:8" ht="16.5" customHeight="1" x14ac:dyDescent="0.15">
      <c r="A252" s="83" t="s">
        <v>926</v>
      </c>
      <c r="B252" s="56" t="s">
        <v>439</v>
      </c>
      <c r="C252" s="81" t="s">
        <v>928</v>
      </c>
      <c r="D252" s="7" t="s">
        <v>933</v>
      </c>
      <c r="G252" s="62" t="s">
        <v>1020</v>
      </c>
      <c r="H252" s="7"/>
    </row>
    <row r="253" spans="1:8" ht="16.5" customHeight="1" x14ac:dyDescent="0.15">
      <c r="A253" s="84"/>
      <c r="B253" s="56" t="s">
        <v>440</v>
      </c>
      <c r="C253" s="82"/>
      <c r="D253" s="7" t="s">
        <v>934</v>
      </c>
      <c r="G253" s="62" t="s">
        <v>1020</v>
      </c>
      <c r="H253" s="7"/>
    </row>
    <row r="254" spans="1:8" ht="16.5" customHeight="1" x14ac:dyDescent="0.15">
      <c r="A254" s="84"/>
      <c r="B254" s="56" t="s">
        <v>441</v>
      </c>
      <c r="C254" s="82"/>
      <c r="D254" s="7" t="s">
        <v>931</v>
      </c>
      <c r="G254" s="62" t="s">
        <v>1020</v>
      </c>
      <c r="H254" s="7"/>
    </row>
    <row r="255" spans="1:8" ht="16.5" customHeight="1" x14ac:dyDescent="0.15">
      <c r="A255" s="84"/>
      <c r="B255" s="56" t="s">
        <v>442</v>
      </c>
      <c r="C255" s="82"/>
      <c r="D255" s="7" t="s">
        <v>935</v>
      </c>
      <c r="G255" s="62" t="s">
        <v>1020</v>
      </c>
      <c r="H255" s="7"/>
    </row>
    <row r="256" spans="1:8" ht="16.5" customHeight="1" x14ac:dyDescent="0.15">
      <c r="A256" s="84"/>
      <c r="B256" s="56" t="s">
        <v>443</v>
      </c>
      <c r="C256" s="82"/>
      <c r="D256" s="7" t="s">
        <v>936</v>
      </c>
      <c r="G256" s="62" t="s">
        <v>1020</v>
      </c>
      <c r="H256" s="7"/>
    </row>
    <row r="257" spans="1:8" ht="16.5" customHeight="1" x14ac:dyDescent="0.15">
      <c r="A257" s="85"/>
      <c r="B257" s="56" t="s">
        <v>444</v>
      </c>
      <c r="C257" s="86"/>
      <c r="D257" s="7" t="s">
        <v>781</v>
      </c>
      <c r="G257" s="62" t="s">
        <v>1020</v>
      </c>
      <c r="H257" s="7"/>
    </row>
    <row r="258" spans="1:8" ht="16.5" customHeight="1" x14ac:dyDescent="0.15">
      <c r="A258" s="73" t="s">
        <v>924</v>
      </c>
      <c r="B258" s="56" t="s">
        <v>445</v>
      </c>
      <c r="C258" s="75" t="s">
        <v>1022</v>
      </c>
      <c r="D258" s="68" t="s">
        <v>1025</v>
      </c>
      <c r="G258" s="62" t="s">
        <v>1020</v>
      </c>
      <c r="H258" s="7"/>
    </row>
    <row r="259" spans="1:8" ht="16.5" customHeight="1" x14ac:dyDescent="0.15">
      <c r="A259" s="74"/>
      <c r="B259" s="56" t="s">
        <v>446</v>
      </c>
      <c r="C259" s="76"/>
      <c r="D259" s="68" t="s">
        <v>1026</v>
      </c>
      <c r="G259" s="62" t="s">
        <v>1020</v>
      </c>
      <c r="H259" s="7"/>
    </row>
    <row r="260" spans="1:8" ht="16.5" customHeight="1" x14ac:dyDescent="0.15">
      <c r="A260" s="74"/>
      <c r="B260" s="56" t="s">
        <v>546</v>
      </c>
      <c r="C260" s="76"/>
      <c r="D260" s="68" t="s">
        <v>1030</v>
      </c>
      <c r="G260" s="62" t="s">
        <v>1020</v>
      </c>
      <c r="H260" s="7"/>
    </row>
    <row r="261" spans="1:8" ht="16.5" customHeight="1" x14ac:dyDescent="0.15">
      <c r="A261" s="74"/>
      <c r="B261" s="56" t="s">
        <v>447</v>
      </c>
      <c r="C261" s="76"/>
      <c r="D261" s="68" t="s">
        <v>1027</v>
      </c>
      <c r="G261" s="62" t="s">
        <v>1020</v>
      </c>
      <c r="H261" s="7"/>
    </row>
    <row r="262" spans="1:8" ht="16.5" customHeight="1" x14ac:dyDescent="0.15">
      <c r="A262" s="74"/>
      <c r="B262" s="56" t="s">
        <v>448</v>
      </c>
      <c r="C262" s="76"/>
      <c r="D262" s="68" t="s">
        <v>1028</v>
      </c>
      <c r="G262" s="62" t="s">
        <v>1020</v>
      </c>
      <c r="H262" s="7"/>
    </row>
    <row r="263" spans="1:8" ht="16.5" customHeight="1" x14ac:dyDescent="0.15">
      <c r="A263" s="74"/>
      <c r="B263" s="56" t="s">
        <v>449</v>
      </c>
      <c r="C263" s="76"/>
      <c r="D263" s="68" t="s">
        <v>1029</v>
      </c>
      <c r="G263" s="62" t="s">
        <v>1020</v>
      </c>
      <c r="H263" s="7"/>
    </row>
    <row r="264" spans="1:8" ht="16.5" customHeight="1" x14ac:dyDescent="0.15">
      <c r="A264" s="74"/>
      <c r="B264" s="56" t="s">
        <v>450</v>
      </c>
      <c r="C264" s="75" t="s">
        <v>1023</v>
      </c>
      <c r="D264" s="68" t="s">
        <v>1025</v>
      </c>
      <c r="G264" s="62" t="s">
        <v>1020</v>
      </c>
      <c r="H264" s="7"/>
    </row>
    <row r="265" spans="1:8" ht="16.5" customHeight="1" x14ac:dyDescent="0.15">
      <c r="A265" s="74"/>
      <c r="B265" s="56" t="s">
        <v>451</v>
      </c>
      <c r="C265" s="76"/>
      <c r="D265" s="68" t="s">
        <v>1026</v>
      </c>
      <c r="G265" s="62" t="s">
        <v>1020</v>
      </c>
      <c r="H265" s="7"/>
    </row>
    <row r="266" spans="1:8" ht="16.5" customHeight="1" x14ac:dyDescent="0.15">
      <c r="A266" s="74"/>
      <c r="B266" s="56" t="s">
        <v>452</v>
      </c>
      <c r="C266" s="76"/>
      <c r="D266" s="68" t="s">
        <v>1031</v>
      </c>
      <c r="G266" s="62" t="s">
        <v>1020</v>
      </c>
      <c r="H266" s="7"/>
    </row>
    <row r="267" spans="1:8" ht="16.5" customHeight="1" x14ac:dyDescent="0.15">
      <c r="A267" s="74"/>
      <c r="B267" s="56" t="s">
        <v>453</v>
      </c>
      <c r="C267" s="76"/>
      <c r="D267" s="7" t="s">
        <v>955</v>
      </c>
      <c r="G267" s="62" t="s">
        <v>1020</v>
      </c>
      <c r="H267" s="7"/>
    </row>
    <row r="268" spans="1:8" ht="16.5" customHeight="1" x14ac:dyDescent="0.15">
      <c r="A268" s="74"/>
      <c r="B268" s="56" t="s">
        <v>454</v>
      </c>
      <c r="C268" s="76"/>
      <c r="D268" s="7" t="s">
        <v>959</v>
      </c>
      <c r="G268" s="62" t="s">
        <v>1020</v>
      </c>
      <c r="H268" s="7"/>
    </row>
    <row r="269" spans="1:8" ht="16.5" customHeight="1" x14ac:dyDescent="0.15">
      <c r="A269" s="74"/>
      <c r="B269" s="56" t="s">
        <v>1021</v>
      </c>
      <c r="C269" s="76"/>
      <c r="D269" s="7" t="s">
        <v>956</v>
      </c>
      <c r="G269" s="62" t="s">
        <v>1020</v>
      </c>
      <c r="H269" s="7"/>
    </row>
    <row r="270" spans="1:8" ht="16.5" customHeight="1" x14ac:dyDescent="0.15">
      <c r="A270" s="74"/>
      <c r="B270" s="56" t="s">
        <v>547</v>
      </c>
      <c r="C270" s="76"/>
      <c r="D270" s="7" t="s">
        <v>957</v>
      </c>
      <c r="G270" s="62" t="s">
        <v>1020</v>
      </c>
      <c r="H270" s="7"/>
    </row>
    <row r="271" spans="1:8" ht="16.5" customHeight="1" x14ac:dyDescent="0.15">
      <c r="A271" s="74"/>
      <c r="B271" s="56" t="s">
        <v>455</v>
      </c>
      <c r="C271" s="76"/>
      <c r="D271" s="7" t="s">
        <v>958</v>
      </c>
      <c r="G271" s="62" t="s">
        <v>1020</v>
      </c>
      <c r="H271" s="7"/>
    </row>
    <row r="272" spans="1:8" ht="16.5" customHeight="1" x14ac:dyDescent="0.15">
      <c r="A272" s="74"/>
      <c r="B272" s="56" t="s">
        <v>456</v>
      </c>
      <c r="C272" s="76"/>
      <c r="D272" s="29" t="s">
        <v>960</v>
      </c>
      <c r="G272" s="62" t="s">
        <v>1020</v>
      </c>
      <c r="H272" s="7"/>
    </row>
    <row r="273" spans="1:220" ht="16.5" customHeight="1" x14ac:dyDescent="0.15">
      <c r="A273" s="74"/>
      <c r="B273" s="56" t="s">
        <v>457</v>
      </c>
      <c r="C273" s="76"/>
      <c r="D273" s="7" t="s">
        <v>961</v>
      </c>
      <c r="G273" s="62" t="s">
        <v>1020</v>
      </c>
      <c r="H273" s="7"/>
    </row>
    <row r="274" spans="1:220" ht="16.5" customHeight="1" x14ac:dyDescent="0.15">
      <c r="A274" s="74"/>
      <c r="B274" s="56" t="s">
        <v>458</v>
      </c>
      <c r="C274" s="76"/>
      <c r="D274" s="7" t="s">
        <v>962</v>
      </c>
      <c r="G274" s="62" t="s">
        <v>1020</v>
      </c>
      <c r="H274" s="7"/>
    </row>
    <row r="275" spans="1:220" ht="16.5" customHeight="1" x14ac:dyDescent="0.15">
      <c r="A275" s="74"/>
      <c r="B275" s="56" t="s">
        <v>459</v>
      </c>
      <c r="C275" s="76"/>
      <c r="D275" s="7" t="s">
        <v>1032</v>
      </c>
      <c r="G275" s="62" t="s">
        <v>1020</v>
      </c>
      <c r="H275" s="7"/>
    </row>
    <row r="276" spans="1:220" ht="16.5" customHeight="1" x14ac:dyDescent="0.15">
      <c r="A276" s="58" t="s">
        <v>173</v>
      </c>
      <c r="B276" s="56" t="s">
        <v>460</v>
      </c>
      <c r="C276" s="55" t="s">
        <v>784</v>
      </c>
      <c r="D276" s="55" t="s">
        <v>784</v>
      </c>
      <c r="G276" s="69" t="s">
        <v>26</v>
      </c>
      <c r="H276" s="7"/>
    </row>
    <row r="277" spans="1:220" ht="16.5" customHeight="1" x14ac:dyDescent="0.15">
      <c r="A277" s="58" t="s">
        <v>174</v>
      </c>
      <c r="B277" s="56" t="s">
        <v>461</v>
      </c>
      <c r="C277" s="55" t="s">
        <v>784</v>
      </c>
      <c r="D277" s="55" t="s">
        <v>784</v>
      </c>
      <c r="G277" s="69" t="s">
        <v>26</v>
      </c>
      <c r="H277" s="7"/>
    </row>
    <row r="278" spans="1:220" ht="16.5" customHeight="1" x14ac:dyDescent="0.15">
      <c r="A278" s="73" t="s">
        <v>175</v>
      </c>
      <c r="B278" s="56" t="s">
        <v>462</v>
      </c>
      <c r="C278" s="7" t="s">
        <v>223</v>
      </c>
      <c r="D278" s="7" t="s">
        <v>224</v>
      </c>
      <c r="G278" s="62" t="s">
        <v>1020</v>
      </c>
      <c r="H278" s="7"/>
    </row>
    <row r="279" spans="1:220" ht="16.5" customHeight="1" x14ac:dyDescent="0.15">
      <c r="A279" s="74"/>
      <c r="B279" s="56" t="s">
        <v>463</v>
      </c>
      <c r="C279" s="77" t="s">
        <v>225</v>
      </c>
      <c r="D279" s="7" t="s">
        <v>230</v>
      </c>
      <c r="G279" s="62" t="s">
        <v>1020</v>
      </c>
      <c r="H279" s="7"/>
    </row>
    <row r="280" spans="1:220" ht="16.5" customHeight="1" x14ac:dyDescent="0.15">
      <c r="A280" s="74"/>
      <c r="B280" s="56" t="s">
        <v>548</v>
      </c>
      <c r="C280" s="78"/>
      <c r="D280" s="7" t="s">
        <v>227</v>
      </c>
      <c r="G280" s="62" t="s">
        <v>1020</v>
      </c>
      <c r="H280" s="7"/>
    </row>
    <row r="281" spans="1:220" ht="16.5" customHeight="1" x14ac:dyDescent="0.15">
      <c r="A281" s="74"/>
      <c r="B281" s="56" t="s">
        <v>464</v>
      </c>
      <c r="C281" s="78"/>
      <c r="D281" s="7" t="s">
        <v>231</v>
      </c>
      <c r="G281" s="62" t="s">
        <v>1020</v>
      </c>
      <c r="H281" s="7"/>
    </row>
    <row r="282" spans="1:220" ht="16.5" customHeight="1" x14ac:dyDescent="0.15">
      <c r="A282" s="74"/>
      <c r="B282" s="56" t="s">
        <v>465</v>
      </c>
      <c r="C282" s="78"/>
      <c r="D282" s="7" t="s">
        <v>228</v>
      </c>
      <c r="G282" s="62" t="s">
        <v>1020</v>
      </c>
      <c r="H282" s="7"/>
    </row>
    <row r="283" spans="1:220" ht="16.5" customHeight="1" x14ac:dyDescent="0.15">
      <c r="A283" s="74"/>
      <c r="B283" s="56" t="s">
        <v>466</v>
      </c>
      <c r="C283" s="78"/>
      <c r="D283" s="7" t="s">
        <v>229</v>
      </c>
      <c r="G283" s="62" t="s">
        <v>1020</v>
      </c>
      <c r="H283" s="7"/>
    </row>
    <row r="284" spans="1:220" ht="16.5" customHeight="1" x14ac:dyDescent="0.15">
      <c r="A284" s="74"/>
      <c r="B284" s="56" t="s">
        <v>467</v>
      </c>
      <c r="C284" s="78"/>
      <c r="D284" s="7" t="s">
        <v>1033</v>
      </c>
      <c r="G284" s="62" t="s">
        <v>1020</v>
      </c>
      <c r="H284" s="7"/>
    </row>
    <row r="285" spans="1:220" ht="16.5" customHeight="1" x14ac:dyDescent="0.15">
      <c r="A285" s="74"/>
      <c r="B285" s="56" t="s">
        <v>468</v>
      </c>
      <c r="C285" s="78"/>
      <c r="D285" s="7" t="s">
        <v>226</v>
      </c>
      <c r="G285" s="62" t="s">
        <v>1020</v>
      </c>
      <c r="H285" s="7"/>
    </row>
    <row r="286" spans="1:220" ht="16.5" customHeight="1" x14ac:dyDescent="0.15">
      <c r="A286" s="74"/>
      <c r="B286" s="56" t="s">
        <v>469</v>
      </c>
      <c r="C286" s="78"/>
      <c r="D286" s="7" t="s">
        <v>232</v>
      </c>
      <c r="G286" s="62" t="s">
        <v>1020</v>
      </c>
      <c r="H286" s="7"/>
    </row>
    <row r="287" spans="1:220" s="19" customFormat="1" x14ac:dyDescent="0.15">
      <c r="A287" s="87" t="s">
        <v>142</v>
      </c>
      <c r="B287" s="88"/>
      <c r="C287" s="88"/>
      <c r="D287" s="88"/>
      <c r="E287" s="88"/>
      <c r="F287" s="88"/>
      <c r="G287" s="88"/>
      <c r="H287" s="88"/>
      <c r="I287" s="88"/>
      <c r="J287" s="89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/>
      <c r="EQ287" s="15"/>
      <c r="ER287" s="15"/>
      <c r="ES287" s="15"/>
      <c r="ET287" s="15"/>
      <c r="EU287" s="15"/>
      <c r="EV287" s="15"/>
      <c r="EW287" s="15"/>
      <c r="EX287" s="15"/>
      <c r="EY287" s="15"/>
      <c r="EZ287" s="15"/>
      <c r="FA287" s="15"/>
      <c r="FB287" s="15"/>
      <c r="FC287" s="15"/>
      <c r="FD287" s="15"/>
      <c r="FE287" s="15"/>
      <c r="FF287" s="15"/>
      <c r="FG287" s="15"/>
      <c r="FH287" s="15"/>
      <c r="FI287" s="15"/>
      <c r="FJ287" s="15"/>
      <c r="FK287" s="15"/>
      <c r="FL287" s="15"/>
      <c r="FM287" s="15"/>
      <c r="FN287" s="15"/>
      <c r="FO287" s="15"/>
      <c r="FP287" s="15"/>
      <c r="FQ287" s="15"/>
      <c r="FR287" s="15"/>
      <c r="FS287" s="15"/>
      <c r="FT287" s="15"/>
      <c r="FU287" s="15"/>
      <c r="FV287" s="15"/>
      <c r="FW287" s="15"/>
      <c r="FX287" s="15"/>
      <c r="FY287" s="15"/>
      <c r="FZ287" s="15"/>
      <c r="GA287" s="15"/>
      <c r="GB287" s="15"/>
      <c r="GC287" s="15"/>
      <c r="GD287" s="15"/>
      <c r="GE287" s="15"/>
      <c r="GF287" s="15"/>
      <c r="GG287" s="15"/>
      <c r="GH287" s="15"/>
      <c r="GI287" s="15"/>
      <c r="GJ287" s="15"/>
      <c r="GK287" s="15"/>
      <c r="GL287" s="15"/>
      <c r="GM287" s="15"/>
      <c r="GN287" s="15"/>
      <c r="GO287" s="15"/>
      <c r="GP287" s="15"/>
      <c r="GQ287" s="15"/>
      <c r="GR287" s="15"/>
      <c r="GS287" s="15"/>
      <c r="GT287" s="15"/>
      <c r="GU287" s="15"/>
      <c r="GV287" s="15"/>
      <c r="GW287" s="15"/>
      <c r="GX287" s="15"/>
      <c r="GY287" s="15"/>
      <c r="GZ287" s="15"/>
      <c r="HA287" s="15"/>
      <c r="HB287" s="15"/>
      <c r="HC287" s="15"/>
      <c r="HD287" s="15"/>
      <c r="HE287" s="15"/>
      <c r="HF287" s="15"/>
      <c r="HG287" s="15"/>
      <c r="HH287" s="15"/>
      <c r="HI287" s="15"/>
      <c r="HJ287" s="15"/>
      <c r="HK287" s="15"/>
      <c r="HL287" s="15"/>
    </row>
    <row r="288" spans="1:220" ht="13.5" customHeight="1" x14ac:dyDescent="0.15">
      <c r="A288" s="59" t="s">
        <v>28</v>
      </c>
      <c r="B288" s="23" t="s">
        <v>29</v>
      </c>
      <c r="C288" s="12" t="s">
        <v>0</v>
      </c>
      <c r="D288" s="6" t="s">
        <v>30</v>
      </c>
      <c r="E288" s="23" t="s">
        <v>31</v>
      </c>
      <c r="F288" s="23" t="s">
        <v>32</v>
      </c>
      <c r="G288" s="90" t="s">
        <v>34</v>
      </c>
      <c r="H288" s="90"/>
      <c r="I288" s="90"/>
      <c r="J288" s="28" t="s">
        <v>10</v>
      </c>
    </row>
    <row r="289" spans="1:220" ht="16.5" customHeight="1" x14ac:dyDescent="0.15">
      <c r="A289" s="92" t="s">
        <v>166</v>
      </c>
      <c r="B289" s="49" t="s">
        <v>1034</v>
      </c>
      <c r="C289" s="80" t="s">
        <v>252</v>
      </c>
      <c r="D289" s="7" t="s">
        <v>258</v>
      </c>
      <c r="G289" s="62" t="s">
        <v>1020</v>
      </c>
      <c r="H289" s="13"/>
      <c r="I289" s="13"/>
    </row>
    <row r="290" spans="1:220" s="36" customFormat="1" ht="16.5" customHeight="1" x14ac:dyDescent="0.15">
      <c r="A290" s="92"/>
      <c r="B290" s="54" t="s">
        <v>547</v>
      </c>
      <c r="C290" s="80"/>
      <c r="D290" s="1" t="s">
        <v>257</v>
      </c>
      <c r="E290" s="7"/>
      <c r="F290" s="7"/>
      <c r="G290" s="62" t="s">
        <v>1020</v>
      </c>
      <c r="H290" s="13"/>
      <c r="I290" s="13"/>
      <c r="J290" s="29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/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3"/>
      <c r="CA290" s="33"/>
      <c r="CB290" s="33"/>
      <c r="CC290" s="33"/>
      <c r="CD290" s="33"/>
      <c r="CE290" s="33"/>
      <c r="CF290" s="33"/>
      <c r="CG290" s="33"/>
      <c r="CH290" s="33"/>
      <c r="CI290" s="33"/>
      <c r="CJ290" s="33"/>
      <c r="CK290" s="33"/>
      <c r="CL290" s="33"/>
      <c r="CM290" s="33"/>
      <c r="CN290" s="33"/>
      <c r="CO290" s="33"/>
      <c r="CP290" s="33"/>
      <c r="CQ290" s="33"/>
      <c r="CR290" s="33"/>
      <c r="CS290" s="33"/>
      <c r="CT290" s="33"/>
      <c r="CU290" s="33"/>
      <c r="CV290" s="33"/>
      <c r="CW290" s="33"/>
      <c r="CX290" s="33"/>
      <c r="CY290" s="33"/>
      <c r="CZ290" s="33"/>
      <c r="DA290" s="33"/>
      <c r="DB290" s="33"/>
      <c r="DC290" s="33"/>
      <c r="DD290" s="33"/>
      <c r="DE290" s="33"/>
      <c r="DF290" s="33"/>
      <c r="DG290" s="33"/>
      <c r="DH290" s="33"/>
      <c r="DI290" s="33"/>
      <c r="DJ290" s="33"/>
      <c r="DK290" s="33"/>
      <c r="DL290" s="33"/>
      <c r="DM290" s="33"/>
      <c r="DN290" s="33"/>
      <c r="DO290" s="33"/>
      <c r="DP290" s="33"/>
      <c r="DQ290" s="33"/>
      <c r="DR290" s="33"/>
      <c r="DS290" s="33"/>
      <c r="DT290" s="33"/>
      <c r="DU290" s="33"/>
      <c r="DV290" s="33"/>
      <c r="DW290" s="33"/>
      <c r="DX290" s="33"/>
      <c r="DY290" s="33"/>
      <c r="DZ290" s="33"/>
      <c r="EA290" s="33"/>
      <c r="EB290" s="33"/>
      <c r="EC290" s="33"/>
      <c r="ED290" s="33"/>
      <c r="EE290" s="33"/>
      <c r="EF290" s="33"/>
      <c r="EG290" s="33"/>
      <c r="EH290" s="33"/>
      <c r="EI290" s="33"/>
      <c r="EJ290" s="33"/>
      <c r="EK290" s="33"/>
      <c r="EL290" s="33"/>
      <c r="EM290" s="33"/>
      <c r="EN290" s="33"/>
      <c r="EO290" s="33"/>
      <c r="EP290" s="33"/>
      <c r="EQ290" s="33"/>
      <c r="ER290" s="33"/>
      <c r="ES290" s="33"/>
      <c r="ET290" s="33"/>
      <c r="EU290" s="33"/>
      <c r="EV290" s="33"/>
      <c r="EW290" s="33"/>
      <c r="EX290" s="33"/>
      <c r="EY290" s="33"/>
      <c r="EZ290" s="33"/>
      <c r="FA290" s="33"/>
      <c r="FB290" s="33"/>
      <c r="FC290" s="33"/>
      <c r="FD290" s="33"/>
      <c r="FE290" s="33"/>
      <c r="FF290" s="33"/>
      <c r="FG290" s="33"/>
      <c r="FH290" s="33"/>
      <c r="FI290" s="33"/>
      <c r="FJ290" s="33"/>
      <c r="FK290" s="33"/>
      <c r="FL290" s="33"/>
      <c r="FM290" s="33"/>
      <c r="FN290" s="33"/>
      <c r="FO290" s="33"/>
      <c r="FP290" s="33"/>
      <c r="FQ290" s="33"/>
      <c r="FR290" s="33"/>
      <c r="FS290" s="33"/>
      <c r="FT290" s="33"/>
      <c r="FU290" s="33"/>
      <c r="FV290" s="33"/>
      <c r="FW290" s="33"/>
      <c r="FX290" s="33"/>
      <c r="FY290" s="33"/>
      <c r="FZ290" s="33"/>
      <c r="GA290" s="33"/>
      <c r="GB290" s="33"/>
      <c r="GC290" s="33"/>
      <c r="GD290" s="33"/>
      <c r="GE290" s="33"/>
      <c r="GF290" s="33"/>
      <c r="GG290" s="33"/>
      <c r="GH290" s="33"/>
      <c r="GI290" s="33"/>
      <c r="GJ290" s="33"/>
      <c r="GK290" s="33"/>
      <c r="GL290" s="33"/>
      <c r="GM290" s="33"/>
      <c r="GN290" s="33"/>
      <c r="GO290" s="33"/>
      <c r="GP290" s="33"/>
      <c r="GQ290" s="33"/>
      <c r="GR290" s="33"/>
      <c r="GS290" s="33"/>
      <c r="GT290" s="33"/>
      <c r="GU290" s="33"/>
      <c r="GV290" s="33"/>
      <c r="GW290" s="33"/>
      <c r="GX290" s="33"/>
      <c r="GY290" s="33"/>
      <c r="GZ290" s="33"/>
      <c r="HA290" s="33"/>
      <c r="HB290" s="33"/>
      <c r="HC290" s="33"/>
      <c r="HD290" s="33"/>
      <c r="HE290" s="33"/>
      <c r="HF290" s="33"/>
      <c r="HG290" s="33"/>
      <c r="HH290" s="33"/>
      <c r="HI290" s="33"/>
      <c r="HJ290" s="33"/>
      <c r="HK290" s="33"/>
      <c r="HL290" s="33"/>
    </row>
    <row r="291" spans="1:220" s="36" customFormat="1" ht="16.5" customHeight="1" x14ac:dyDescent="0.15">
      <c r="A291" s="92"/>
      <c r="B291" s="54" t="s">
        <v>455</v>
      </c>
      <c r="C291" s="80"/>
      <c r="D291" s="1" t="s">
        <v>259</v>
      </c>
      <c r="E291" s="7"/>
      <c r="F291" s="7"/>
      <c r="G291" s="62" t="s">
        <v>1020</v>
      </c>
      <c r="H291" s="13"/>
      <c r="I291" s="13"/>
      <c r="J291" s="29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/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3"/>
      <c r="CA291" s="33"/>
      <c r="CB291" s="33"/>
      <c r="CC291" s="33"/>
      <c r="CD291" s="33"/>
      <c r="CE291" s="33"/>
      <c r="CF291" s="33"/>
      <c r="CG291" s="33"/>
      <c r="CH291" s="33"/>
      <c r="CI291" s="33"/>
      <c r="CJ291" s="33"/>
      <c r="CK291" s="33"/>
      <c r="CL291" s="33"/>
      <c r="CM291" s="33"/>
      <c r="CN291" s="33"/>
      <c r="CO291" s="33"/>
      <c r="CP291" s="33"/>
      <c r="CQ291" s="33"/>
      <c r="CR291" s="33"/>
      <c r="CS291" s="33"/>
      <c r="CT291" s="33"/>
      <c r="CU291" s="33"/>
      <c r="CV291" s="33"/>
      <c r="CW291" s="33"/>
      <c r="CX291" s="33"/>
      <c r="CY291" s="33"/>
      <c r="CZ291" s="33"/>
      <c r="DA291" s="33"/>
      <c r="DB291" s="33"/>
      <c r="DC291" s="33"/>
      <c r="DD291" s="33"/>
      <c r="DE291" s="33"/>
      <c r="DF291" s="33"/>
      <c r="DG291" s="33"/>
      <c r="DH291" s="33"/>
      <c r="DI291" s="33"/>
      <c r="DJ291" s="33"/>
      <c r="DK291" s="33"/>
      <c r="DL291" s="33"/>
      <c r="DM291" s="33"/>
      <c r="DN291" s="33"/>
      <c r="DO291" s="33"/>
      <c r="DP291" s="33"/>
      <c r="DQ291" s="33"/>
      <c r="DR291" s="33"/>
      <c r="DS291" s="33"/>
      <c r="DT291" s="33"/>
      <c r="DU291" s="33"/>
      <c r="DV291" s="33"/>
      <c r="DW291" s="33"/>
      <c r="DX291" s="33"/>
      <c r="DY291" s="33"/>
      <c r="DZ291" s="33"/>
      <c r="EA291" s="33"/>
      <c r="EB291" s="33"/>
      <c r="EC291" s="33"/>
      <c r="ED291" s="33"/>
      <c r="EE291" s="33"/>
      <c r="EF291" s="33"/>
      <c r="EG291" s="33"/>
      <c r="EH291" s="33"/>
      <c r="EI291" s="33"/>
      <c r="EJ291" s="33"/>
      <c r="EK291" s="33"/>
      <c r="EL291" s="33"/>
      <c r="EM291" s="33"/>
      <c r="EN291" s="33"/>
      <c r="EO291" s="33"/>
      <c r="EP291" s="33"/>
      <c r="EQ291" s="33"/>
      <c r="ER291" s="33"/>
      <c r="ES291" s="33"/>
      <c r="ET291" s="33"/>
      <c r="EU291" s="33"/>
      <c r="EV291" s="33"/>
      <c r="EW291" s="33"/>
      <c r="EX291" s="33"/>
      <c r="EY291" s="33"/>
      <c r="EZ291" s="33"/>
      <c r="FA291" s="33"/>
      <c r="FB291" s="33"/>
      <c r="FC291" s="33"/>
      <c r="FD291" s="33"/>
      <c r="FE291" s="33"/>
      <c r="FF291" s="33"/>
      <c r="FG291" s="33"/>
      <c r="FH291" s="33"/>
      <c r="FI291" s="33"/>
      <c r="FJ291" s="33"/>
      <c r="FK291" s="33"/>
      <c r="FL291" s="33"/>
      <c r="FM291" s="33"/>
      <c r="FN291" s="33"/>
      <c r="FO291" s="33"/>
      <c r="FP291" s="33"/>
      <c r="FQ291" s="33"/>
      <c r="FR291" s="33"/>
      <c r="FS291" s="33"/>
      <c r="FT291" s="33"/>
      <c r="FU291" s="33"/>
      <c r="FV291" s="33"/>
      <c r="FW291" s="33"/>
      <c r="FX291" s="33"/>
      <c r="FY291" s="33"/>
      <c r="FZ291" s="33"/>
      <c r="GA291" s="33"/>
      <c r="GB291" s="33"/>
      <c r="GC291" s="33"/>
      <c r="GD291" s="33"/>
      <c r="GE291" s="33"/>
      <c r="GF291" s="33"/>
      <c r="GG291" s="33"/>
      <c r="GH291" s="33"/>
      <c r="GI291" s="33"/>
      <c r="GJ291" s="33"/>
      <c r="GK291" s="33"/>
      <c r="GL291" s="33"/>
      <c r="GM291" s="33"/>
      <c r="GN291" s="33"/>
      <c r="GO291" s="33"/>
      <c r="GP291" s="33"/>
      <c r="GQ291" s="33"/>
      <c r="GR291" s="33"/>
      <c r="GS291" s="33"/>
      <c r="GT291" s="33"/>
      <c r="GU291" s="33"/>
      <c r="GV291" s="33"/>
      <c r="GW291" s="33"/>
      <c r="GX291" s="33"/>
      <c r="GY291" s="33"/>
      <c r="GZ291" s="33"/>
      <c r="HA291" s="33"/>
      <c r="HB291" s="33"/>
      <c r="HC291" s="33"/>
      <c r="HD291" s="33"/>
      <c r="HE291" s="33"/>
      <c r="HF291" s="33"/>
      <c r="HG291" s="33"/>
      <c r="HH291" s="33"/>
      <c r="HI291" s="33"/>
      <c r="HJ291" s="33"/>
      <c r="HK291" s="33"/>
      <c r="HL291" s="33"/>
    </row>
    <row r="292" spans="1:220" s="36" customFormat="1" ht="16.5" customHeight="1" x14ac:dyDescent="0.15">
      <c r="A292" s="92"/>
      <c r="B292" s="54" t="s">
        <v>456</v>
      </c>
      <c r="C292" s="80"/>
      <c r="D292" s="1" t="s">
        <v>282</v>
      </c>
      <c r="E292" s="7"/>
      <c r="F292" s="7"/>
      <c r="G292" s="62" t="s">
        <v>1020</v>
      </c>
      <c r="H292" s="13"/>
      <c r="I292" s="13"/>
      <c r="J292" s="29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  <c r="BM292" s="33"/>
      <c r="BN292" s="33"/>
      <c r="BO292" s="33"/>
      <c r="BP292" s="33"/>
      <c r="BQ292" s="33"/>
      <c r="BR292" s="33"/>
      <c r="BS292" s="33"/>
      <c r="BT292" s="33"/>
      <c r="BU292" s="33"/>
      <c r="BV292" s="33"/>
      <c r="BW292" s="33"/>
      <c r="BX292" s="33"/>
      <c r="BY292" s="33"/>
      <c r="BZ292" s="33"/>
      <c r="CA292" s="33"/>
      <c r="CB292" s="33"/>
      <c r="CC292" s="33"/>
      <c r="CD292" s="33"/>
      <c r="CE292" s="33"/>
      <c r="CF292" s="33"/>
      <c r="CG292" s="33"/>
      <c r="CH292" s="33"/>
      <c r="CI292" s="33"/>
      <c r="CJ292" s="33"/>
      <c r="CK292" s="33"/>
      <c r="CL292" s="33"/>
      <c r="CM292" s="33"/>
      <c r="CN292" s="33"/>
      <c r="CO292" s="33"/>
      <c r="CP292" s="33"/>
      <c r="CQ292" s="33"/>
      <c r="CR292" s="33"/>
      <c r="CS292" s="33"/>
      <c r="CT292" s="33"/>
      <c r="CU292" s="33"/>
      <c r="CV292" s="33"/>
      <c r="CW292" s="33"/>
      <c r="CX292" s="33"/>
      <c r="CY292" s="33"/>
      <c r="CZ292" s="33"/>
      <c r="DA292" s="33"/>
      <c r="DB292" s="33"/>
      <c r="DC292" s="33"/>
      <c r="DD292" s="33"/>
      <c r="DE292" s="33"/>
      <c r="DF292" s="33"/>
      <c r="DG292" s="33"/>
      <c r="DH292" s="33"/>
      <c r="DI292" s="33"/>
      <c r="DJ292" s="33"/>
      <c r="DK292" s="33"/>
      <c r="DL292" s="33"/>
      <c r="DM292" s="33"/>
      <c r="DN292" s="33"/>
      <c r="DO292" s="33"/>
      <c r="DP292" s="33"/>
      <c r="DQ292" s="33"/>
      <c r="DR292" s="33"/>
      <c r="DS292" s="33"/>
      <c r="DT292" s="33"/>
      <c r="DU292" s="33"/>
      <c r="DV292" s="33"/>
      <c r="DW292" s="33"/>
      <c r="DX292" s="33"/>
      <c r="DY292" s="33"/>
      <c r="DZ292" s="33"/>
      <c r="EA292" s="33"/>
      <c r="EB292" s="33"/>
      <c r="EC292" s="33"/>
      <c r="ED292" s="33"/>
      <c r="EE292" s="33"/>
      <c r="EF292" s="33"/>
      <c r="EG292" s="33"/>
      <c r="EH292" s="33"/>
      <c r="EI292" s="33"/>
      <c r="EJ292" s="33"/>
      <c r="EK292" s="33"/>
      <c r="EL292" s="33"/>
      <c r="EM292" s="33"/>
      <c r="EN292" s="33"/>
      <c r="EO292" s="33"/>
      <c r="EP292" s="33"/>
      <c r="EQ292" s="33"/>
      <c r="ER292" s="33"/>
      <c r="ES292" s="33"/>
      <c r="ET292" s="33"/>
      <c r="EU292" s="33"/>
      <c r="EV292" s="33"/>
      <c r="EW292" s="33"/>
      <c r="EX292" s="33"/>
      <c r="EY292" s="33"/>
      <c r="EZ292" s="33"/>
      <c r="FA292" s="33"/>
      <c r="FB292" s="33"/>
      <c r="FC292" s="33"/>
      <c r="FD292" s="33"/>
      <c r="FE292" s="33"/>
      <c r="FF292" s="33"/>
      <c r="FG292" s="33"/>
      <c r="FH292" s="33"/>
      <c r="FI292" s="33"/>
      <c r="FJ292" s="33"/>
      <c r="FK292" s="33"/>
      <c r="FL292" s="33"/>
      <c r="FM292" s="33"/>
      <c r="FN292" s="33"/>
      <c r="FO292" s="33"/>
      <c r="FP292" s="33"/>
      <c r="FQ292" s="33"/>
      <c r="FR292" s="33"/>
      <c r="FS292" s="33"/>
      <c r="FT292" s="33"/>
      <c r="FU292" s="33"/>
      <c r="FV292" s="33"/>
      <c r="FW292" s="33"/>
      <c r="FX292" s="33"/>
      <c r="FY292" s="33"/>
      <c r="FZ292" s="33"/>
      <c r="GA292" s="33"/>
      <c r="GB292" s="33"/>
      <c r="GC292" s="33"/>
      <c r="GD292" s="33"/>
      <c r="GE292" s="33"/>
      <c r="GF292" s="33"/>
      <c r="GG292" s="33"/>
      <c r="GH292" s="33"/>
      <c r="GI292" s="33"/>
      <c r="GJ292" s="33"/>
      <c r="GK292" s="33"/>
      <c r="GL292" s="33"/>
      <c r="GM292" s="33"/>
      <c r="GN292" s="33"/>
      <c r="GO292" s="33"/>
      <c r="GP292" s="33"/>
      <c r="GQ292" s="33"/>
      <c r="GR292" s="33"/>
      <c r="GS292" s="33"/>
      <c r="GT292" s="33"/>
      <c r="GU292" s="33"/>
      <c r="GV292" s="33"/>
      <c r="GW292" s="33"/>
      <c r="GX292" s="33"/>
      <c r="GY292" s="33"/>
      <c r="GZ292" s="33"/>
      <c r="HA292" s="33"/>
      <c r="HB292" s="33"/>
      <c r="HC292" s="33"/>
      <c r="HD292" s="33"/>
      <c r="HE292" s="33"/>
      <c r="HF292" s="33"/>
      <c r="HG292" s="33"/>
      <c r="HH292" s="33"/>
      <c r="HI292" s="33"/>
      <c r="HJ292" s="33"/>
      <c r="HK292" s="33"/>
      <c r="HL292" s="33"/>
    </row>
    <row r="293" spans="1:220" s="36" customFormat="1" ht="16.5" customHeight="1" x14ac:dyDescent="0.15">
      <c r="A293" s="92"/>
      <c r="B293" s="54" t="s">
        <v>457</v>
      </c>
      <c r="C293" s="80"/>
      <c r="D293" s="7" t="s">
        <v>1035</v>
      </c>
      <c r="E293" s="7"/>
      <c r="F293" s="7"/>
      <c r="G293" s="62" t="s">
        <v>1020</v>
      </c>
      <c r="H293" s="13"/>
      <c r="I293" s="13"/>
      <c r="J293" s="29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3"/>
      <c r="CA293" s="33"/>
      <c r="CB293" s="33"/>
      <c r="CC293" s="33"/>
      <c r="CD293" s="33"/>
      <c r="CE293" s="33"/>
      <c r="CF293" s="33"/>
      <c r="CG293" s="33"/>
      <c r="CH293" s="33"/>
      <c r="CI293" s="33"/>
      <c r="CJ293" s="33"/>
      <c r="CK293" s="33"/>
      <c r="CL293" s="33"/>
      <c r="CM293" s="33"/>
      <c r="CN293" s="33"/>
      <c r="CO293" s="33"/>
      <c r="CP293" s="33"/>
      <c r="CQ293" s="33"/>
      <c r="CR293" s="33"/>
      <c r="CS293" s="33"/>
      <c r="CT293" s="33"/>
      <c r="CU293" s="33"/>
      <c r="CV293" s="33"/>
      <c r="CW293" s="33"/>
      <c r="CX293" s="33"/>
      <c r="CY293" s="33"/>
      <c r="CZ293" s="33"/>
      <c r="DA293" s="33"/>
      <c r="DB293" s="33"/>
      <c r="DC293" s="33"/>
      <c r="DD293" s="33"/>
      <c r="DE293" s="33"/>
      <c r="DF293" s="33"/>
      <c r="DG293" s="33"/>
      <c r="DH293" s="33"/>
      <c r="DI293" s="33"/>
      <c r="DJ293" s="33"/>
      <c r="DK293" s="33"/>
      <c r="DL293" s="33"/>
      <c r="DM293" s="33"/>
      <c r="DN293" s="33"/>
      <c r="DO293" s="33"/>
      <c r="DP293" s="33"/>
      <c r="DQ293" s="33"/>
      <c r="DR293" s="33"/>
      <c r="DS293" s="33"/>
      <c r="DT293" s="33"/>
      <c r="DU293" s="33"/>
      <c r="DV293" s="33"/>
      <c r="DW293" s="33"/>
      <c r="DX293" s="33"/>
      <c r="DY293" s="33"/>
      <c r="DZ293" s="33"/>
      <c r="EA293" s="33"/>
      <c r="EB293" s="33"/>
      <c r="EC293" s="33"/>
      <c r="ED293" s="33"/>
      <c r="EE293" s="33"/>
      <c r="EF293" s="33"/>
      <c r="EG293" s="33"/>
      <c r="EH293" s="33"/>
      <c r="EI293" s="33"/>
      <c r="EJ293" s="33"/>
      <c r="EK293" s="33"/>
      <c r="EL293" s="33"/>
      <c r="EM293" s="33"/>
      <c r="EN293" s="33"/>
      <c r="EO293" s="33"/>
      <c r="EP293" s="33"/>
      <c r="EQ293" s="33"/>
      <c r="ER293" s="33"/>
      <c r="ES293" s="33"/>
      <c r="ET293" s="33"/>
      <c r="EU293" s="33"/>
      <c r="EV293" s="33"/>
      <c r="EW293" s="33"/>
      <c r="EX293" s="33"/>
      <c r="EY293" s="33"/>
      <c r="EZ293" s="33"/>
      <c r="FA293" s="33"/>
      <c r="FB293" s="33"/>
      <c r="FC293" s="33"/>
      <c r="FD293" s="33"/>
      <c r="FE293" s="33"/>
      <c r="FF293" s="33"/>
      <c r="FG293" s="33"/>
      <c r="FH293" s="33"/>
      <c r="FI293" s="33"/>
      <c r="FJ293" s="33"/>
      <c r="FK293" s="33"/>
      <c r="FL293" s="33"/>
      <c r="FM293" s="33"/>
      <c r="FN293" s="33"/>
      <c r="FO293" s="33"/>
      <c r="FP293" s="33"/>
      <c r="FQ293" s="33"/>
      <c r="FR293" s="33"/>
      <c r="FS293" s="33"/>
      <c r="FT293" s="33"/>
      <c r="FU293" s="33"/>
      <c r="FV293" s="33"/>
      <c r="FW293" s="33"/>
      <c r="FX293" s="33"/>
      <c r="FY293" s="33"/>
      <c r="FZ293" s="33"/>
      <c r="GA293" s="33"/>
      <c r="GB293" s="33"/>
      <c r="GC293" s="33"/>
      <c r="GD293" s="33"/>
      <c r="GE293" s="33"/>
      <c r="GF293" s="33"/>
      <c r="GG293" s="33"/>
      <c r="GH293" s="33"/>
      <c r="GI293" s="33"/>
      <c r="GJ293" s="33"/>
      <c r="GK293" s="33"/>
      <c r="GL293" s="33"/>
      <c r="GM293" s="33"/>
      <c r="GN293" s="33"/>
      <c r="GO293" s="33"/>
      <c r="GP293" s="33"/>
      <c r="GQ293" s="33"/>
      <c r="GR293" s="33"/>
      <c r="GS293" s="33"/>
      <c r="GT293" s="33"/>
      <c r="GU293" s="33"/>
      <c r="GV293" s="33"/>
      <c r="GW293" s="33"/>
      <c r="GX293" s="33"/>
      <c r="GY293" s="33"/>
      <c r="GZ293" s="33"/>
      <c r="HA293" s="33"/>
      <c r="HB293" s="33"/>
      <c r="HC293" s="33"/>
      <c r="HD293" s="33"/>
      <c r="HE293" s="33"/>
      <c r="HF293" s="33"/>
      <c r="HG293" s="33"/>
      <c r="HH293" s="33"/>
      <c r="HI293" s="33"/>
      <c r="HJ293" s="33"/>
      <c r="HK293" s="33"/>
      <c r="HL293" s="33"/>
    </row>
    <row r="294" spans="1:220" s="36" customFormat="1" ht="16.5" customHeight="1" x14ac:dyDescent="0.15">
      <c r="A294" s="92"/>
      <c r="B294" s="54" t="s">
        <v>458</v>
      </c>
      <c r="C294" s="80"/>
      <c r="D294" s="7" t="s">
        <v>283</v>
      </c>
      <c r="E294" s="7"/>
      <c r="F294" s="7"/>
      <c r="G294" s="62" t="s">
        <v>1020</v>
      </c>
      <c r="H294" s="13"/>
      <c r="I294" s="13"/>
      <c r="J294" s="29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  <c r="BP294" s="33"/>
      <c r="BQ294" s="33"/>
      <c r="BR294" s="33"/>
      <c r="BS294" s="33"/>
      <c r="BT294" s="33"/>
      <c r="BU294" s="33"/>
      <c r="BV294" s="33"/>
      <c r="BW294" s="33"/>
      <c r="BX294" s="33"/>
      <c r="BY294" s="33"/>
      <c r="BZ294" s="33"/>
      <c r="CA294" s="33"/>
      <c r="CB294" s="33"/>
      <c r="CC294" s="33"/>
      <c r="CD294" s="33"/>
      <c r="CE294" s="33"/>
      <c r="CF294" s="33"/>
      <c r="CG294" s="33"/>
      <c r="CH294" s="33"/>
      <c r="CI294" s="33"/>
      <c r="CJ294" s="33"/>
      <c r="CK294" s="33"/>
      <c r="CL294" s="33"/>
      <c r="CM294" s="33"/>
      <c r="CN294" s="33"/>
      <c r="CO294" s="33"/>
      <c r="CP294" s="33"/>
      <c r="CQ294" s="33"/>
      <c r="CR294" s="33"/>
      <c r="CS294" s="33"/>
      <c r="CT294" s="33"/>
      <c r="CU294" s="33"/>
      <c r="CV294" s="33"/>
      <c r="CW294" s="33"/>
      <c r="CX294" s="33"/>
      <c r="CY294" s="33"/>
      <c r="CZ294" s="33"/>
      <c r="DA294" s="33"/>
      <c r="DB294" s="33"/>
      <c r="DC294" s="33"/>
      <c r="DD294" s="33"/>
      <c r="DE294" s="33"/>
      <c r="DF294" s="33"/>
      <c r="DG294" s="33"/>
      <c r="DH294" s="33"/>
      <c r="DI294" s="33"/>
      <c r="DJ294" s="33"/>
      <c r="DK294" s="33"/>
      <c r="DL294" s="33"/>
      <c r="DM294" s="33"/>
      <c r="DN294" s="33"/>
      <c r="DO294" s="33"/>
      <c r="DP294" s="33"/>
      <c r="DQ294" s="33"/>
      <c r="DR294" s="33"/>
      <c r="DS294" s="33"/>
      <c r="DT294" s="33"/>
      <c r="DU294" s="33"/>
      <c r="DV294" s="33"/>
      <c r="DW294" s="33"/>
      <c r="DX294" s="33"/>
      <c r="DY294" s="33"/>
      <c r="DZ294" s="33"/>
      <c r="EA294" s="33"/>
      <c r="EB294" s="33"/>
      <c r="EC294" s="33"/>
      <c r="ED294" s="33"/>
      <c r="EE294" s="33"/>
      <c r="EF294" s="33"/>
      <c r="EG294" s="33"/>
      <c r="EH294" s="33"/>
      <c r="EI294" s="33"/>
      <c r="EJ294" s="33"/>
      <c r="EK294" s="33"/>
      <c r="EL294" s="33"/>
      <c r="EM294" s="33"/>
      <c r="EN294" s="33"/>
      <c r="EO294" s="33"/>
      <c r="EP294" s="33"/>
      <c r="EQ294" s="33"/>
      <c r="ER294" s="33"/>
      <c r="ES294" s="33"/>
      <c r="ET294" s="33"/>
      <c r="EU294" s="33"/>
      <c r="EV294" s="33"/>
      <c r="EW294" s="33"/>
      <c r="EX294" s="33"/>
      <c r="EY294" s="33"/>
      <c r="EZ294" s="33"/>
      <c r="FA294" s="33"/>
      <c r="FB294" s="33"/>
      <c r="FC294" s="33"/>
      <c r="FD294" s="33"/>
      <c r="FE294" s="33"/>
      <c r="FF294" s="33"/>
      <c r="FG294" s="33"/>
      <c r="FH294" s="33"/>
      <c r="FI294" s="33"/>
      <c r="FJ294" s="33"/>
      <c r="FK294" s="33"/>
      <c r="FL294" s="33"/>
      <c r="FM294" s="33"/>
      <c r="FN294" s="33"/>
      <c r="FO294" s="33"/>
      <c r="FP294" s="33"/>
      <c r="FQ294" s="33"/>
      <c r="FR294" s="33"/>
      <c r="FS294" s="33"/>
      <c r="FT294" s="33"/>
      <c r="FU294" s="33"/>
      <c r="FV294" s="33"/>
      <c r="FW294" s="33"/>
      <c r="FX294" s="33"/>
      <c r="FY294" s="33"/>
      <c r="FZ294" s="33"/>
      <c r="GA294" s="33"/>
      <c r="GB294" s="33"/>
      <c r="GC294" s="33"/>
      <c r="GD294" s="33"/>
      <c r="GE294" s="33"/>
      <c r="GF294" s="33"/>
      <c r="GG294" s="33"/>
      <c r="GH294" s="33"/>
      <c r="GI294" s="33"/>
      <c r="GJ294" s="33"/>
      <c r="GK294" s="33"/>
      <c r="GL294" s="33"/>
      <c r="GM294" s="33"/>
      <c r="GN294" s="33"/>
      <c r="GO294" s="33"/>
      <c r="GP294" s="33"/>
      <c r="GQ294" s="33"/>
      <c r="GR294" s="33"/>
      <c r="GS294" s="33"/>
      <c r="GT294" s="33"/>
      <c r="GU294" s="33"/>
      <c r="GV294" s="33"/>
      <c r="GW294" s="33"/>
      <c r="GX294" s="33"/>
      <c r="GY294" s="33"/>
      <c r="GZ294" s="33"/>
      <c r="HA294" s="33"/>
      <c r="HB294" s="33"/>
      <c r="HC294" s="33"/>
      <c r="HD294" s="33"/>
      <c r="HE294" s="33"/>
      <c r="HF294" s="33"/>
      <c r="HG294" s="33"/>
      <c r="HH294" s="33"/>
      <c r="HI294" s="33"/>
      <c r="HJ294" s="33"/>
      <c r="HK294" s="33"/>
      <c r="HL294" s="33"/>
    </row>
    <row r="295" spans="1:220" s="36" customFormat="1" ht="16.5" customHeight="1" x14ac:dyDescent="0.15">
      <c r="A295" s="92"/>
      <c r="B295" s="54" t="s">
        <v>459</v>
      </c>
      <c r="C295" s="91"/>
      <c r="D295" s="7" t="s">
        <v>260</v>
      </c>
      <c r="E295" s="7"/>
      <c r="F295" s="7"/>
      <c r="G295" s="62" t="s">
        <v>1020</v>
      </c>
      <c r="H295" s="13"/>
      <c r="I295" s="13"/>
      <c r="J295" s="29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  <c r="BO295" s="33"/>
      <c r="BP295" s="33"/>
      <c r="BQ295" s="33"/>
      <c r="BR295" s="33"/>
      <c r="BS295" s="33"/>
      <c r="BT295" s="33"/>
      <c r="BU295" s="33"/>
      <c r="BV295" s="33"/>
      <c r="BW295" s="33"/>
      <c r="BX295" s="33"/>
      <c r="BY295" s="33"/>
      <c r="BZ295" s="33"/>
      <c r="CA295" s="33"/>
      <c r="CB295" s="33"/>
      <c r="CC295" s="33"/>
      <c r="CD295" s="33"/>
      <c r="CE295" s="33"/>
      <c r="CF295" s="33"/>
      <c r="CG295" s="33"/>
      <c r="CH295" s="33"/>
      <c r="CI295" s="33"/>
      <c r="CJ295" s="33"/>
      <c r="CK295" s="33"/>
      <c r="CL295" s="33"/>
      <c r="CM295" s="33"/>
      <c r="CN295" s="33"/>
      <c r="CO295" s="33"/>
      <c r="CP295" s="33"/>
      <c r="CQ295" s="33"/>
      <c r="CR295" s="33"/>
      <c r="CS295" s="33"/>
      <c r="CT295" s="33"/>
      <c r="CU295" s="33"/>
      <c r="CV295" s="33"/>
      <c r="CW295" s="33"/>
      <c r="CX295" s="33"/>
      <c r="CY295" s="33"/>
      <c r="CZ295" s="33"/>
      <c r="DA295" s="33"/>
      <c r="DB295" s="33"/>
      <c r="DC295" s="33"/>
      <c r="DD295" s="33"/>
      <c r="DE295" s="33"/>
      <c r="DF295" s="33"/>
      <c r="DG295" s="33"/>
      <c r="DH295" s="33"/>
      <c r="DI295" s="33"/>
      <c r="DJ295" s="33"/>
      <c r="DK295" s="33"/>
      <c r="DL295" s="33"/>
      <c r="DM295" s="33"/>
      <c r="DN295" s="33"/>
      <c r="DO295" s="33"/>
      <c r="DP295" s="33"/>
      <c r="DQ295" s="33"/>
      <c r="DR295" s="33"/>
      <c r="DS295" s="33"/>
      <c r="DT295" s="33"/>
      <c r="DU295" s="33"/>
      <c r="DV295" s="33"/>
      <c r="DW295" s="33"/>
      <c r="DX295" s="33"/>
      <c r="DY295" s="33"/>
      <c r="DZ295" s="33"/>
      <c r="EA295" s="33"/>
      <c r="EB295" s="33"/>
      <c r="EC295" s="33"/>
      <c r="ED295" s="33"/>
      <c r="EE295" s="33"/>
      <c r="EF295" s="33"/>
      <c r="EG295" s="33"/>
      <c r="EH295" s="33"/>
      <c r="EI295" s="33"/>
      <c r="EJ295" s="33"/>
      <c r="EK295" s="33"/>
      <c r="EL295" s="33"/>
      <c r="EM295" s="33"/>
      <c r="EN295" s="33"/>
      <c r="EO295" s="33"/>
      <c r="EP295" s="33"/>
      <c r="EQ295" s="33"/>
      <c r="ER295" s="33"/>
      <c r="ES295" s="33"/>
      <c r="ET295" s="33"/>
      <c r="EU295" s="33"/>
      <c r="EV295" s="33"/>
      <c r="EW295" s="33"/>
      <c r="EX295" s="33"/>
      <c r="EY295" s="33"/>
      <c r="EZ295" s="33"/>
      <c r="FA295" s="33"/>
      <c r="FB295" s="33"/>
      <c r="FC295" s="33"/>
      <c r="FD295" s="33"/>
      <c r="FE295" s="33"/>
      <c r="FF295" s="33"/>
      <c r="FG295" s="33"/>
      <c r="FH295" s="33"/>
      <c r="FI295" s="33"/>
      <c r="FJ295" s="33"/>
      <c r="FK295" s="33"/>
      <c r="FL295" s="33"/>
      <c r="FM295" s="33"/>
      <c r="FN295" s="33"/>
      <c r="FO295" s="33"/>
      <c r="FP295" s="33"/>
      <c r="FQ295" s="33"/>
      <c r="FR295" s="33"/>
      <c r="FS295" s="33"/>
      <c r="FT295" s="33"/>
      <c r="FU295" s="33"/>
      <c r="FV295" s="33"/>
      <c r="FW295" s="33"/>
      <c r="FX295" s="33"/>
      <c r="FY295" s="33"/>
      <c r="FZ295" s="33"/>
      <c r="GA295" s="33"/>
      <c r="GB295" s="33"/>
      <c r="GC295" s="33"/>
      <c r="GD295" s="33"/>
      <c r="GE295" s="33"/>
      <c r="GF295" s="33"/>
      <c r="GG295" s="33"/>
      <c r="GH295" s="33"/>
      <c r="GI295" s="33"/>
      <c r="GJ295" s="33"/>
      <c r="GK295" s="33"/>
      <c r="GL295" s="33"/>
      <c r="GM295" s="33"/>
      <c r="GN295" s="33"/>
      <c r="GO295" s="33"/>
      <c r="GP295" s="33"/>
      <c r="GQ295" s="33"/>
      <c r="GR295" s="33"/>
      <c r="GS295" s="33"/>
      <c r="GT295" s="33"/>
      <c r="GU295" s="33"/>
      <c r="GV295" s="33"/>
      <c r="GW295" s="33"/>
      <c r="GX295" s="33"/>
      <c r="GY295" s="33"/>
      <c r="GZ295" s="33"/>
      <c r="HA295" s="33"/>
      <c r="HB295" s="33"/>
      <c r="HC295" s="33"/>
      <c r="HD295" s="33"/>
      <c r="HE295" s="33"/>
      <c r="HF295" s="33"/>
      <c r="HG295" s="33"/>
      <c r="HH295" s="33"/>
      <c r="HI295" s="33"/>
      <c r="HJ295" s="33"/>
      <c r="HK295" s="33"/>
      <c r="HL295" s="33"/>
    </row>
    <row r="296" spans="1:220" s="36" customFormat="1" ht="16.5" customHeight="1" x14ac:dyDescent="0.15">
      <c r="A296" s="92"/>
      <c r="B296" s="54" t="s">
        <v>460</v>
      </c>
      <c r="C296" s="80" t="s">
        <v>253</v>
      </c>
      <c r="D296" s="7" t="s">
        <v>258</v>
      </c>
      <c r="E296" s="7"/>
      <c r="F296" s="7"/>
      <c r="G296" s="62" t="s">
        <v>1020</v>
      </c>
      <c r="H296" s="13"/>
      <c r="I296" s="13"/>
      <c r="J296" s="29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  <c r="BJ296" s="33"/>
      <c r="BK296" s="33"/>
      <c r="BL296" s="33"/>
      <c r="BM296" s="33"/>
      <c r="BN296" s="33"/>
      <c r="BO296" s="33"/>
      <c r="BP296" s="33"/>
      <c r="BQ296" s="33"/>
      <c r="BR296" s="33"/>
      <c r="BS296" s="33"/>
      <c r="BT296" s="33"/>
      <c r="BU296" s="33"/>
      <c r="BV296" s="33"/>
      <c r="BW296" s="33"/>
      <c r="BX296" s="33"/>
      <c r="BY296" s="33"/>
      <c r="BZ296" s="33"/>
      <c r="CA296" s="33"/>
      <c r="CB296" s="33"/>
      <c r="CC296" s="33"/>
      <c r="CD296" s="33"/>
      <c r="CE296" s="33"/>
      <c r="CF296" s="33"/>
      <c r="CG296" s="33"/>
      <c r="CH296" s="33"/>
      <c r="CI296" s="33"/>
      <c r="CJ296" s="33"/>
      <c r="CK296" s="33"/>
      <c r="CL296" s="33"/>
      <c r="CM296" s="33"/>
      <c r="CN296" s="33"/>
      <c r="CO296" s="33"/>
      <c r="CP296" s="33"/>
      <c r="CQ296" s="33"/>
      <c r="CR296" s="33"/>
      <c r="CS296" s="33"/>
      <c r="CT296" s="33"/>
      <c r="CU296" s="33"/>
      <c r="CV296" s="33"/>
      <c r="CW296" s="33"/>
      <c r="CX296" s="33"/>
      <c r="CY296" s="33"/>
      <c r="CZ296" s="33"/>
      <c r="DA296" s="33"/>
      <c r="DB296" s="33"/>
      <c r="DC296" s="33"/>
      <c r="DD296" s="33"/>
      <c r="DE296" s="33"/>
      <c r="DF296" s="33"/>
      <c r="DG296" s="33"/>
      <c r="DH296" s="33"/>
      <c r="DI296" s="33"/>
      <c r="DJ296" s="33"/>
      <c r="DK296" s="33"/>
      <c r="DL296" s="33"/>
      <c r="DM296" s="33"/>
      <c r="DN296" s="33"/>
      <c r="DO296" s="33"/>
      <c r="DP296" s="33"/>
      <c r="DQ296" s="33"/>
      <c r="DR296" s="33"/>
      <c r="DS296" s="33"/>
      <c r="DT296" s="33"/>
      <c r="DU296" s="33"/>
      <c r="DV296" s="33"/>
      <c r="DW296" s="33"/>
      <c r="DX296" s="33"/>
      <c r="DY296" s="33"/>
      <c r="DZ296" s="33"/>
      <c r="EA296" s="33"/>
      <c r="EB296" s="33"/>
      <c r="EC296" s="33"/>
      <c r="ED296" s="33"/>
      <c r="EE296" s="33"/>
      <c r="EF296" s="33"/>
      <c r="EG296" s="33"/>
      <c r="EH296" s="33"/>
      <c r="EI296" s="33"/>
      <c r="EJ296" s="33"/>
      <c r="EK296" s="33"/>
      <c r="EL296" s="33"/>
      <c r="EM296" s="33"/>
      <c r="EN296" s="33"/>
      <c r="EO296" s="33"/>
      <c r="EP296" s="33"/>
      <c r="EQ296" s="33"/>
      <c r="ER296" s="33"/>
      <c r="ES296" s="33"/>
      <c r="ET296" s="33"/>
      <c r="EU296" s="33"/>
      <c r="EV296" s="33"/>
      <c r="EW296" s="33"/>
      <c r="EX296" s="33"/>
      <c r="EY296" s="33"/>
      <c r="EZ296" s="33"/>
      <c r="FA296" s="33"/>
      <c r="FB296" s="33"/>
      <c r="FC296" s="33"/>
      <c r="FD296" s="33"/>
      <c r="FE296" s="33"/>
      <c r="FF296" s="33"/>
      <c r="FG296" s="33"/>
      <c r="FH296" s="33"/>
      <c r="FI296" s="33"/>
      <c r="FJ296" s="33"/>
      <c r="FK296" s="33"/>
      <c r="FL296" s="33"/>
      <c r="FM296" s="33"/>
      <c r="FN296" s="33"/>
      <c r="FO296" s="33"/>
      <c r="FP296" s="33"/>
      <c r="FQ296" s="33"/>
      <c r="FR296" s="33"/>
      <c r="FS296" s="33"/>
      <c r="FT296" s="33"/>
      <c r="FU296" s="33"/>
      <c r="FV296" s="33"/>
      <c r="FW296" s="33"/>
      <c r="FX296" s="33"/>
      <c r="FY296" s="33"/>
      <c r="FZ296" s="33"/>
      <c r="GA296" s="33"/>
      <c r="GB296" s="33"/>
      <c r="GC296" s="33"/>
      <c r="GD296" s="33"/>
      <c r="GE296" s="33"/>
      <c r="GF296" s="33"/>
      <c r="GG296" s="33"/>
      <c r="GH296" s="33"/>
      <c r="GI296" s="33"/>
      <c r="GJ296" s="33"/>
      <c r="GK296" s="33"/>
      <c r="GL296" s="33"/>
      <c r="GM296" s="33"/>
      <c r="GN296" s="33"/>
      <c r="GO296" s="33"/>
      <c r="GP296" s="33"/>
      <c r="GQ296" s="33"/>
      <c r="GR296" s="33"/>
      <c r="GS296" s="33"/>
      <c r="GT296" s="33"/>
      <c r="GU296" s="33"/>
      <c r="GV296" s="33"/>
      <c r="GW296" s="33"/>
      <c r="GX296" s="33"/>
      <c r="GY296" s="33"/>
      <c r="GZ296" s="33"/>
      <c r="HA296" s="33"/>
      <c r="HB296" s="33"/>
      <c r="HC296" s="33"/>
      <c r="HD296" s="33"/>
      <c r="HE296" s="33"/>
      <c r="HF296" s="33"/>
      <c r="HG296" s="33"/>
      <c r="HH296" s="33"/>
      <c r="HI296" s="33"/>
      <c r="HJ296" s="33"/>
      <c r="HK296" s="33"/>
      <c r="HL296" s="33"/>
    </row>
    <row r="297" spans="1:220" s="36" customFormat="1" ht="16.5" customHeight="1" x14ac:dyDescent="0.15">
      <c r="A297" s="92"/>
      <c r="B297" s="54" t="s">
        <v>461</v>
      </c>
      <c r="C297" s="80"/>
      <c r="D297" s="1" t="s">
        <v>257</v>
      </c>
      <c r="E297" s="7"/>
      <c r="F297" s="7"/>
      <c r="G297" s="62" t="s">
        <v>1020</v>
      </c>
      <c r="H297" s="13"/>
      <c r="I297" s="13"/>
      <c r="J297" s="29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  <c r="BM297" s="33"/>
      <c r="BN297" s="33"/>
      <c r="BO297" s="33"/>
      <c r="BP297" s="33"/>
      <c r="BQ297" s="33"/>
      <c r="BR297" s="33"/>
      <c r="BS297" s="33"/>
      <c r="BT297" s="33"/>
      <c r="BU297" s="33"/>
      <c r="BV297" s="33"/>
      <c r="BW297" s="33"/>
      <c r="BX297" s="33"/>
      <c r="BY297" s="33"/>
      <c r="BZ297" s="33"/>
      <c r="CA297" s="33"/>
      <c r="CB297" s="33"/>
      <c r="CC297" s="33"/>
      <c r="CD297" s="33"/>
      <c r="CE297" s="33"/>
      <c r="CF297" s="33"/>
      <c r="CG297" s="33"/>
      <c r="CH297" s="33"/>
      <c r="CI297" s="33"/>
      <c r="CJ297" s="33"/>
      <c r="CK297" s="33"/>
      <c r="CL297" s="33"/>
      <c r="CM297" s="33"/>
      <c r="CN297" s="33"/>
      <c r="CO297" s="33"/>
      <c r="CP297" s="33"/>
      <c r="CQ297" s="33"/>
      <c r="CR297" s="33"/>
      <c r="CS297" s="33"/>
      <c r="CT297" s="33"/>
      <c r="CU297" s="33"/>
      <c r="CV297" s="33"/>
      <c r="CW297" s="33"/>
      <c r="CX297" s="33"/>
      <c r="CY297" s="33"/>
      <c r="CZ297" s="33"/>
      <c r="DA297" s="33"/>
      <c r="DB297" s="33"/>
      <c r="DC297" s="33"/>
      <c r="DD297" s="33"/>
      <c r="DE297" s="33"/>
      <c r="DF297" s="33"/>
      <c r="DG297" s="33"/>
      <c r="DH297" s="33"/>
      <c r="DI297" s="33"/>
      <c r="DJ297" s="33"/>
      <c r="DK297" s="33"/>
      <c r="DL297" s="33"/>
      <c r="DM297" s="33"/>
      <c r="DN297" s="33"/>
      <c r="DO297" s="33"/>
      <c r="DP297" s="33"/>
      <c r="DQ297" s="33"/>
      <c r="DR297" s="33"/>
      <c r="DS297" s="33"/>
      <c r="DT297" s="33"/>
      <c r="DU297" s="33"/>
      <c r="DV297" s="33"/>
      <c r="DW297" s="33"/>
      <c r="DX297" s="33"/>
      <c r="DY297" s="33"/>
      <c r="DZ297" s="33"/>
      <c r="EA297" s="33"/>
      <c r="EB297" s="33"/>
      <c r="EC297" s="33"/>
      <c r="ED297" s="33"/>
      <c r="EE297" s="33"/>
      <c r="EF297" s="33"/>
      <c r="EG297" s="33"/>
      <c r="EH297" s="33"/>
      <c r="EI297" s="33"/>
      <c r="EJ297" s="33"/>
      <c r="EK297" s="33"/>
      <c r="EL297" s="33"/>
      <c r="EM297" s="33"/>
      <c r="EN297" s="33"/>
      <c r="EO297" s="33"/>
      <c r="EP297" s="33"/>
      <c r="EQ297" s="33"/>
      <c r="ER297" s="33"/>
      <c r="ES297" s="33"/>
      <c r="ET297" s="33"/>
      <c r="EU297" s="33"/>
      <c r="EV297" s="33"/>
      <c r="EW297" s="33"/>
      <c r="EX297" s="33"/>
      <c r="EY297" s="33"/>
      <c r="EZ297" s="33"/>
      <c r="FA297" s="33"/>
      <c r="FB297" s="33"/>
      <c r="FC297" s="33"/>
      <c r="FD297" s="33"/>
      <c r="FE297" s="33"/>
      <c r="FF297" s="33"/>
      <c r="FG297" s="33"/>
      <c r="FH297" s="33"/>
      <c r="FI297" s="33"/>
      <c r="FJ297" s="33"/>
      <c r="FK297" s="33"/>
      <c r="FL297" s="33"/>
      <c r="FM297" s="33"/>
      <c r="FN297" s="33"/>
      <c r="FO297" s="33"/>
      <c r="FP297" s="33"/>
      <c r="FQ297" s="33"/>
      <c r="FR297" s="33"/>
      <c r="FS297" s="33"/>
      <c r="FT297" s="33"/>
      <c r="FU297" s="33"/>
      <c r="FV297" s="33"/>
      <c r="FW297" s="33"/>
      <c r="FX297" s="33"/>
      <c r="FY297" s="33"/>
      <c r="FZ297" s="33"/>
      <c r="GA297" s="33"/>
      <c r="GB297" s="33"/>
      <c r="GC297" s="33"/>
      <c r="GD297" s="33"/>
      <c r="GE297" s="33"/>
      <c r="GF297" s="33"/>
      <c r="GG297" s="33"/>
      <c r="GH297" s="33"/>
      <c r="GI297" s="33"/>
      <c r="GJ297" s="33"/>
      <c r="GK297" s="33"/>
      <c r="GL297" s="33"/>
      <c r="GM297" s="33"/>
      <c r="GN297" s="33"/>
      <c r="GO297" s="33"/>
      <c r="GP297" s="33"/>
      <c r="GQ297" s="33"/>
      <c r="GR297" s="33"/>
      <c r="GS297" s="33"/>
      <c r="GT297" s="33"/>
      <c r="GU297" s="33"/>
      <c r="GV297" s="33"/>
      <c r="GW297" s="33"/>
      <c r="GX297" s="33"/>
      <c r="GY297" s="33"/>
      <c r="GZ297" s="33"/>
      <c r="HA297" s="33"/>
      <c r="HB297" s="33"/>
      <c r="HC297" s="33"/>
      <c r="HD297" s="33"/>
      <c r="HE297" s="33"/>
      <c r="HF297" s="33"/>
      <c r="HG297" s="33"/>
      <c r="HH297" s="33"/>
      <c r="HI297" s="33"/>
      <c r="HJ297" s="33"/>
      <c r="HK297" s="33"/>
      <c r="HL297" s="33"/>
    </row>
    <row r="298" spans="1:220" s="36" customFormat="1" ht="16.5" customHeight="1" x14ac:dyDescent="0.15">
      <c r="A298" s="92"/>
      <c r="B298" s="54" t="s">
        <v>462</v>
      </c>
      <c r="C298" s="80"/>
      <c r="D298" s="1" t="s">
        <v>261</v>
      </c>
      <c r="E298" s="7"/>
      <c r="F298" s="7"/>
      <c r="G298" s="62" t="s">
        <v>1020</v>
      </c>
      <c r="H298" s="13"/>
      <c r="I298" s="13"/>
      <c r="J298" s="29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3"/>
      <c r="BM298" s="33"/>
      <c r="BN298" s="33"/>
      <c r="BO298" s="33"/>
      <c r="BP298" s="33"/>
      <c r="BQ298" s="33"/>
      <c r="BR298" s="33"/>
      <c r="BS298" s="33"/>
      <c r="BT298" s="33"/>
      <c r="BU298" s="33"/>
      <c r="BV298" s="33"/>
      <c r="BW298" s="33"/>
      <c r="BX298" s="33"/>
      <c r="BY298" s="33"/>
      <c r="BZ298" s="33"/>
      <c r="CA298" s="33"/>
      <c r="CB298" s="33"/>
      <c r="CC298" s="33"/>
      <c r="CD298" s="33"/>
      <c r="CE298" s="33"/>
      <c r="CF298" s="33"/>
      <c r="CG298" s="33"/>
      <c r="CH298" s="33"/>
      <c r="CI298" s="33"/>
      <c r="CJ298" s="33"/>
      <c r="CK298" s="33"/>
      <c r="CL298" s="33"/>
      <c r="CM298" s="33"/>
      <c r="CN298" s="33"/>
      <c r="CO298" s="33"/>
      <c r="CP298" s="33"/>
      <c r="CQ298" s="33"/>
      <c r="CR298" s="33"/>
      <c r="CS298" s="33"/>
      <c r="CT298" s="33"/>
      <c r="CU298" s="33"/>
      <c r="CV298" s="33"/>
      <c r="CW298" s="33"/>
      <c r="CX298" s="33"/>
      <c r="CY298" s="33"/>
      <c r="CZ298" s="33"/>
      <c r="DA298" s="33"/>
      <c r="DB298" s="33"/>
      <c r="DC298" s="33"/>
      <c r="DD298" s="33"/>
      <c r="DE298" s="33"/>
      <c r="DF298" s="33"/>
      <c r="DG298" s="33"/>
      <c r="DH298" s="33"/>
      <c r="DI298" s="33"/>
      <c r="DJ298" s="33"/>
      <c r="DK298" s="33"/>
      <c r="DL298" s="33"/>
      <c r="DM298" s="33"/>
      <c r="DN298" s="33"/>
      <c r="DO298" s="33"/>
      <c r="DP298" s="33"/>
      <c r="DQ298" s="33"/>
      <c r="DR298" s="33"/>
      <c r="DS298" s="33"/>
      <c r="DT298" s="33"/>
      <c r="DU298" s="33"/>
      <c r="DV298" s="33"/>
      <c r="DW298" s="33"/>
      <c r="DX298" s="33"/>
      <c r="DY298" s="33"/>
      <c r="DZ298" s="33"/>
      <c r="EA298" s="33"/>
      <c r="EB298" s="33"/>
      <c r="EC298" s="33"/>
      <c r="ED298" s="33"/>
      <c r="EE298" s="33"/>
      <c r="EF298" s="33"/>
      <c r="EG298" s="33"/>
      <c r="EH298" s="33"/>
      <c r="EI298" s="33"/>
      <c r="EJ298" s="33"/>
      <c r="EK298" s="33"/>
      <c r="EL298" s="33"/>
      <c r="EM298" s="33"/>
      <c r="EN298" s="33"/>
      <c r="EO298" s="33"/>
      <c r="EP298" s="33"/>
      <c r="EQ298" s="33"/>
      <c r="ER298" s="33"/>
      <c r="ES298" s="33"/>
      <c r="ET298" s="33"/>
      <c r="EU298" s="33"/>
      <c r="EV298" s="33"/>
      <c r="EW298" s="33"/>
      <c r="EX298" s="33"/>
      <c r="EY298" s="33"/>
      <c r="EZ298" s="33"/>
      <c r="FA298" s="33"/>
      <c r="FB298" s="33"/>
      <c r="FC298" s="33"/>
      <c r="FD298" s="33"/>
      <c r="FE298" s="33"/>
      <c r="FF298" s="33"/>
      <c r="FG298" s="33"/>
      <c r="FH298" s="33"/>
      <c r="FI298" s="33"/>
      <c r="FJ298" s="33"/>
      <c r="FK298" s="33"/>
      <c r="FL298" s="33"/>
      <c r="FM298" s="33"/>
      <c r="FN298" s="33"/>
      <c r="FO298" s="33"/>
      <c r="FP298" s="33"/>
      <c r="FQ298" s="33"/>
      <c r="FR298" s="33"/>
      <c r="FS298" s="33"/>
      <c r="FT298" s="33"/>
      <c r="FU298" s="33"/>
      <c r="FV298" s="33"/>
      <c r="FW298" s="33"/>
      <c r="FX298" s="33"/>
      <c r="FY298" s="33"/>
      <c r="FZ298" s="33"/>
      <c r="GA298" s="33"/>
      <c r="GB298" s="33"/>
      <c r="GC298" s="33"/>
      <c r="GD298" s="33"/>
      <c r="GE298" s="33"/>
      <c r="GF298" s="33"/>
      <c r="GG298" s="33"/>
      <c r="GH298" s="33"/>
      <c r="GI298" s="33"/>
      <c r="GJ298" s="33"/>
      <c r="GK298" s="33"/>
      <c r="GL298" s="33"/>
      <c r="GM298" s="33"/>
      <c r="GN298" s="33"/>
      <c r="GO298" s="33"/>
      <c r="GP298" s="33"/>
      <c r="GQ298" s="33"/>
      <c r="GR298" s="33"/>
      <c r="GS298" s="33"/>
      <c r="GT298" s="33"/>
      <c r="GU298" s="33"/>
      <c r="GV298" s="33"/>
      <c r="GW298" s="33"/>
      <c r="GX298" s="33"/>
      <c r="GY298" s="33"/>
      <c r="GZ298" s="33"/>
      <c r="HA298" s="33"/>
      <c r="HB298" s="33"/>
      <c r="HC298" s="33"/>
      <c r="HD298" s="33"/>
      <c r="HE298" s="33"/>
      <c r="HF298" s="33"/>
      <c r="HG298" s="33"/>
      <c r="HH298" s="33"/>
      <c r="HI298" s="33"/>
      <c r="HJ298" s="33"/>
      <c r="HK298" s="33"/>
      <c r="HL298" s="33"/>
    </row>
    <row r="299" spans="1:220" s="36" customFormat="1" ht="16.5" customHeight="1" x14ac:dyDescent="0.15">
      <c r="A299" s="92"/>
      <c r="B299" s="54" t="s">
        <v>463</v>
      </c>
      <c r="C299" s="80"/>
      <c r="D299" s="1" t="s">
        <v>263</v>
      </c>
      <c r="E299" s="7"/>
      <c r="F299" s="7"/>
      <c r="G299" s="62" t="s">
        <v>1020</v>
      </c>
      <c r="H299" s="13"/>
      <c r="I299" s="13"/>
      <c r="J299" s="29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  <c r="BM299" s="33"/>
      <c r="BN299" s="33"/>
      <c r="BO299" s="33"/>
      <c r="BP299" s="33"/>
      <c r="BQ299" s="33"/>
      <c r="BR299" s="33"/>
      <c r="BS299" s="33"/>
      <c r="BT299" s="33"/>
      <c r="BU299" s="33"/>
      <c r="BV299" s="33"/>
      <c r="BW299" s="33"/>
      <c r="BX299" s="33"/>
      <c r="BY299" s="33"/>
      <c r="BZ299" s="33"/>
      <c r="CA299" s="33"/>
      <c r="CB299" s="33"/>
      <c r="CC299" s="33"/>
      <c r="CD299" s="33"/>
      <c r="CE299" s="33"/>
      <c r="CF299" s="33"/>
      <c r="CG299" s="33"/>
      <c r="CH299" s="33"/>
      <c r="CI299" s="33"/>
      <c r="CJ299" s="33"/>
      <c r="CK299" s="33"/>
      <c r="CL299" s="33"/>
      <c r="CM299" s="33"/>
      <c r="CN299" s="33"/>
      <c r="CO299" s="33"/>
      <c r="CP299" s="33"/>
      <c r="CQ299" s="33"/>
      <c r="CR299" s="33"/>
      <c r="CS299" s="33"/>
      <c r="CT299" s="33"/>
      <c r="CU299" s="33"/>
      <c r="CV299" s="33"/>
      <c r="CW299" s="33"/>
      <c r="CX299" s="33"/>
      <c r="CY299" s="33"/>
      <c r="CZ299" s="33"/>
      <c r="DA299" s="33"/>
      <c r="DB299" s="33"/>
      <c r="DC299" s="33"/>
      <c r="DD299" s="33"/>
      <c r="DE299" s="33"/>
      <c r="DF299" s="33"/>
      <c r="DG299" s="33"/>
      <c r="DH299" s="33"/>
      <c r="DI299" s="33"/>
      <c r="DJ299" s="33"/>
      <c r="DK299" s="33"/>
      <c r="DL299" s="33"/>
      <c r="DM299" s="33"/>
      <c r="DN299" s="33"/>
      <c r="DO299" s="33"/>
      <c r="DP299" s="33"/>
      <c r="DQ299" s="33"/>
      <c r="DR299" s="33"/>
      <c r="DS299" s="33"/>
      <c r="DT299" s="33"/>
      <c r="DU299" s="33"/>
      <c r="DV299" s="33"/>
      <c r="DW299" s="33"/>
      <c r="DX299" s="33"/>
      <c r="DY299" s="33"/>
      <c r="DZ299" s="33"/>
      <c r="EA299" s="33"/>
      <c r="EB299" s="33"/>
      <c r="EC299" s="33"/>
      <c r="ED299" s="33"/>
      <c r="EE299" s="33"/>
      <c r="EF299" s="33"/>
      <c r="EG299" s="33"/>
      <c r="EH299" s="33"/>
      <c r="EI299" s="33"/>
      <c r="EJ299" s="33"/>
      <c r="EK299" s="33"/>
      <c r="EL299" s="33"/>
      <c r="EM299" s="33"/>
      <c r="EN299" s="33"/>
      <c r="EO299" s="33"/>
      <c r="EP299" s="33"/>
      <c r="EQ299" s="33"/>
      <c r="ER299" s="33"/>
      <c r="ES299" s="33"/>
      <c r="ET299" s="33"/>
      <c r="EU299" s="33"/>
      <c r="EV299" s="33"/>
      <c r="EW299" s="33"/>
      <c r="EX299" s="33"/>
      <c r="EY299" s="33"/>
      <c r="EZ299" s="33"/>
      <c r="FA299" s="33"/>
      <c r="FB299" s="33"/>
      <c r="FC299" s="33"/>
      <c r="FD299" s="33"/>
      <c r="FE299" s="33"/>
      <c r="FF299" s="33"/>
      <c r="FG299" s="33"/>
      <c r="FH299" s="33"/>
      <c r="FI299" s="33"/>
      <c r="FJ299" s="33"/>
      <c r="FK299" s="33"/>
      <c r="FL299" s="33"/>
      <c r="FM299" s="33"/>
      <c r="FN299" s="33"/>
      <c r="FO299" s="33"/>
      <c r="FP299" s="33"/>
      <c r="FQ299" s="33"/>
      <c r="FR299" s="33"/>
      <c r="FS299" s="33"/>
      <c r="FT299" s="33"/>
      <c r="FU299" s="33"/>
      <c r="FV299" s="33"/>
      <c r="FW299" s="33"/>
      <c r="FX299" s="33"/>
      <c r="FY299" s="33"/>
      <c r="FZ299" s="33"/>
      <c r="GA299" s="33"/>
      <c r="GB299" s="33"/>
      <c r="GC299" s="33"/>
      <c r="GD299" s="33"/>
      <c r="GE299" s="33"/>
      <c r="GF299" s="33"/>
      <c r="GG299" s="33"/>
      <c r="GH299" s="33"/>
      <c r="GI299" s="33"/>
      <c r="GJ299" s="33"/>
      <c r="GK299" s="33"/>
      <c r="GL299" s="33"/>
      <c r="GM299" s="33"/>
      <c r="GN299" s="33"/>
      <c r="GO299" s="33"/>
      <c r="GP299" s="33"/>
      <c r="GQ299" s="33"/>
      <c r="GR299" s="33"/>
      <c r="GS299" s="33"/>
      <c r="GT299" s="33"/>
      <c r="GU299" s="33"/>
      <c r="GV299" s="33"/>
      <c r="GW299" s="33"/>
      <c r="GX299" s="33"/>
      <c r="GY299" s="33"/>
      <c r="GZ299" s="33"/>
      <c r="HA299" s="33"/>
      <c r="HB299" s="33"/>
      <c r="HC299" s="33"/>
      <c r="HD299" s="33"/>
      <c r="HE299" s="33"/>
      <c r="HF299" s="33"/>
      <c r="HG299" s="33"/>
      <c r="HH299" s="33"/>
      <c r="HI299" s="33"/>
      <c r="HJ299" s="33"/>
      <c r="HK299" s="33"/>
      <c r="HL299" s="33"/>
    </row>
    <row r="300" spans="1:220" s="36" customFormat="1" ht="16.5" customHeight="1" x14ac:dyDescent="0.15">
      <c r="A300" s="92"/>
      <c r="B300" s="54" t="s">
        <v>548</v>
      </c>
      <c r="C300" s="80"/>
      <c r="D300" s="7" t="s">
        <v>262</v>
      </c>
      <c r="E300" s="7"/>
      <c r="F300" s="7"/>
      <c r="G300" s="62" t="s">
        <v>1020</v>
      </c>
      <c r="H300" s="13"/>
      <c r="I300" s="13"/>
      <c r="J300" s="29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  <c r="BM300" s="33"/>
      <c r="BN300" s="33"/>
      <c r="BO300" s="33"/>
      <c r="BP300" s="33"/>
      <c r="BQ300" s="33"/>
      <c r="BR300" s="33"/>
      <c r="BS300" s="33"/>
      <c r="BT300" s="33"/>
      <c r="BU300" s="33"/>
      <c r="BV300" s="33"/>
      <c r="BW300" s="33"/>
      <c r="BX300" s="33"/>
      <c r="BY300" s="33"/>
      <c r="BZ300" s="33"/>
      <c r="CA300" s="33"/>
      <c r="CB300" s="33"/>
      <c r="CC300" s="33"/>
      <c r="CD300" s="33"/>
      <c r="CE300" s="33"/>
      <c r="CF300" s="33"/>
      <c r="CG300" s="33"/>
      <c r="CH300" s="33"/>
      <c r="CI300" s="33"/>
      <c r="CJ300" s="33"/>
      <c r="CK300" s="33"/>
      <c r="CL300" s="33"/>
      <c r="CM300" s="33"/>
      <c r="CN300" s="33"/>
      <c r="CO300" s="33"/>
      <c r="CP300" s="33"/>
      <c r="CQ300" s="33"/>
      <c r="CR300" s="33"/>
      <c r="CS300" s="33"/>
      <c r="CT300" s="33"/>
      <c r="CU300" s="33"/>
      <c r="CV300" s="33"/>
      <c r="CW300" s="33"/>
      <c r="CX300" s="33"/>
      <c r="CY300" s="33"/>
      <c r="CZ300" s="33"/>
      <c r="DA300" s="33"/>
      <c r="DB300" s="33"/>
      <c r="DC300" s="33"/>
      <c r="DD300" s="33"/>
      <c r="DE300" s="33"/>
      <c r="DF300" s="33"/>
      <c r="DG300" s="33"/>
      <c r="DH300" s="33"/>
      <c r="DI300" s="33"/>
      <c r="DJ300" s="33"/>
      <c r="DK300" s="33"/>
      <c r="DL300" s="33"/>
      <c r="DM300" s="33"/>
      <c r="DN300" s="33"/>
      <c r="DO300" s="33"/>
      <c r="DP300" s="33"/>
      <c r="DQ300" s="33"/>
      <c r="DR300" s="33"/>
      <c r="DS300" s="33"/>
      <c r="DT300" s="33"/>
      <c r="DU300" s="33"/>
      <c r="DV300" s="33"/>
      <c r="DW300" s="33"/>
      <c r="DX300" s="33"/>
      <c r="DY300" s="33"/>
      <c r="DZ300" s="33"/>
      <c r="EA300" s="33"/>
      <c r="EB300" s="33"/>
      <c r="EC300" s="33"/>
      <c r="ED300" s="33"/>
      <c r="EE300" s="33"/>
      <c r="EF300" s="33"/>
      <c r="EG300" s="33"/>
      <c r="EH300" s="33"/>
      <c r="EI300" s="33"/>
      <c r="EJ300" s="33"/>
      <c r="EK300" s="33"/>
      <c r="EL300" s="33"/>
      <c r="EM300" s="33"/>
      <c r="EN300" s="33"/>
      <c r="EO300" s="33"/>
      <c r="EP300" s="33"/>
      <c r="EQ300" s="33"/>
      <c r="ER300" s="33"/>
      <c r="ES300" s="33"/>
      <c r="ET300" s="33"/>
      <c r="EU300" s="33"/>
      <c r="EV300" s="33"/>
      <c r="EW300" s="33"/>
      <c r="EX300" s="33"/>
      <c r="EY300" s="33"/>
      <c r="EZ300" s="33"/>
      <c r="FA300" s="33"/>
      <c r="FB300" s="33"/>
      <c r="FC300" s="33"/>
      <c r="FD300" s="33"/>
      <c r="FE300" s="33"/>
      <c r="FF300" s="33"/>
      <c r="FG300" s="33"/>
      <c r="FH300" s="33"/>
      <c r="FI300" s="33"/>
      <c r="FJ300" s="33"/>
      <c r="FK300" s="33"/>
      <c r="FL300" s="33"/>
      <c r="FM300" s="33"/>
      <c r="FN300" s="33"/>
      <c r="FO300" s="33"/>
      <c r="FP300" s="33"/>
      <c r="FQ300" s="33"/>
      <c r="FR300" s="33"/>
      <c r="FS300" s="33"/>
      <c r="FT300" s="33"/>
      <c r="FU300" s="33"/>
      <c r="FV300" s="33"/>
      <c r="FW300" s="33"/>
      <c r="FX300" s="33"/>
      <c r="FY300" s="33"/>
      <c r="FZ300" s="33"/>
      <c r="GA300" s="33"/>
      <c r="GB300" s="33"/>
      <c r="GC300" s="33"/>
      <c r="GD300" s="33"/>
      <c r="GE300" s="33"/>
      <c r="GF300" s="33"/>
      <c r="GG300" s="33"/>
      <c r="GH300" s="33"/>
      <c r="GI300" s="33"/>
      <c r="GJ300" s="33"/>
      <c r="GK300" s="33"/>
      <c r="GL300" s="33"/>
      <c r="GM300" s="33"/>
      <c r="GN300" s="33"/>
      <c r="GO300" s="33"/>
      <c r="GP300" s="33"/>
      <c r="GQ300" s="33"/>
      <c r="GR300" s="33"/>
      <c r="GS300" s="33"/>
      <c r="GT300" s="33"/>
      <c r="GU300" s="33"/>
      <c r="GV300" s="33"/>
      <c r="GW300" s="33"/>
      <c r="GX300" s="33"/>
      <c r="GY300" s="33"/>
      <c r="GZ300" s="33"/>
      <c r="HA300" s="33"/>
      <c r="HB300" s="33"/>
      <c r="HC300" s="33"/>
      <c r="HD300" s="33"/>
      <c r="HE300" s="33"/>
      <c r="HF300" s="33"/>
      <c r="HG300" s="33"/>
      <c r="HH300" s="33"/>
      <c r="HI300" s="33"/>
      <c r="HJ300" s="33"/>
      <c r="HK300" s="33"/>
      <c r="HL300" s="33"/>
    </row>
    <row r="301" spans="1:220" s="36" customFormat="1" ht="16.5" customHeight="1" x14ac:dyDescent="0.15">
      <c r="A301" s="92"/>
      <c r="B301" s="54" t="s">
        <v>464</v>
      </c>
      <c r="C301" s="80"/>
      <c r="D301" s="7" t="s">
        <v>264</v>
      </c>
      <c r="E301" s="7"/>
      <c r="F301" s="7"/>
      <c r="G301" s="62" t="s">
        <v>1020</v>
      </c>
      <c r="H301" s="13"/>
      <c r="I301" s="13"/>
      <c r="J301" s="29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  <c r="BO301" s="33"/>
      <c r="BP301" s="33"/>
      <c r="BQ301" s="33"/>
      <c r="BR301" s="33"/>
      <c r="BS301" s="33"/>
      <c r="BT301" s="33"/>
      <c r="BU301" s="33"/>
      <c r="BV301" s="33"/>
      <c r="BW301" s="33"/>
      <c r="BX301" s="33"/>
      <c r="BY301" s="33"/>
      <c r="BZ301" s="33"/>
      <c r="CA301" s="33"/>
      <c r="CB301" s="33"/>
      <c r="CC301" s="33"/>
      <c r="CD301" s="33"/>
      <c r="CE301" s="33"/>
      <c r="CF301" s="33"/>
      <c r="CG301" s="33"/>
      <c r="CH301" s="33"/>
      <c r="CI301" s="33"/>
      <c r="CJ301" s="33"/>
      <c r="CK301" s="33"/>
      <c r="CL301" s="33"/>
      <c r="CM301" s="33"/>
      <c r="CN301" s="33"/>
      <c r="CO301" s="33"/>
      <c r="CP301" s="33"/>
      <c r="CQ301" s="33"/>
      <c r="CR301" s="33"/>
      <c r="CS301" s="33"/>
      <c r="CT301" s="33"/>
      <c r="CU301" s="33"/>
      <c r="CV301" s="33"/>
      <c r="CW301" s="33"/>
      <c r="CX301" s="33"/>
      <c r="CY301" s="33"/>
      <c r="CZ301" s="33"/>
      <c r="DA301" s="33"/>
      <c r="DB301" s="33"/>
      <c r="DC301" s="33"/>
      <c r="DD301" s="33"/>
      <c r="DE301" s="33"/>
      <c r="DF301" s="33"/>
      <c r="DG301" s="33"/>
      <c r="DH301" s="33"/>
      <c r="DI301" s="33"/>
      <c r="DJ301" s="33"/>
      <c r="DK301" s="33"/>
      <c r="DL301" s="33"/>
      <c r="DM301" s="33"/>
      <c r="DN301" s="33"/>
      <c r="DO301" s="33"/>
      <c r="DP301" s="33"/>
      <c r="DQ301" s="33"/>
      <c r="DR301" s="33"/>
      <c r="DS301" s="33"/>
      <c r="DT301" s="33"/>
      <c r="DU301" s="33"/>
      <c r="DV301" s="33"/>
      <c r="DW301" s="33"/>
      <c r="DX301" s="33"/>
      <c r="DY301" s="33"/>
      <c r="DZ301" s="33"/>
      <c r="EA301" s="33"/>
      <c r="EB301" s="33"/>
      <c r="EC301" s="33"/>
      <c r="ED301" s="33"/>
      <c r="EE301" s="33"/>
      <c r="EF301" s="33"/>
      <c r="EG301" s="33"/>
      <c r="EH301" s="33"/>
      <c r="EI301" s="33"/>
      <c r="EJ301" s="33"/>
      <c r="EK301" s="33"/>
      <c r="EL301" s="33"/>
      <c r="EM301" s="33"/>
      <c r="EN301" s="33"/>
      <c r="EO301" s="33"/>
      <c r="EP301" s="33"/>
      <c r="EQ301" s="33"/>
      <c r="ER301" s="33"/>
      <c r="ES301" s="33"/>
      <c r="ET301" s="33"/>
      <c r="EU301" s="33"/>
      <c r="EV301" s="33"/>
      <c r="EW301" s="33"/>
      <c r="EX301" s="33"/>
      <c r="EY301" s="33"/>
      <c r="EZ301" s="33"/>
      <c r="FA301" s="33"/>
      <c r="FB301" s="33"/>
      <c r="FC301" s="33"/>
      <c r="FD301" s="33"/>
      <c r="FE301" s="33"/>
      <c r="FF301" s="33"/>
      <c r="FG301" s="33"/>
      <c r="FH301" s="33"/>
      <c r="FI301" s="33"/>
      <c r="FJ301" s="33"/>
      <c r="FK301" s="33"/>
      <c r="FL301" s="33"/>
      <c r="FM301" s="33"/>
      <c r="FN301" s="33"/>
      <c r="FO301" s="33"/>
      <c r="FP301" s="33"/>
      <c r="FQ301" s="33"/>
      <c r="FR301" s="33"/>
      <c r="FS301" s="33"/>
      <c r="FT301" s="33"/>
      <c r="FU301" s="33"/>
      <c r="FV301" s="33"/>
      <c r="FW301" s="33"/>
      <c r="FX301" s="33"/>
      <c r="FY301" s="33"/>
      <c r="FZ301" s="33"/>
      <c r="GA301" s="33"/>
      <c r="GB301" s="33"/>
      <c r="GC301" s="33"/>
      <c r="GD301" s="33"/>
      <c r="GE301" s="33"/>
      <c r="GF301" s="33"/>
      <c r="GG301" s="33"/>
      <c r="GH301" s="33"/>
      <c r="GI301" s="33"/>
      <c r="GJ301" s="33"/>
      <c r="GK301" s="33"/>
      <c r="GL301" s="33"/>
      <c r="GM301" s="33"/>
      <c r="GN301" s="33"/>
      <c r="GO301" s="33"/>
      <c r="GP301" s="33"/>
      <c r="GQ301" s="33"/>
      <c r="GR301" s="33"/>
      <c r="GS301" s="33"/>
      <c r="GT301" s="33"/>
      <c r="GU301" s="33"/>
      <c r="GV301" s="33"/>
      <c r="GW301" s="33"/>
      <c r="GX301" s="33"/>
      <c r="GY301" s="33"/>
      <c r="GZ301" s="33"/>
      <c r="HA301" s="33"/>
      <c r="HB301" s="33"/>
      <c r="HC301" s="33"/>
      <c r="HD301" s="33"/>
      <c r="HE301" s="33"/>
      <c r="HF301" s="33"/>
      <c r="HG301" s="33"/>
      <c r="HH301" s="33"/>
      <c r="HI301" s="33"/>
      <c r="HJ301" s="33"/>
      <c r="HK301" s="33"/>
      <c r="HL301" s="33"/>
    </row>
    <row r="302" spans="1:220" s="36" customFormat="1" ht="16.5" customHeight="1" x14ac:dyDescent="0.15">
      <c r="A302" s="92"/>
      <c r="B302" s="54" t="s">
        <v>465</v>
      </c>
      <c r="C302" s="80"/>
      <c r="D302" s="7" t="s">
        <v>260</v>
      </c>
      <c r="E302" s="7"/>
      <c r="F302" s="7"/>
      <c r="G302" s="62" t="s">
        <v>1020</v>
      </c>
      <c r="H302" s="13"/>
      <c r="I302" s="13"/>
      <c r="J302" s="7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  <c r="BJ302" s="33"/>
      <c r="BK302" s="33"/>
      <c r="BL302" s="33"/>
      <c r="BM302" s="33"/>
      <c r="BN302" s="33"/>
      <c r="BO302" s="33"/>
      <c r="BP302" s="33"/>
      <c r="BQ302" s="33"/>
      <c r="BR302" s="33"/>
      <c r="BS302" s="33"/>
      <c r="BT302" s="33"/>
      <c r="BU302" s="33"/>
      <c r="BV302" s="33"/>
      <c r="BW302" s="33"/>
      <c r="BX302" s="33"/>
      <c r="BY302" s="33"/>
      <c r="BZ302" s="33"/>
      <c r="CA302" s="33"/>
      <c r="CB302" s="33"/>
      <c r="CC302" s="33"/>
      <c r="CD302" s="33"/>
      <c r="CE302" s="33"/>
      <c r="CF302" s="33"/>
      <c r="CG302" s="33"/>
      <c r="CH302" s="33"/>
      <c r="CI302" s="33"/>
      <c r="CJ302" s="33"/>
      <c r="CK302" s="33"/>
      <c r="CL302" s="33"/>
      <c r="CM302" s="33"/>
      <c r="CN302" s="33"/>
      <c r="CO302" s="33"/>
      <c r="CP302" s="33"/>
      <c r="CQ302" s="33"/>
      <c r="CR302" s="33"/>
      <c r="CS302" s="33"/>
      <c r="CT302" s="33"/>
      <c r="CU302" s="33"/>
      <c r="CV302" s="33"/>
      <c r="CW302" s="33"/>
      <c r="CX302" s="33"/>
      <c r="CY302" s="33"/>
      <c r="CZ302" s="33"/>
      <c r="DA302" s="33"/>
      <c r="DB302" s="33"/>
      <c r="DC302" s="33"/>
      <c r="DD302" s="33"/>
      <c r="DE302" s="33"/>
      <c r="DF302" s="33"/>
      <c r="DG302" s="33"/>
      <c r="DH302" s="33"/>
      <c r="DI302" s="33"/>
      <c r="DJ302" s="33"/>
      <c r="DK302" s="33"/>
      <c r="DL302" s="33"/>
      <c r="DM302" s="33"/>
      <c r="DN302" s="33"/>
      <c r="DO302" s="33"/>
      <c r="DP302" s="33"/>
      <c r="DQ302" s="33"/>
      <c r="DR302" s="33"/>
      <c r="DS302" s="33"/>
      <c r="DT302" s="33"/>
      <c r="DU302" s="33"/>
      <c r="DV302" s="33"/>
      <c r="DW302" s="33"/>
      <c r="DX302" s="33"/>
      <c r="DY302" s="33"/>
      <c r="DZ302" s="33"/>
      <c r="EA302" s="33"/>
      <c r="EB302" s="33"/>
      <c r="EC302" s="33"/>
      <c r="ED302" s="33"/>
      <c r="EE302" s="33"/>
      <c r="EF302" s="33"/>
      <c r="EG302" s="33"/>
      <c r="EH302" s="33"/>
      <c r="EI302" s="33"/>
      <c r="EJ302" s="33"/>
      <c r="EK302" s="33"/>
      <c r="EL302" s="33"/>
      <c r="EM302" s="33"/>
      <c r="EN302" s="33"/>
      <c r="EO302" s="33"/>
      <c r="EP302" s="33"/>
      <c r="EQ302" s="33"/>
      <c r="ER302" s="33"/>
      <c r="ES302" s="33"/>
      <c r="ET302" s="33"/>
      <c r="EU302" s="33"/>
      <c r="EV302" s="33"/>
      <c r="EW302" s="33"/>
      <c r="EX302" s="33"/>
      <c r="EY302" s="33"/>
      <c r="EZ302" s="33"/>
      <c r="FA302" s="33"/>
      <c r="FB302" s="33"/>
      <c r="FC302" s="33"/>
      <c r="FD302" s="33"/>
      <c r="FE302" s="33"/>
      <c r="FF302" s="33"/>
      <c r="FG302" s="33"/>
      <c r="FH302" s="33"/>
      <c r="FI302" s="33"/>
      <c r="FJ302" s="33"/>
      <c r="FK302" s="33"/>
      <c r="FL302" s="33"/>
      <c r="FM302" s="33"/>
      <c r="FN302" s="33"/>
      <c r="FO302" s="33"/>
      <c r="FP302" s="33"/>
      <c r="FQ302" s="33"/>
      <c r="FR302" s="33"/>
      <c r="FS302" s="33"/>
      <c r="FT302" s="33"/>
      <c r="FU302" s="33"/>
      <c r="FV302" s="33"/>
      <c r="FW302" s="33"/>
      <c r="FX302" s="33"/>
      <c r="FY302" s="33"/>
      <c r="FZ302" s="33"/>
      <c r="GA302" s="33"/>
      <c r="GB302" s="33"/>
      <c r="GC302" s="33"/>
      <c r="GD302" s="33"/>
      <c r="GE302" s="33"/>
      <c r="GF302" s="33"/>
      <c r="GG302" s="33"/>
      <c r="GH302" s="33"/>
      <c r="GI302" s="33"/>
      <c r="GJ302" s="33"/>
      <c r="GK302" s="33"/>
      <c r="GL302" s="33"/>
      <c r="GM302" s="33"/>
      <c r="GN302" s="33"/>
      <c r="GO302" s="33"/>
      <c r="GP302" s="33"/>
      <c r="GQ302" s="33"/>
      <c r="GR302" s="33"/>
      <c r="GS302" s="33"/>
      <c r="GT302" s="33"/>
      <c r="GU302" s="33"/>
      <c r="GV302" s="33"/>
      <c r="GW302" s="33"/>
      <c r="GX302" s="33"/>
      <c r="GY302" s="33"/>
      <c r="GZ302" s="33"/>
      <c r="HA302" s="33"/>
      <c r="HB302" s="33"/>
      <c r="HC302" s="33"/>
      <c r="HD302" s="33"/>
      <c r="HE302" s="33"/>
      <c r="HF302" s="33"/>
      <c r="HG302" s="33"/>
      <c r="HH302" s="33"/>
      <c r="HI302" s="33"/>
      <c r="HJ302" s="33"/>
      <c r="HK302" s="33"/>
      <c r="HL302" s="33"/>
    </row>
    <row r="303" spans="1:220" s="20" customFormat="1" ht="16.5" customHeight="1" x14ac:dyDescent="0.15">
      <c r="A303" s="92"/>
      <c r="B303" s="54" t="s">
        <v>466</v>
      </c>
      <c r="C303" s="80" t="s">
        <v>254</v>
      </c>
      <c r="D303" s="7" t="s">
        <v>258</v>
      </c>
      <c r="E303" s="7"/>
      <c r="F303" s="7"/>
      <c r="G303" s="62" t="s">
        <v>1020</v>
      </c>
      <c r="H303" s="13"/>
      <c r="I303" s="13"/>
      <c r="J303" s="29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6"/>
      <c r="DJ303" s="16"/>
      <c r="DK303" s="16"/>
      <c r="DL303" s="16"/>
      <c r="DM303" s="16"/>
      <c r="DN303" s="16"/>
      <c r="DO303" s="16"/>
      <c r="DP303" s="16"/>
      <c r="DQ303" s="16"/>
      <c r="DR303" s="16"/>
      <c r="DS303" s="16"/>
      <c r="DT303" s="16"/>
      <c r="DU303" s="16"/>
      <c r="DV303" s="16"/>
      <c r="DW303" s="16"/>
      <c r="DX303" s="16"/>
      <c r="DY303" s="16"/>
      <c r="DZ303" s="16"/>
      <c r="EA303" s="16"/>
      <c r="EB303" s="16"/>
      <c r="EC303" s="16"/>
      <c r="ED303" s="16"/>
      <c r="EE303" s="16"/>
      <c r="EF303" s="16"/>
      <c r="EG303" s="16"/>
      <c r="EH303" s="16"/>
      <c r="EI303" s="16"/>
      <c r="EJ303" s="16"/>
      <c r="EK303" s="16"/>
      <c r="EL303" s="16"/>
      <c r="EM303" s="16"/>
      <c r="EN303" s="16"/>
      <c r="EO303" s="16"/>
      <c r="EP303" s="16"/>
      <c r="EQ303" s="16"/>
      <c r="ER303" s="16"/>
      <c r="ES303" s="16"/>
      <c r="ET303" s="16"/>
      <c r="EU303" s="16"/>
      <c r="EV303" s="16"/>
      <c r="EW303" s="16"/>
      <c r="EX303" s="16"/>
      <c r="EY303" s="16"/>
      <c r="EZ303" s="16"/>
      <c r="FA303" s="16"/>
      <c r="FB303" s="16"/>
      <c r="FC303" s="16"/>
      <c r="FD303" s="16"/>
      <c r="FE303" s="16"/>
      <c r="FF303" s="16"/>
      <c r="FG303" s="16"/>
      <c r="FH303" s="16"/>
      <c r="FI303" s="16"/>
      <c r="FJ303" s="16"/>
      <c r="FK303" s="16"/>
      <c r="FL303" s="16"/>
      <c r="FM303" s="16"/>
      <c r="FN303" s="16"/>
      <c r="FO303" s="16"/>
      <c r="FP303" s="16"/>
      <c r="FQ303" s="16"/>
      <c r="FR303" s="16"/>
      <c r="FS303" s="16"/>
      <c r="FT303" s="16"/>
      <c r="FU303" s="16"/>
      <c r="FV303" s="16"/>
      <c r="FW303" s="16"/>
      <c r="FX303" s="16"/>
      <c r="FY303" s="16"/>
      <c r="FZ303" s="16"/>
      <c r="GA303" s="16"/>
      <c r="GB303" s="16"/>
      <c r="GC303" s="16"/>
      <c r="GD303" s="16"/>
      <c r="GE303" s="16"/>
      <c r="GF303" s="16"/>
      <c r="GG303" s="16"/>
      <c r="GH303" s="16"/>
      <c r="GI303" s="16"/>
      <c r="GJ303" s="16"/>
      <c r="GK303" s="16"/>
      <c r="GL303" s="16"/>
      <c r="GM303" s="16"/>
      <c r="GN303" s="16"/>
      <c r="GO303" s="16"/>
      <c r="GP303" s="16"/>
      <c r="GQ303" s="16"/>
      <c r="GR303" s="16"/>
      <c r="GS303" s="16"/>
      <c r="GT303" s="16"/>
      <c r="GU303" s="16"/>
      <c r="GV303" s="16"/>
      <c r="GW303" s="16"/>
      <c r="GX303" s="16"/>
      <c r="GY303" s="16"/>
      <c r="GZ303" s="16"/>
      <c r="HA303" s="16"/>
      <c r="HB303" s="16"/>
      <c r="HC303" s="16"/>
      <c r="HD303" s="16"/>
      <c r="HE303" s="16"/>
      <c r="HF303" s="16"/>
      <c r="HG303" s="16"/>
      <c r="HH303" s="16"/>
      <c r="HI303" s="16"/>
      <c r="HJ303" s="16"/>
      <c r="HK303" s="16"/>
      <c r="HL303" s="16"/>
    </row>
    <row r="304" spans="1:220" s="20" customFormat="1" ht="16.5" customHeight="1" x14ac:dyDescent="0.15">
      <c r="A304" s="92"/>
      <c r="B304" s="54" t="s">
        <v>467</v>
      </c>
      <c r="C304" s="80"/>
      <c r="D304" s="1" t="s">
        <v>257</v>
      </c>
      <c r="E304" s="7"/>
      <c r="F304" s="7"/>
      <c r="G304" s="62" t="s">
        <v>1020</v>
      </c>
      <c r="H304" s="13"/>
      <c r="I304" s="13"/>
      <c r="J304" s="29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/>
      <c r="DI304" s="16"/>
      <c r="DJ304" s="16"/>
      <c r="DK304" s="16"/>
      <c r="DL304" s="16"/>
      <c r="DM304" s="16"/>
      <c r="DN304" s="16"/>
      <c r="DO304" s="16"/>
      <c r="DP304" s="16"/>
      <c r="DQ304" s="16"/>
      <c r="DR304" s="16"/>
      <c r="DS304" s="16"/>
      <c r="DT304" s="16"/>
      <c r="DU304" s="16"/>
      <c r="DV304" s="16"/>
      <c r="DW304" s="16"/>
      <c r="DX304" s="16"/>
      <c r="DY304" s="16"/>
      <c r="DZ304" s="16"/>
      <c r="EA304" s="16"/>
      <c r="EB304" s="16"/>
      <c r="EC304" s="16"/>
      <c r="ED304" s="16"/>
      <c r="EE304" s="16"/>
      <c r="EF304" s="16"/>
      <c r="EG304" s="16"/>
      <c r="EH304" s="16"/>
      <c r="EI304" s="16"/>
      <c r="EJ304" s="16"/>
      <c r="EK304" s="16"/>
      <c r="EL304" s="16"/>
      <c r="EM304" s="16"/>
      <c r="EN304" s="16"/>
      <c r="EO304" s="16"/>
      <c r="EP304" s="16"/>
      <c r="EQ304" s="16"/>
      <c r="ER304" s="16"/>
      <c r="ES304" s="16"/>
      <c r="ET304" s="16"/>
      <c r="EU304" s="16"/>
      <c r="EV304" s="16"/>
      <c r="EW304" s="16"/>
      <c r="EX304" s="16"/>
      <c r="EY304" s="16"/>
      <c r="EZ304" s="16"/>
      <c r="FA304" s="16"/>
      <c r="FB304" s="16"/>
      <c r="FC304" s="16"/>
      <c r="FD304" s="16"/>
      <c r="FE304" s="16"/>
      <c r="FF304" s="16"/>
      <c r="FG304" s="16"/>
      <c r="FH304" s="16"/>
      <c r="FI304" s="16"/>
      <c r="FJ304" s="16"/>
      <c r="FK304" s="16"/>
      <c r="FL304" s="16"/>
      <c r="FM304" s="16"/>
      <c r="FN304" s="16"/>
      <c r="FO304" s="16"/>
      <c r="FP304" s="16"/>
      <c r="FQ304" s="16"/>
      <c r="FR304" s="16"/>
      <c r="FS304" s="16"/>
      <c r="FT304" s="16"/>
      <c r="FU304" s="16"/>
      <c r="FV304" s="16"/>
      <c r="FW304" s="16"/>
      <c r="FX304" s="16"/>
      <c r="FY304" s="16"/>
      <c r="FZ304" s="16"/>
      <c r="GA304" s="16"/>
      <c r="GB304" s="16"/>
      <c r="GC304" s="16"/>
      <c r="GD304" s="16"/>
      <c r="GE304" s="16"/>
      <c r="GF304" s="16"/>
      <c r="GG304" s="16"/>
      <c r="GH304" s="16"/>
      <c r="GI304" s="16"/>
      <c r="GJ304" s="16"/>
      <c r="GK304" s="16"/>
      <c r="GL304" s="16"/>
      <c r="GM304" s="16"/>
      <c r="GN304" s="16"/>
      <c r="GO304" s="16"/>
      <c r="GP304" s="16"/>
      <c r="GQ304" s="16"/>
      <c r="GR304" s="16"/>
      <c r="GS304" s="16"/>
      <c r="GT304" s="16"/>
      <c r="GU304" s="16"/>
      <c r="GV304" s="16"/>
      <c r="GW304" s="16"/>
      <c r="GX304" s="16"/>
      <c r="GY304" s="16"/>
      <c r="GZ304" s="16"/>
      <c r="HA304" s="16"/>
      <c r="HB304" s="16"/>
      <c r="HC304" s="16"/>
      <c r="HD304" s="16"/>
      <c r="HE304" s="16"/>
      <c r="HF304" s="16"/>
      <c r="HG304" s="16"/>
      <c r="HH304" s="16"/>
      <c r="HI304" s="16"/>
      <c r="HJ304" s="16"/>
      <c r="HK304" s="16"/>
      <c r="HL304" s="16"/>
    </row>
    <row r="305" spans="1:220" s="20" customFormat="1" ht="16.5" customHeight="1" x14ac:dyDescent="0.15">
      <c r="A305" s="92"/>
      <c r="B305" s="54" t="s">
        <v>468</v>
      </c>
      <c r="C305" s="80"/>
      <c r="D305" s="1" t="s">
        <v>265</v>
      </c>
      <c r="E305" s="7"/>
      <c r="F305" s="7"/>
      <c r="G305" s="62" t="s">
        <v>1020</v>
      </c>
      <c r="H305" s="13"/>
      <c r="I305" s="13"/>
      <c r="J305" s="29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/>
      <c r="DI305" s="16"/>
      <c r="DJ305" s="16"/>
      <c r="DK305" s="16"/>
      <c r="DL305" s="16"/>
      <c r="DM305" s="16"/>
      <c r="DN305" s="16"/>
      <c r="DO305" s="16"/>
      <c r="DP305" s="16"/>
      <c r="DQ305" s="16"/>
      <c r="DR305" s="16"/>
      <c r="DS305" s="16"/>
      <c r="DT305" s="16"/>
      <c r="DU305" s="16"/>
      <c r="DV305" s="16"/>
      <c r="DW305" s="16"/>
      <c r="DX305" s="16"/>
      <c r="DY305" s="16"/>
      <c r="DZ305" s="16"/>
      <c r="EA305" s="16"/>
      <c r="EB305" s="16"/>
      <c r="EC305" s="16"/>
      <c r="ED305" s="16"/>
      <c r="EE305" s="16"/>
      <c r="EF305" s="16"/>
      <c r="EG305" s="16"/>
      <c r="EH305" s="16"/>
      <c r="EI305" s="16"/>
      <c r="EJ305" s="16"/>
      <c r="EK305" s="16"/>
      <c r="EL305" s="16"/>
      <c r="EM305" s="16"/>
      <c r="EN305" s="16"/>
      <c r="EO305" s="16"/>
      <c r="EP305" s="16"/>
      <c r="EQ305" s="16"/>
      <c r="ER305" s="16"/>
      <c r="ES305" s="16"/>
      <c r="ET305" s="16"/>
      <c r="EU305" s="16"/>
      <c r="EV305" s="16"/>
      <c r="EW305" s="16"/>
      <c r="EX305" s="16"/>
      <c r="EY305" s="16"/>
      <c r="EZ305" s="16"/>
      <c r="FA305" s="16"/>
      <c r="FB305" s="16"/>
      <c r="FC305" s="16"/>
      <c r="FD305" s="16"/>
      <c r="FE305" s="16"/>
      <c r="FF305" s="16"/>
      <c r="FG305" s="16"/>
      <c r="FH305" s="16"/>
      <c r="FI305" s="16"/>
      <c r="FJ305" s="16"/>
      <c r="FK305" s="16"/>
      <c r="FL305" s="16"/>
      <c r="FM305" s="16"/>
      <c r="FN305" s="16"/>
      <c r="FO305" s="16"/>
      <c r="FP305" s="16"/>
      <c r="FQ305" s="16"/>
      <c r="FR305" s="16"/>
      <c r="FS305" s="16"/>
      <c r="FT305" s="16"/>
      <c r="FU305" s="16"/>
      <c r="FV305" s="16"/>
      <c r="FW305" s="16"/>
      <c r="FX305" s="16"/>
      <c r="FY305" s="16"/>
      <c r="FZ305" s="16"/>
      <c r="GA305" s="16"/>
      <c r="GB305" s="16"/>
      <c r="GC305" s="16"/>
      <c r="GD305" s="16"/>
      <c r="GE305" s="16"/>
      <c r="GF305" s="16"/>
      <c r="GG305" s="16"/>
      <c r="GH305" s="16"/>
      <c r="GI305" s="16"/>
      <c r="GJ305" s="16"/>
      <c r="GK305" s="16"/>
      <c r="GL305" s="16"/>
      <c r="GM305" s="16"/>
      <c r="GN305" s="16"/>
      <c r="GO305" s="16"/>
      <c r="GP305" s="16"/>
      <c r="GQ305" s="16"/>
      <c r="GR305" s="16"/>
      <c r="GS305" s="16"/>
      <c r="GT305" s="16"/>
      <c r="GU305" s="16"/>
      <c r="GV305" s="16"/>
      <c r="GW305" s="16"/>
      <c r="GX305" s="16"/>
      <c r="GY305" s="16"/>
      <c r="GZ305" s="16"/>
      <c r="HA305" s="16"/>
      <c r="HB305" s="16"/>
      <c r="HC305" s="16"/>
      <c r="HD305" s="16"/>
      <c r="HE305" s="16"/>
      <c r="HF305" s="16"/>
      <c r="HG305" s="16"/>
      <c r="HH305" s="16"/>
      <c r="HI305" s="16"/>
      <c r="HJ305" s="16"/>
      <c r="HK305" s="16"/>
      <c r="HL305" s="16"/>
    </row>
    <row r="306" spans="1:220" s="20" customFormat="1" ht="16.5" customHeight="1" x14ac:dyDescent="0.15">
      <c r="A306" s="92"/>
      <c r="B306" s="54" t="s">
        <v>469</v>
      </c>
      <c r="C306" s="80"/>
      <c r="D306" s="1" t="s">
        <v>270</v>
      </c>
      <c r="E306" s="7"/>
      <c r="F306" s="7"/>
      <c r="G306" s="62" t="s">
        <v>1020</v>
      </c>
      <c r="H306" s="13"/>
      <c r="I306" s="13"/>
      <c r="J306" s="29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/>
      <c r="DI306" s="16"/>
      <c r="DJ306" s="16"/>
      <c r="DK306" s="16"/>
      <c r="DL306" s="16"/>
      <c r="DM306" s="16"/>
      <c r="DN306" s="16"/>
      <c r="DO306" s="16"/>
      <c r="DP306" s="16"/>
      <c r="DQ306" s="16"/>
      <c r="DR306" s="16"/>
      <c r="DS306" s="16"/>
      <c r="DT306" s="16"/>
      <c r="DU306" s="16"/>
      <c r="DV306" s="16"/>
      <c r="DW306" s="16"/>
      <c r="DX306" s="16"/>
      <c r="DY306" s="16"/>
      <c r="DZ306" s="16"/>
      <c r="EA306" s="16"/>
      <c r="EB306" s="16"/>
      <c r="EC306" s="16"/>
      <c r="ED306" s="16"/>
      <c r="EE306" s="16"/>
      <c r="EF306" s="16"/>
      <c r="EG306" s="16"/>
      <c r="EH306" s="16"/>
      <c r="EI306" s="16"/>
      <c r="EJ306" s="16"/>
      <c r="EK306" s="16"/>
      <c r="EL306" s="16"/>
      <c r="EM306" s="16"/>
      <c r="EN306" s="16"/>
      <c r="EO306" s="16"/>
      <c r="EP306" s="16"/>
      <c r="EQ306" s="16"/>
      <c r="ER306" s="16"/>
      <c r="ES306" s="16"/>
      <c r="ET306" s="16"/>
      <c r="EU306" s="16"/>
      <c r="EV306" s="16"/>
      <c r="EW306" s="16"/>
      <c r="EX306" s="16"/>
      <c r="EY306" s="16"/>
      <c r="EZ306" s="16"/>
      <c r="FA306" s="16"/>
      <c r="FB306" s="16"/>
      <c r="FC306" s="16"/>
      <c r="FD306" s="16"/>
      <c r="FE306" s="16"/>
      <c r="FF306" s="16"/>
      <c r="FG306" s="16"/>
      <c r="FH306" s="16"/>
      <c r="FI306" s="16"/>
      <c r="FJ306" s="16"/>
      <c r="FK306" s="16"/>
      <c r="FL306" s="16"/>
      <c r="FM306" s="16"/>
      <c r="FN306" s="16"/>
      <c r="FO306" s="16"/>
      <c r="FP306" s="16"/>
      <c r="FQ306" s="16"/>
      <c r="FR306" s="16"/>
      <c r="FS306" s="16"/>
      <c r="FT306" s="16"/>
      <c r="FU306" s="16"/>
      <c r="FV306" s="16"/>
      <c r="FW306" s="16"/>
      <c r="FX306" s="16"/>
      <c r="FY306" s="16"/>
      <c r="FZ306" s="16"/>
      <c r="GA306" s="16"/>
      <c r="GB306" s="16"/>
      <c r="GC306" s="16"/>
      <c r="GD306" s="16"/>
      <c r="GE306" s="16"/>
      <c r="GF306" s="16"/>
      <c r="GG306" s="16"/>
      <c r="GH306" s="16"/>
      <c r="GI306" s="16"/>
      <c r="GJ306" s="16"/>
      <c r="GK306" s="16"/>
      <c r="GL306" s="16"/>
      <c r="GM306" s="16"/>
      <c r="GN306" s="16"/>
      <c r="GO306" s="16"/>
      <c r="GP306" s="16"/>
      <c r="GQ306" s="16"/>
      <c r="GR306" s="16"/>
      <c r="GS306" s="16"/>
      <c r="GT306" s="16"/>
      <c r="GU306" s="16"/>
      <c r="GV306" s="16"/>
      <c r="GW306" s="16"/>
      <c r="GX306" s="16"/>
      <c r="GY306" s="16"/>
      <c r="GZ306" s="16"/>
      <c r="HA306" s="16"/>
      <c r="HB306" s="16"/>
      <c r="HC306" s="16"/>
      <c r="HD306" s="16"/>
      <c r="HE306" s="16"/>
      <c r="HF306" s="16"/>
      <c r="HG306" s="16"/>
      <c r="HH306" s="16"/>
      <c r="HI306" s="16"/>
      <c r="HJ306" s="16"/>
      <c r="HK306" s="16"/>
      <c r="HL306" s="16"/>
    </row>
    <row r="307" spans="1:220" s="20" customFormat="1" ht="16.5" customHeight="1" x14ac:dyDescent="0.15">
      <c r="A307" s="92"/>
      <c r="B307" s="54" t="s">
        <v>470</v>
      </c>
      <c r="C307" s="80"/>
      <c r="D307" s="7" t="s">
        <v>266</v>
      </c>
      <c r="E307" s="7"/>
      <c r="F307" s="7"/>
      <c r="G307" s="62" t="s">
        <v>1020</v>
      </c>
      <c r="H307" s="13"/>
      <c r="I307" s="13"/>
      <c r="J307" s="29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/>
      <c r="DI307" s="16"/>
      <c r="DJ307" s="16"/>
      <c r="DK307" s="16"/>
      <c r="DL307" s="16"/>
      <c r="DM307" s="16"/>
      <c r="DN307" s="16"/>
      <c r="DO307" s="16"/>
      <c r="DP307" s="16"/>
      <c r="DQ307" s="16"/>
      <c r="DR307" s="16"/>
      <c r="DS307" s="16"/>
      <c r="DT307" s="16"/>
      <c r="DU307" s="16"/>
      <c r="DV307" s="16"/>
      <c r="DW307" s="16"/>
      <c r="DX307" s="16"/>
      <c r="DY307" s="16"/>
      <c r="DZ307" s="16"/>
      <c r="EA307" s="16"/>
      <c r="EB307" s="16"/>
      <c r="EC307" s="16"/>
      <c r="ED307" s="16"/>
      <c r="EE307" s="16"/>
      <c r="EF307" s="16"/>
      <c r="EG307" s="16"/>
      <c r="EH307" s="16"/>
      <c r="EI307" s="16"/>
      <c r="EJ307" s="16"/>
      <c r="EK307" s="16"/>
      <c r="EL307" s="16"/>
      <c r="EM307" s="16"/>
      <c r="EN307" s="16"/>
      <c r="EO307" s="16"/>
      <c r="EP307" s="16"/>
      <c r="EQ307" s="16"/>
      <c r="ER307" s="16"/>
      <c r="ES307" s="16"/>
      <c r="ET307" s="16"/>
      <c r="EU307" s="16"/>
      <c r="EV307" s="16"/>
      <c r="EW307" s="16"/>
      <c r="EX307" s="16"/>
      <c r="EY307" s="16"/>
      <c r="EZ307" s="16"/>
      <c r="FA307" s="16"/>
      <c r="FB307" s="16"/>
      <c r="FC307" s="16"/>
      <c r="FD307" s="16"/>
      <c r="FE307" s="16"/>
      <c r="FF307" s="16"/>
      <c r="FG307" s="16"/>
      <c r="FH307" s="16"/>
      <c r="FI307" s="16"/>
      <c r="FJ307" s="16"/>
      <c r="FK307" s="16"/>
      <c r="FL307" s="16"/>
      <c r="FM307" s="16"/>
      <c r="FN307" s="16"/>
      <c r="FO307" s="16"/>
      <c r="FP307" s="16"/>
      <c r="FQ307" s="16"/>
      <c r="FR307" s="16"/>
      <c r="FS307" s="16"/>
      <c r="FT307" s="16"/>
      <c r="FU307" s="16"/>
      <c r="FV307" s="16"/>
      <c r="FW307" s="16"/>
      <c r="FX307" s="16"/>
      <c r="FY307" s="16"/>
      <c r="FZ307" s="16"/>
      <c r="GA307" s="16"/>
      <c r="GB307" s="16"/>
      <c r="GC307" s="16"/>
      <c r="GD307" s="16"/>
      <c r="GE307" s="16"/>
      <c r="GF307" s="16"/>
      <c r="GG307" s="16"/>
      <c r="GH307" s="16"/>
      <c r="GI307" s="16"/>
      <c r="GJ307" s="16"/>
      <c r="GK307" s="16"/>
      <c r="GL307" s="16"/>
      <c r="GM307" s="16"/>
      <c r="GN307" s="16"/>
      <c r="GO307" s="16"/>
      <c r="GP307" s="16"/>
      <c r="GQ307" s="16"/>
      <c r="GR307" s="16"/>
      <c r="GS307" s="16"/>
      <c r="GT307" s="16"/>
      <c r="GU307" s="16"/>
      <c r="GV307" s="16"/>
      <c r="GW307" s="16"/>
      <c r="GX307" s="16"/>
      <c r="GY307" s="16"/>
      <c r="GZ307" s="16"/>
      <c r="HA307" s="16"/>
      <c r="HB307" s="16"/>
      <c r="HC307" s="16"/>
      <c r="HD307" s="16"/>
      <c r="HE307" s="16"/>
      <c r="HF307" s="16"/>
      <c r="HG307" s="16"/>
      <c r="HH307" s="16"/>
      <c r="HI307" s="16"/>
      <c r="HJ307" s="16"/>
      <c r="HK307" s="16"/>
      <c r="HL307" s="16"/>
    </row>
    <row r="308" spans="1:220" s="20" customFormat="1" ht="16.5" customHeight="1" x14ac:dyDescent="0.15">
      <c r="A308" s="92"/>
      <c r="B308" s="54" t="s">
        <v>471</v>
      </c>
      <c r="C308" s="80"/>
      <c r="D308" s="7" t="s">
        <v>271</v>
      </c>
      <c r="E308" s="7"/>
      <c r="F308" s="7"/>
      <c r="G308" s="62" t="s">
        <v>1020</v>
      </c>
      <c r="H308" s="13"/>
      <c r="I308" s="13"/>
      <c r="J308" s="29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/>
      <c r="DI308" s="16"/>
      <c r="DJ308" s="16"/>
      <c r="DK308" s="16"/>
      <c r="DL308" s="16"/>
      <c r="DM308" s="16"/>
      <c r="DN308" s="16"/>
      <c r="DO308" s="16"/>
      <c r="DP308" s="16"/>
      <c r="DQ308" s="16"/>
      <c r="DR308" s="16"/>
      <c r="DS308" s="16"/>
      <c r="DT308" s="16"/>
      <c r="DU308" s="16"/>
      <c r="DV308" s="16"/>
      <c r="DW308" s="16"/>
      <c r="DX308" s="16"/>
      <c r="DY308" s="16"/>
      <c r="DZ308" s="16"/>
      <c r="EA308" s="16"/>
      <c r="EB308" s="16"/>
      <c r="EC308" s="16"/>
      <c r="ED308" s="16"/>
      <c r="EE308" s="16"/>
      <c r="EF308" s="16"/>
      <c r="EG308" s="16"/>
      <c r="EH308" s="16"/>
      <c r="EI308" s="16"/>
      <c r="EJ308" s="16"/>
      <c r="EK308" s="16"/>
      <c r="EL308" s="16"/>
      <c r="EM308" s="16"/>
      <c r="EN308" s="16"/>
      <c r="EO308" s="16"/>
      <c r="EP308" s="16"/>
      <c r="EQ308" s="16"/>
      <c r="ER308" s="16"/>
      <c r="ES308" s="16"/>
      <c r="ET308" s="16"/>
      <c r="EU308" s="16"/>
      <c r="EV308" s="16"/>
      <c r="EW308" s="16"/>
      <c r="EX308" s="16"/>
      <c r="EY308" s="16"/>
      <c r="EZ308" s="16"/>
      <c r="FA308" s="16"/>
      <c r="FB308" s="16"/>
      <c r="FC308" s="16"/>
      <c r="FD308" s="16"/>
      <c r="FE308" s="16"/>
      <c r="FF308" s="16"/>
      <c r="FG308" s="16"/>
      <c r="FH308" s="16"/>
      <c r="FI308" s="16"/>
      <c r="FJ308" s="16"/>
      <c r="FK308" s="16"/>
      <c r="FL308" s="16"/>
      <c r="FM308" s="16"/>
      <c r="FN308" s="16"/>
      <c r="FO308" s="16"/>
      <c r="FP308" s="16"/>
      <c r="FQ308" s="16"/>
      <c r="FR308" s="16"/>
      <c r="FS308" s="16"/>
      <c r="FT308" s="16"/>
      <c r="FU308" s="16"/>
      <c r="FV308" s="16"/>
      <c r="FW308" s="16"/>
      <c r="FX308" s="16"/>
      <c r="FY308" s="16"/>
      <c r="FZ308" s="16"/>
      <c r="GA308" s="16"/>
      <c r="GB308" s="16"/>
      <c r="GC308" s="16"/>
      <c r="GD308" s="16"/>
      <c r="GE308" s="16"/>
      <c r="GF308" s="16"/>
      <c r="GG308" s="16"/>
      <c r="GH308" s="16"/>
      <c r="GI308" s="16"/>
      <c r="GJ308" s="16"/>
      <c r="GK308" s="16"/>
      <c r="GL308" s="16"/>
      <c r="GM308" s="16"/>
      <c r="GN308" s="16"/>
      <c r="GO308" s="16"/>
      <c r="GP308" s="16"/>
      <c r="GQ308" s="16"/>
      <c r="GR308" s="16"/>
      <c r="GS308" s="16"/>
      <c r="GT308" s="16"/>
      <c r="GU308" s="16"/>
      <c r="GV308" s="16"/>
      <c r="GW308" s="16"/>
      <c r="GX308" s="16"/>
      <c r="GY308" s="16"/>
      <c r="GZ308" s="16"/>
      <c r="HA308" s="16"/>
      <c r="HB308" s="16"/>
      <c r="HC308" s="16"/>
      <c r="HD308" s="16"/>
      <c r="HE308" s="16"/>
      <c r="HF308" s="16"/>
      <c r="HG308" s="16"/>
      <c r="HH308" s="16"/>
      <c r="HI308" s="16"/>
      <c r="HJ308" s="16"/>
      <c r="HK308" s="16"/>
      <c r="HL308" s="16"/>
    </row>
    <row r="309" spans="1:220" s="20" customFormat="1" ht="16.5" customHeight="1" x14ac:dyDescent="0.15">
      <c r="A309" s="92"/>
      <c r="B309" s="54" t="s">
        <v>472</v>
      </c>
      <c r="C309" s="80"/>
      <c r="D309" s="7" t="s">
        <v>260</v>
      </c>
      <c r="E309" s="7"/>
      <c r="F309" s="7"/>
      <c r="G309" s="62" t="s">
        <v>1020</v>
      </c>
      <c r="H309" s="13"/>
      <c r="I309" s="13"/>
      <c r="J309" s="29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6"/>
      <c r="DJ309" s="16"/>
      <c r="DK309" s="16"/>
      <c r="DL309" s="16"/>
      <c r="DM309" s="16"/>
      <c r="DN309" s="16"/>
      <c r="DO309" s="16"/>
      <c r="DP309" s="16"/>
      <c r="DQ309" s="16"/>
      <c r="DR309" s="16"/>
      <c r="DS309" s="16"/>
      <c r="DT309" s="16"/>
      <c r="DU309" s="16"/>
      <c r="DV309" s="16"/>
      <c r="DW309" s="16"/>
      <c r="DX309" s="16"/>
      <c r="DY309" s="16"/>
      <c r="DZ309" s="16"/>
      <c r="EA309" s="16"/>
      <c r="EB309" s="16"/>
      <c r="EC309" s="16"/>
      <c r="ED309" s="16"/>
      <c r="EE309" s="16"/>
      <c r="EF309" s="16"/>
      <c r="EG309" s="16"/>
      <c r="EH309" s="16"/>
      <c r="EI309" s="16"/>
      <c r="EJ309" s="16"/>
      <c r="EK309" s="16"/>
      <c r="EL309" s="16"/>
      <c r="EM309" s="16"/>
      <c r="EN309" s="16"/>
      <c r="EO309" s="16"/>
      <c r="EP309" s="16"/>
      <c r="EQ309" s="16"/>
      <c r="ER309" s="16"/>
      <c r="ES309" s="16"/>
      <c r="ET309" s="16"/>
      <c r="EU309" s="16"/>
      <c r="EV309" s="16"/>
      <c r="EW309" s="16"/>
      <c r="EX309" s="16"/>
      <c r="EY309" s="16"/>
      <c r="EZ309" s="16"/>
      <c r="FA309" s="16"/>
      <c r="FB309" s="16"/>
      <c r="FC309" s="16"/>
      <c r="FD309" s="16"/>
      <c r="FE309" s="16"/>
      <c r="FF309" s="16"/>
      <c r="FG309" s="16"/>
      <c r="FH309" s="16"/>
      <c r="FI309" s="16"/>
      <c r="FJ309" s="16"/>
      <c r="FK309" s="16"/>
      <c r="FL309" s="16"/>
      <c r="FM309" s="16"/>
      <c r="FN309" s="16"/>
      <c r="FO309" s="16"/>
      <c r="FP309" s="16"/>
      <c r="FQ309" s="16"/>
      <c r="FR309" s="16"/>
      <c r="FS309" s="16"/>
      <c r="FT309" s="16"/>
      <c r="FU309" s="16"/>
      <c r="FV309" s="16"/>
      <c r="FW309" s="16"/>
      <c r="FX309" s="16"/>
      <c r="FY309" s="16"/>
      <c r="FZ309" s="16"/>
      <c r="GA309" s="16"/>
      <c r="GB309" s="16"/>
      <c r="GC309" s="16"/>
      <c r="GD309" s="16"/>
      <c r="GE309" s="16"/>
      <c r="GF309" s="16"/>
      <c r="GG309" s="16"/>
      <c r="GH309" s="16"/>
      <c r="GI309" s="16"/>
      <c r="GJ309" s="16"/>
      <c r="GK309" s="16"/>
      <c r="GL309" s="16"/>
      <c r="GM309" s="16"/>
      <c r="GN309" s="16"/>
      <c r="GO309" s="16"/>
      <c r="GP309" s="16"/>
      <c r="GQ309" s="16"/>
      <c r="GR309" s="16"/>
      <c r="GS309" s="16"/>
      <c r="GT309" s="16"/>
      <c r="GU309" s="16"/>
      <c r="GV309" s="16"/>
      <c r="GW309" s="16"/>
      <c r="GX309" s="16"/>
      <c r="GY309" s="16"/>
      <c r="GZ309" s="16"/>
      <c r="HA309" s="16"/>
      <c r="HB309" s="16"/>
      <c r="HC309" s="16"/>
      <c r="HD309" s="16"/>
      <c r="HE309" s="16"/>
      <c r="HF309" s="16"/>
      <c r="HG309" s="16"/>
      <c r="HH309" s="16"/>
      <c r="HI309" s="16"/>
      <c r="HJ309" s="16"/>
      <c r="HK309" s="16"/>
      <c r="HL309" s="16"/>
    </row>
    <row r="310" spans="1:220" ht="16.5" customHeight="1" x14ac:dyDescent="0.15">
      <c r="A310" s="92"/>
      <c r="B310" s="54" t="s">
        <v>549</v>
      </c>
      <c r="C310" s="80" t="s">
        <v>255</v>
      </c>
      <c r="D310" s="7" t="s">
        <v>258</v>
      </c>
      <c r="G310" s="62" t="s">
        <v>1020</v>
      </c>
      <c r="H310" s="7"/>
    </row>
    <row r="311" spans="1:220" ht="16.5" customHeight="1" x14ac:dyDescent="0.15">
      <c r="A311" s="92"/>
      <c r="B311" s="54" t="s">
        <v>473</v>
      </c>
      <c r="C311" s="80"/>
      <c r="D311" s="1" t="s">
        <v>257</v>
      </c>
      <c r="G311" s="62" t="s">
        <v>1020</v>
      </c>
      <c r="H311" s="7"/>
    </row>
    <row r="312" spans="1:220" ht="16.5" customHeight="1" x14ac:dyDescent="0.15">
      <c r="A312" s="92"/>
      <c r="B312" s="54" t="s">
        <v>474</v>
      </c>
      <c r="C312" s="80"/>
      <c r="D312" s="1" t="s">
        <v>272</v>
      </c>
      <c r="G312" s="62" t="s">
        <v>1020</v>
      </c>
      <c r="H312" s="7"/>
    </row>
    <row r="313" spans="1:220" ht="16.5" customHeight="1" x14ac:dyDescent="0.15">
      <c r="A313" s="92"/>
      <c r="B313" s="54" t="s">
        <v>475</v>
      </c>
      <c r="C313" s="80"/>
      <c r="D313" s="1" t="s">
        <v>273</v>
      </c>
      <c r="G313" s="62" t="s">
        <v>1020</v>
      </c>
      <c r="H313" s="7"/>
    </row>
    <row r="314" spans="1:220" ht="16.5" customHeight="1" x14ac:dyDescent="0.15">
      <c r="A314" s="92"/>
      <c r="B314" s="54" t="s">
        <v>476</v>
      </c>
      <c r="C314" s="80"/>
      <c r="D314" s="7" t="s">
        <v>275</v>
      </c>
      <c r="G314" s="62" t="s">
        <v>1020</v>
      </c>
      <c r="H314" s="7"/>
    </row>
    <row r="315" spans="1:220" ht="16.5" customHeight="1" x14ac:dyDescent="0.15">
      <c r="A315" s="92"/>
      <c r="B315" s="54" t="s">
        <v>477</v>
      </c>
      <c r="C315" s="80"/>
      <c r="D315" s="7" t="s">
        <v>274</v>
      </c>
      <c r="G315" s="62" t="s">
        <v>1020</v>
      </c>
      <c r="H315" s="7"/>
    </row>
    <row r="316" spans="1:220" ht="16.5" customHeight="1" x14ac:dyDescent="0.15">
      <c r="A316" s="92"/>
      <c r="B316" s="54" t="s">
        <v>478</v>
      </c>
      <c r="C316" s="80"/>
      <c r="D316" s="7" t="s">
        <v>260</v>
      </c>
      <c r="G316" s="62" t="s">
        <v>1020</v>
      </c>
      <c r="H316" s="7"/>
    </row>
    <row r="317" spans="1:220" ht="16.5" customHeight="1" x14ac:dyDescent="0.15">
      <c r="A317" s="92"/>
      <c r="B317" s="54" t="s">
        <v>479</v>
      </c>
      <c r="C317" s="80" t="s">
        <v>256</v>
      </c>
      <c r="D317" s="7" t="s">
        <v>258</v>
      </c>
      <c r="G317" s="62" t="s">
        <v>1020</v>
      </c>
      <c r="H317" s="7"/>
    </row>
    <row r="318" spans="1:220" ht="16.5" customHeight="1" x14ac:dyDescent="0.15">
      <c r="A318" s="92"/>
      <c r="B318" s="54" t="s">
        <v>480</v>
      </c>
      <c r="C318" s="80"/>
      <c r="D318" s="1" t="s">
        <v>257</v>
      </c>
      <c r="G318" s="62" t="s">
        <v>1020</v>
      </c>
      <c r="H318" s="7"/>
    </row>
    <row r="319" spans="1:220" ht="16.5" customHeight="1" x14ac:dyDescent="0.15">
      <c r="A319" s="92"/>
      <c r="B319" s="54" t="s">
        <v>550</v>
      </c>
      <c r="C319" s="80"/>
      <c r="D319" s="1" t="s">
        <v>267</v>
      </c>
      <c r="G319" s="62" t="s">
        <v>1020</v>
      </c>
      <c r="H319" s="7"/>
    </row>
    <row r="320" spans="1:220" ht="16.5" customHeight="1" x14ac:dyDescent="0.15">
      <c r="A320" s="92"/>
      <c r="B320" s="54" t="s">
        <v>481</v>
      </c>
      <c r="C320" s="80"/>
      <c r="D320" s="1" t="s">
        <v>268</v>
      </c>
      <c r="G320" s="62" t="s">
        <v>1020</v>
      </c>
      <c r="H320" s="7"/>
    </row>
    <row r="321" spans="1:8" ht="16.5" customHeight="1" x14ac:dyDescent="0.15">
      <c r="A321" s="92"/>
      <c r="B321" s="54" t="s">
        <v>482</v>
      </c>
      <c r="C321" s="80"/>
      <c r="D321" s="7" t="s">
        <v>276</v>
      </c>
      <c r="G321" s="62" t="s">
        <v>1020</v>
      </c>
      <c r="H321" s="7"/>
    </row>
    <row r="322" spans="1:8" ht="16.5" customHeight="1" x14ac:dyDescent="0.15">
      <c r="A322" s="92"/>
      <c r="B322" s="54" t="s">
        <v>483</v>
      </c>
      <c r="C322" s="80"/>
      <c r="D322" s="1" t="s">
        <v>269</v>
      </c>
      <c r="G322" s="62" t="s">
        <v>1020</v>
      </c>
      <c r="H322" s="7"/>
    </row>
    <row r="323" spans="1:8" ht="16.5" customHeight="1" x14ac:dyDescent="0.15">
      <c r="A323" s="92"/>
      <c r="B323" s="54" t="s">
        <v>484</v>
      </c>
      <c r="C323" s="80"/>
      <c r="D323" s="7" t="s">
        <v>260</v>
      </c>
      <c r="G323" s="62" t="s">
        <v>1020</v>
      </c>
      <c r="H323" s="7"/>
    </row>
    <row r="324" spans="1:8" ht="16.5" customHeight="1" x14ac:dyDescent="0.15">
      <c r="A324" s="92"/>
      <c r="B324" s="54" t="s">
        <v>485</v>
      </c>
      <c r="C324" s="80" t="s">
        <v>277</v>
      </c>
      <c r="D324" s="7" t="s">
        <v>258</v>
      </c>
      <c r="G324" s="62" t="s">
        <v>1020</v>
      </c>
      <c r="H324" s="7"/>
    </row>
    <row r="325" spans="1:8" ht="16.5" customHeight="1" x14ac:dyDescent="0.15">
      <c r="A325" s="92"/>
      <c r="B325" s="54" t="s">
        <v>486</v>
      </c>
      <c r="C325" s="80"/>
      <c r="D325" s="1" t="s">
        <v>257</v>
      </c>
      <c r="G325" s="62" t="s">
        <v>1020</v>
      </c>
      <c r="H325" s="7"/>
    </row>
    <row r="326" spans="1:8" ht="16.5" customHeight="1" x14ac:dyDescent="0.15">
      <c r="A326" s="92"/>
      <c r="B326" s="54" t="s">
        <v>487</v>
      </c>
      <c r="C326" s="80"/>
      <c r="D326" s="1" t="s">
        <v>278</v>
      </c>
      <c r="G326" s="62" t="s">
        <v>1020</v>
      </c>
      <c r="H326" s="7"/>
    </row>
    <row r="327" spans="1:8" ht="16.5" customHeight="1" x14ac:dyDescent="0.15">
      <c r="A327" s="92"/>
      <c r="B327" s="54" t="s">
        <v>569</v>
      </c>
      <c r="C327" s="80"/>
      <c r="D327" s="1" t="s">
        <v>279</v>
      </c>
      <c r="G327" s="62" t="s">
        <v>1020</v>
      </c>
      <c r="H327" s="7"/>
    </row>
    <row r="328" spans="1:8" ht="16.5" customHeight="1" x14ac:dyDescent="0.15">
      <c r="A328" s="92"/>
      <c r="B328" s="54" t="s">
        <v>570</v>
      </c>
      <c r="C328" s="80"/>
      <c r="D328" s="7" t="s">
        <v>281</v>
      </c>
      <c r="G328" s="62" t="s">
        <v>1020</v>
      </c>
      <c r="H328" s="7"/>
    </row>
    <row r="329" spans="1:8" ht="16.5" customHeight="1" x14ac:dyDescent="0.15">
      <c r="A329" s="92"/>
      <c r="B329" s="54" t="s">
        <v>571</v>
      </c>
      <c r="C329" s="80"/>
      <c r="D329" s="7" t="s">
        <v>280</v>
      </c>
      <c r="G329" s="62" t="s">
        <v>1020</v>
      </c>
      <c r="H329" s="7"/>
    </row>
    <row r="330" spans="1:8" ht="16.5" customHeight="1" x14ac:dyDescent="0.15">
      <c r="A330" s="92"/>
      <c r="B330" s="54" t="s">
        <v>572</v>
      </c>
      <c r="C330" s="80"/>
      <c r="D330" s="7" t="s">
        <v>260</v>
      </c>
      <c r="G330" s="62" t="s">
        <v>1020</v>
      </c>
      <c r="H330" s="7"/>
    </row>
    <row r="331" spans="1:8" ht="16.5" customHeight="1" x14ac:dyDescent="0.15">
      <c r="A331" s="92"/>
      <c r="B331" s="54" t="s">
        <v>573</v>
      </c>
      <c r="C331" s="81" t="s">
        <v>284</v>
      </c>
      <c r="D331" s="7" t="s">
        <v>372</v>
      </c>
      <c r="G331" s="62" t="s">
        <v>1020</v>
      </c>
      <c r="H331" s="7"/>
    </row>
    <row r="332" spans="1:8" ht="16.5" customHeight="1" x14ac:dyDescent="0.15">
      <c r="A332" s="92"/>
      <c r="B332" s="54" t="s">
        <v>574</v>
      </c>
      <c r="C332" s="82"/>
      <c r="D332" s="7" t="s">
        <v>373</v>
      </c>
      <c r="G332" s="62" t="s">
        <v>1020</v>
      </c>
      <c r="H332" s="7"/>
    </row>
    <row r="333" spans="1:8" ht="16.5" customHeight="1" x14ac:dyDescent="0.15">
      <c r="A333" s="92"/>
      <c r="B333" s="54" t="s">
        <v>575</v>
      </c>
      <c r="C333" s="82"/>
      <c r="D333" s="7" t="s">
        <v>258</v>
      </c>
      <c r="G333" s="62" t="s">
        <v>1020</v>
      </c>
      <c r="H333" s="7"/>
    </row>
    <row r="334" spans="1:8" ht="16.5" customHeight="1" x14ac:dyDescent="0.15">
      <c r="A334" s="92"/>
      <c r="B334" s="54" t="s">
        <v>576</v>
      </c>
      <c r="C334" s="82"/>
      <c r="D334" s="1" t="s">
        <v>342</v>
      </c>
      <c r="G334" s="62" t="s">
        <v>1020</v>
      </c>
      <c r="H334" s="7"/>
    </row>
    <row r="335" spans="1:8" ht="16.5" customHeight="1" x14ac:dyDescent="0.15">
      <c r="A335" s="92"/>
      <c r="B335" s="54" t="s">
        <v>577</v>
      </c>
      <c r="C335" s="82"/>
      <c r="D335" s="7" t="s">
        <v>343</v>
      </c>
      <c r="G335" s="62" t="s">
        <v>1020</v>
      </c>
      <c r="H335" s="7"/>
    </row>
    <row r="336" spans="1:8" ht="16.5" customHeight="1" x14ac:dyDescent="0.15">
      <c r="A336" s="92"/>
      <c r="B336" s="54" t="s">
        <v>578</v>
      </c>
      <c r="C336" s="82"/>
      <c r="D336" s="7" t="s">
        <v>346</v>
      </c>
      <c r="G336" s="62" t="s">
        <v>1020</v>
      </c>
      <c r="H336" s="7"/>
    </row>
    <row r="337" spans="1:8" ht="16.5" customHeight="1" x14ac:dyDescent="0.15">
      <c r="A337" s="92"/>
      <c r="B337" s="54" t="s">
        <v>579</v>
      </c>
      <c r="C337" s="82"/>
      <c r="D337" s="7" t="s">
        <v>345</v>
      </c>
      <c r="G337" s="62" t="s">
        <v>1020</v>
      </c>
      <c r="H337" s="7"/>
    </row>
    <row r="338" spans="1:8" ht="16.5" customHeight="1" x14ac:dyDescent="0.15">
      <c r="A338" s="92"/>
      <c r="B338" s="54" t="s">
        <v>580</v>
      </c>
      <c r="C338" s="86"/>
      <c r="D338" s="7" t="s">
        <v>344</v>
      </c>
      <c r="G338" s="62" t="s">
        <v>1020</v>
      </c>
      <c r="H338" s="7"/>
    </row>
    <row r="339" spans="1:8" ht="16.5" customHeight="1" x14ac:dyDescent="0.15">
      <c r="A339" s="92"/>
      <c r="B339" s="54" t="s">
        <v>581</v>
      </c>
      <c r="C339" s="81" t="s">
        <v>285</v>
      </c>
      <c r="D339" s="7" t="s">
        <v>374</v>
      </c>
      <c r="G339" s="62" t="s">
        <v>1020</v>
      </c>
      <c r="H339" s="7"/>
    </row>
    <row r="340" spans="1:8" ht="16.5" customHeight="1" x14ac:dyDescent="0.15">
      <c r="A340" s="92"/>
      <c r="B340" s="54" t="s">
        <v>582</v>
      </c>
      <c r="C340" s="82"/>
      <c r="D340" s="7" t="s">
        <v>375</v>
      </c>
      <c r="G340" s="62" t="s">
        <v>1020</v>
      </c>
      <c r="H340" s="7"/>
    </row>
    <row r="341" spans="1:8" ht="16.5" customHeight="1" x14ac:dyDescent="0.15">
      <c r="A341" s="92"/>
      <c r="B341" s="54" t="s">
        <v>583</v>
      </c>
      <c r="C341" s="82"/>
      <c r="D341" s="7" t="s">
        <v>258</v>
      </c>
      <c r="G341" s="62" t="s">
        <v>1020</v>
      </c>
      <c r="H341" s="7"/>
    </row>
    <row r="342" spans="1:8" ht="16.5" customHeight="1" x14ac:dyDescent="0.15">
      <c r="A342" s="92"/>
      <c r="B342" s="54" t="s">
        <v>584</v>
      </c>
      <c r="C342" s="82"/>
      <c r="D342" s="1" t="s">
        <v>342</v>
      </c>
      <c r="G342" s="62" t="s">
        <v>1020</v>
      </c>
      <c r="H342" s="7"/>
    </row>
    <row r="343" spans="1:8" ht="16.5" customHeight="1" x14ac:dyDescent="0.15">
      <c r="A343" s="92"/>
      <c r="B343" s="54" t="s">
        <v>585</v>
      </c>
      <c r="C343" s="82"/>
      <c r="D343" s="7" t="s">
        <v>363</v>
      </c>
      <c r="G343" s="62" t="s">
        <v>1020</v>
      </c>
      <c r="H343" s="7"/>
    </row>
    <row r="344" spans="1:8" ht="16.5" customHeight="1" x14ac:dyDescent="0.15">
      <c r="A344" s="92"/>
      <c r="B344" s="54" t="s">
        <v>586</v>
      </c>
      <c r="C344" s="82"/>
      <c r="D344" s="7" t="s">
        <v>366</v>
      </c>
      <c r="G344" s="62" t="s">
        <v>1020</v>
      </c>
      <c r="H344" s="7"/>
    </row>
    <row r="345" spans="1:8" ht="16.5" customHeight="1" x14ac:dyDescent="0.15">
      <c r="A345" s="92"/>
      <c r="B345" s="54" t="s">
        <v>587</v>
      </c>
      <c r="C345" s="82"/>
      <c r="D345" s="7" t="s">
        <v>364</v>
      </c>
      <c r="G345" s="62" t="s">
        <v>1020</v>
      </c>
      <c r="H345" s="7"/>
    </row>
    <row r="346" spans="1:8" ht="16.5" customHeight="1" x14ac:dyDescent="0.15">
      <c r="A346" s="92"/>
      <c r="B346" s="54" t="s">
        <v>588</v>
      </c>
      <c r="C346" s="86"/>
      <c r="D346" s="7" t="s">
        <v>365</v>
      </c>
      <c r="G346" s="62" t="s">
        <v>1020</v>
      </c>
      <c r="H346" s="7"/>
    </row>
    <row r="347" spans="1:8" ht="16.5" customHeight="1" x14ac:dyDescent="0.15">
      <c r="A347" s="92"/>
      <c r="B347" s="54" t="s">
        <v>589</v>
      </c>
      <c r="C347" s="80" t="s">
        <v>286</v>
      </c>
      <c r="D347" s="7" t="s">
        <v>376</v>
      </c>
      <c r="G347" s="62" t="s">
        <v>1020</v>
      </c>
      <c r="H347" s="7"/>
    </row>
    <row r="348" spans="1:8" ht="16.5" customHeight="1" x14ac:dyDescent="0.15">
      <c r="A348" s="92"/>
      <c r="B348" s="54" t="s">
        <v>590</v>
      </c>
      <c r="C348" s="80"/>
      <c r="D348" s="7" t="s">
        <v>377</v>
      </c>
      <c r="G348" s="62" t="s">
        <v>1020</v>
      </c>
      <c r="H348" s="7"/>
    </row>
    <row r="349" spans="1:8" ht="16.5" customHeight="1" x14ac:dyDescent="0.15">
      <c r="A349" s="92"/>
      <c r="B349" s="54" t="s">
        <v>591</v>
      </c>
      <c r="C349" s="80"/>
      <c r="D349" s="7" t="s">
        <v>258</v>
      </c>
      <c r="G349" s="62" t="s">
        <v>1020</v>
      </c>
      <c r="H349" s="7"/>
    </row>
    <row r="350" spans="1:8" ht="16.5" customHeight="1" x14ac:dyDescent="0.15">
      <c r="A350" s="92"/>
      <c r="B350" s="54" t="s">
        <v>592</v>
      </c>
      <c r="C350" s="80"/>
      <c r="D350" s="1" t="s">
        <v>342</v>
      </c>
      <c r="G350" s="62" t="s">
        <v>1020</v>
      </c>
      <c r="H350" s="7"/>
    </row>
    <row r="351" spans="1:8" ht="16.5" customHeight="1" x14ac:dyDescent="0.15">
      <c r="A351" s="92"/>
      <c r="B351" s="54" t="s">
        <v>593</v>
      </c>
      <c r="C351" s="80"/>
      <c r="D351" s="7" t="s">
        <v>367</v>
      </c>
      <c r="G351" s="62" t="s">
        <v>1020</v>
      </c>
      <c r="H351" s="7"/>
    </row>
    <row r="352" spans="1:8" ht="16.5" customHeight="1" x14ac:dyDescent="0.15">
      <c r="A352" s="92"/>
      <c r="B352" s="54" t="s">
        <v>594</v>
      </c>
      <c r="C352" s="80"/>
      <c r="D352" s="7" t="s">
        <v>369</v>
      </c>
      <c r="G352" s="62" t="s">
        <v>1020</v>
      </c>
      <c r="H352" s="7"/>
    </row>
    <row r="353" spans="1:8" ht="16.5" customHeight="1" x14ac:dyDescent="0.15">
      <c r="A353" s="92"/>
      <c r="B353" s="54" t="s">
        <v>595</v>
      </c>
      <c r="C353" s="80"/>
      <c r="D353" s="7" t="s">
        <v>368</v>
      </c>
      <c r="G353" s="62" t="s">
        <v>1020</v>
      </c>
      <c r="H353" s="7"/>
    </row>
    <row r="354" spans="1:8" ht="16.5" customHeight="1" x14ac:dyDescent="0.15">
      <c r="A354" s="92"/>
      <c r="B354" s="54" t="s">
        <v>596</v>
      </c>
      <c r="C354" s="80"/>
      <c r="D354" s="7" t="s">
        <v>370</v>
      </c>
      <c r="G354" s="62" t="s">
        <v>1020</v>
      </c>
      <c r="H354" s="7"/>
    </row>
    <row r="355" spans="1:8" ht="16.5" customHeight="1" x14ac:dyDescent="0.15">
      <c r="A355" s="92"/>
      <c r="B355" s="54" t="s">
        <v>597</v>
      </c>
      <c r="C355" s="80" t="s">
        <v>287</v>
      </c>
      <c r="D355" s="7" t="s">
        <v>378</v>
      </c>
      <c r="G355" s="62" t="s">
        <v>1020</v>
      </c>
      <c r="H355" s="7"/>
    </row>
    <row r="356" spans="1:8" ht="16.5" customHeight="1" x14ac:dyDescent="0.15">
      <c r="A356" s="92"/>
      <c r="B356" s="54" t="s">
        <v>598</v>
      </c>
      <c r="C356" s="80"/>
      <c r="D356" s="7" t="s">
        <v>379</v>
      </c>
      <c r="G356" s="62" t="s">
        <v>1020</v>
      </c>
      <c r="H356" s="7"/>
    </row>
    <row r="357" spans="1:8" ht="16.5" customHeight="1" x14ac:dyDescent="0.15">
      <c r="A357" s="92"/>
      <c r="B357" s="54" t="s">
        <v>599</v>
      </c>
      <c r="C357" s="80"/>
      <c r="D357" s="7" t="s">
        <v>258</v>
      </c>
      <c r="G357" s="62" t="s">
        <v>1020</v>
      </c>
      <c r="H357" s="7"/>
    </row>
    <row r="358" spans="1:8" ht="16.5" customHeight="1" x14ac:dyDescent="0.15">
      <c r="A358" s="92"/>
      <c r="B358" s="54" t="s">
        <v>600</v>
      </c>
      <c r="C358" s="80"/>
      <c r="D358" s="1" t="s">
        <v>342</v>
      </c>
      <c r="G358" s="62" t="s">
        <v>1020</v>
      </c>
      <c r="H358" s="7"/>
    </row>
    <row r="359" spans="1:8" ht="16.5" customHeight="1" x14ac:dyDescent="0.15">
      <c r="A359" s="92"/>
      <c r="B359" s="54" t="s">
        <v>601</v>
      </c>
      <c r="C359" s="80"/>
      <c r="D359" s="7" t="s">
        <v>353</v>
      </c>
      <c r="G359" s="62" t="s">
        <v>1020</v>
      </c>
      <c r="H359" s="7"/>
    </row>
    <row r="360" spans="1:8" ht="16.5" customHeight="1" x14ac:dyDescent="0.15">
      <c r="A360" s="92"/>
      <c r="B360" s="54" t="s">
        <v>602</v>
      </c>
      <c r="C360" s="80"/>
      <c r="D360" s="7" t="s">
        <v>355</v>
      </c>
      <c r="G360" s="62" t="s">
        <v>1020</v>
      </c>
      <c r="H360" s="7"/>
    </row>
    <row r="361" spans="1:8" ht="16.5" customHeight="1" x14ac:dyDescent="0.15">
      <c r="A361" s="92"/>
      <c r="B361" s="54" t="s">
        <v>603</v>
      </c>
      <c r="C361" s="80"/>
      <c r="D361" s="7" t="s">
        <v>354</v>
      </c>
      <c r="G361" s="62" t="s">
        <v>1020</v>
      </c>
      <c r="H361" s="7"/>
    </row>
    <row r="362" spans="1:8" ht="16.5" customHeight="1" x14ac:dyDescent="0.15">
      <c r="A362" s="92"/>
      <c r="B362" s="54" t="s">
        <v>604</v>
      </c>
      <c r="C362" s="80"/>
      <c r="D362" s="7" t="s">
        <v>356</v>
      </c>
      <c r="G362" s="62" t="s">
        <v>1020</v>
      </c>
      <c r="H362" s="7"/>
    </row>
    <row r="363" spans="1:8" ht="16.5" customHeight="1" x14ac:dyDescent="0.15">
      <c r="A363" s="92"/>
      <c r="B363" s="54" t="s">
        <v>605</v>
      </c>
      <c r="C363" s="80" t="s">
        <v>288</v>
      </c>
      <c r="D363" s="7" t="s">
        <v>380</v>
      </c>
      <c r="G363" s="62" t="s">
        <v>1020</v>
      </c>
      <c r="H363" s="7"/>
    </row>
    <row r="364" spans="1:8" ht="16.5" customHeight="1" x14ac:dyDescent="0.15">
      <c r="A364" s="92"/>
      <c r="B364" s="54" t="s">
        <v>606</v>
      </c>
      <c r="C364" s="80"/>
      <c r="D364" s="7" t="s">
        <v>381</v>
      </c>
      <c r="G364" s="62" t="s">
        <v>1020</v>
      </c>
      <c r="H364" s="7"/>
    </row>
    <row r="365" spans="1:8" ht="16.5" customHeight="1" x14ac:dyDescent="0.15">
      <c r="A365" s="92"/>
      <c r="B365" s="54" t="s">
        <v>607</v>
      </c>
      <c r="C365" s="80"/>
      <c r="D365" s="7" t="s">
        <v>258</v>
      </c>
      <c r="G365" s="62" t="s">
        <v>1020</v>
      </c>
      <c r="H365" s="7"/>
    </row>
    <row r="366" spans="1:8" ht="16.5" customHeight="1" x14ac:dyDescent="0.15">
      <c r="A366" s="92"/>
      <c r="B366" s="54" t="s">
        <v>608</v>
      </c>
      <c r="C366" s="80"/>
      <c r="D366" s="1" t="s">
        <v>342</v>
      </c>
      <c r="G366" s="62" t="s">
        <v>1020</v>
      </c>
      <c r="H366" s="7"/>
    </row>
    <row r="367" spans="1:8" ht="16.5" customHeight="1" x14ac:dyDescent="0.15">
      <c r="A367" s="92"/>
      <c r="B367" s="54" t="s">
        <v>609</v>
      </c>
      <c r="C367" s="80"/>
      <c r="D367" s="7" t="s">
        <v>351</v>
      </c>
      <c r="G367" s="62" t="s">
        <v>1020</v>
      </c>
      <c r="H367" s="7"/>
    </row>
    <row r="368" spans="1:8" ht="16.5" customHeight="1" x14ac:dyDescent="0.15">
      <c r="A368" s="92"/>
      <c r="B368" s="54" t="s">
        <v>610</v>
      </c>
      <c r="C368" s="80"/>
      <c r="D368" s="7" t="s">
        <v>357</v>
      </c>
      <c r="G368" s="62" t="s">
        <v>1020</v>
      </c>
      <c r="H368" s="7"/>
    </row>
    <row r="369" spans="1:8" ht="16.5" customHeight="1" x14ac:dyDescent="0.15">
      <c r="A369" s="92"/>
      <c r="B369" s="54" t="s">
        <v>611</v>
      </c>
      <c r="C369" s="80"/>
      <c r="D369" s="7" t="s">
        <v>352</v>
      </c>
      <c r="G369" s="62" t="s">
        <v>1020</v>
      </c>
      <c r="H369" s="7"/>
    </row>
    <row r="370" spans="1:8" ht="16.5" customHeight="1" x14ac:dyDescent="0.15">
      <c r="A370" s="92"/>
      <c r="B370" s="54" t="s">
        <v>807</v>
      </c>
      <c r="C370" s="80"/>
      <c r="D370" s="7" t="s">
        <v>358</v>
      </c>
      <c r="G370" s="62" t="s">
        <v>1020</v>
      </c>
      <c r="H370" s="7"/>
    </row>
    <row r="371" spans="1:8" ht="16.5" customHeight="1" x14ac:dyDescent="0.15">
      <c r="A371" s="92"/>
      <c r="B371" s="54" t="s">
        <v>612</v>
      </c>
      <c r="C371" s="80" t="s">
        <v>289</v>
      </c>
      <c r="D371" s="7" t="s">
        <v>382</v>
      </c>
      <c r="G371" s="62" t="s">
        <v>1020</v>
      </c>
      <c r="H371" s="7"/>
    </row>
    <row r="372" spans="1:8" ht="16.5" customHeight="1" x14ac:dyDescent="0.15">
      <c r="A372" s="92"/>
      <c r="B372" s="54" t="s">
        <v>613</v>
      </c>
      <c r="C372" s="80"/>
      <c r="D372" s="7" t="s">
        <v>383</v>
      </c>
      <c r="G372" s="62" t="s">
        <v>1020</v>
      </c>
      <c r="H372" s="7"/>
    </row>
    <row r="373" spans="1:8" ht="16.5" customHeight="1" x14ac:dyDescent="0.15">
      <c r="A373" s="92"/>
      <c r="B373" s="54" t="s">
        <v>614</v>
      </c>
      <c r="C373" s="80"/>
      <c r="D373" s="7" t="s">
        <v>258</v>
      </c>
      <c r="G373" s="62" t="s">
        <v>1020</v>
      </c>
      <c r="H373" s="7"/>
    </row>
    <row r="374" spans="1:8" ht="16.5" customHeight="1" x14ac:dyDescent="0.15">
      <c r="A374" s="92"/>
      <c r="B374" s="54" t="s">
        <v>615</v>
      </c>
      <c r="C374" s="80"/>
      <c r="D374" s="1" t="s">
        <v>342</v>
      </c>
      <c r="G374" s="62" t="s">
        <v>1020</v>
      </c>
      <c r="H374" s="7"/>
    </row>
    <row r="375" spans="1:8" ht="16.5" customHeight="1" x14ac:dyDescent="0.15">
      <c r="A375" s="92"/>
      <c r="B375" s="54" t="s">
        <v>616</v>
      </c>
      <c r="C375" s="80"/>
      <c r="D375" s="7" t="s">
        <v>349</v>
      </c>
      <c r="G375" s="62" t="s">
        <v>1020</v>
      </c>
      <c r="H375" s="7"/>
    </row>
    <row r="376" spans="1:8" ht="16.5" customHeight="1" x14ac:dyDescent="0.15">
      <c r="A376" s="92"/>
      <c r="B376" s="54" t="s">
        <v>617</v>
      </c>
      <c r="C376" s="80"/>
      <c r="D376" s="7" t="s">
        <v>359</v>
      </c>
      <c r="G376" s="62" t="s">
        <v>1020</v>
      </c>
      <c r="H376" s="7"/>
    </row>
    <row r="377" spans="1:8" ht="16.5" customHeight="1" x14ac:dyDescent="0.15">
      <c r="A377" s="92"/>
      <c r="B377" s="54" t="s">
        <v>618</v>
      </c>
      <c r="C377" s="80"/>
      <c r="D377" s="7" t="s">
        <v>350</v>
      </c>
      <c r="G377" s="62" t="s">
        <v>1020</v>
      </c>
      <c r="H377" s="7"/>
    </row>
    <row r="378" spans="1:8" ht="16.5" customHeight="1" x14ac:dyDescent="0.15">
      <c r="A378" s="92"/>
      <c r="B378" s="54" t="s">
        <v>619</v>
      </c>
      <c r="C378" s="80"/>
      <c r="D378" s="7" t="s">
        <v>360</v>
      </c>
      <c r="G378" s="62" t="s">
        <v>1020</v>
      </c>
      <c r="H378" s="7"/>
    </row>
    <row r="379" spans="1:8" ht="16.5" customHeight="1" x14ac:dyDescent="0.15">
      <c r="A379" s="92"/>
      <c r="B379" s="54" t="s">
        <v>620</v>
      </c>
      <c r="C379" s="80" t="s">
        <v>290</v>
      </c>
      <c r="D379" s="7" t="s">
        <v>384</v>
      </c>
      <c r="G379" s="62" t="s">
        <v>1020</v>
      </c>
      <c r="H379" s="7"/>
    </row>
    <row r="380" spans="1:8" ht="16.5" customHeight="1" x14ac:dyDescent="0.15">
      <c r="A380" s="92"/>
      <c r="B380" s="54" t="s">
        <v>621</v>
      </c>
      <c r="C380" s="80"/>
      <c r="D380" s="7" t="s">
        <v>385</v>
      </c>
      <c r="G380" s="62" t="s">
        <v>1020</v>
      </c>
      <c r="H380" s="7"/>
    </row>
    <row r="381" spans="1:8" ht="16.5" customHeight="1" x14ac:dyDescent="0.15">
      <c r="A381" s="92"/>
      <c r="B381" s="54" t="s">
        <v>622</v>
      </c>
      <c r="C381" s="80"/>
      <c r="D381" s="7" t="s">
        <v>371</v>
      </c>
      <c r="G381" s="62" t="s">
        <v>1020</v>
      </c>
      <c r="H381" s="7"/>
    </row>
    <row r="382" spans="1:8" ht="16.5" customHeight="1" x14ac:dyDescent="0.15">
      <c r="A382" s="92"/>
      <c r="B382" s="54" t="s">
        <v>623</v>
      </c>
      <c r="C382" s="80"/>
      <c r="D382" s="7" t="s">
        <v>258</v>
      </c>
      <c r="G382" s="62" t="s">
        <v>1020</v>
      </c>
      <c r="H382" s="7"/>
    </row>
    <row r="383" spans="1:8" ht="16.5" customHeight="1" x14ac:dyDescent="0.15">
      <c r="A383" s="92"/>
      <c r="B383" s="54" t="s">
        <v>624</v>
      </c>
      <c r="C383" s="80"/>
      <c r="D383" s="1" t="s">
        <v>342</v>
      </c>
      <c r="G383" s="62" t="s">
        <v>1020</v>
      </c>
      <c r="H383" s="7"/>
    </row>
    <row r="384" spans="1:8" ht="16.5" customHeight="1" x14ac:dyDescent="0.15">
      <c r="A384" s="92"/>
      <c r="B384" s="54" t="s">
        <v>625</v>
      </c>
      <c r="C384" s="80"/>
      <c r="D384" s="7" t="s">
        <v>347</v>
      </c>
      <c r="G384" s="62" t="s">
        <v>1020</v>
      </c>
      <c r="H384" s="7"/>
    </row>
    <row r="385" spans="1:8" ht="16.5" customHeight="1" x14ac:dyDescent="0.15">
      <c r="A385" s="92"/>
      <c r="B385" s="54" t="s">
        <v>626</v>
      </c>
      <c r="C385" s="80"/>
      <c r="D385" s="7" t="s">
        <v>361</v>
      </c>
      <c r="G385" s="62" t="s">
        <v>1020</v>
      </c>
      <c r="H385" s="7"/>
    </row>
    <row r="386" spans="1:8" ht="16.5" customHeight="1" x14ac:dyDescent="0.15">
      <c r="A386" s="92"/>
      <c r="B386" s="54" t="s">
        <v>627</v>
      </c>
      <c r="C386" s="80"/>
      <c r="D386" s="7" t="s">
        <v>348</v>
      </c>
      <c r="G386" s="62" t="s">
        <v>1020</v>
      </c>
      <c r="H386" s="7"/>
    </row>
    <row r="387" spans="1:8" ht="16.5" customHeight="1" x14ac:dyDescent="0.15">
      <c r="A387" s="92"/>
      <c r="B387" s="54" t="s">
        <v>628</v>
      </c>
      <c r="C387" s="80"/>
      <c r="D387" s="7" t="s">
        <v>362</v>
      </c>
      <c r="G387" s="62" t="s">
        <v>1020</v>
      </c>
      <c r="H387" s="7"/>
    </row>
    <row r="388" spans="1:8" ht="16.5" customHeight="1" x14ac:dyDescent="0.15">
      <c r="A388" s="73" t="s">
        <v>1036</v>
      </c>
      <c r="B388" s="56" t="s">
        <v>630</v>
      </c>
      <c r="C388" s="81" t="s">
        <v>1054</v>
      </c>
      <c r="D388" s="7" t="s">
        <v>1046</v>
      </c>
      <c r="G388" s="62" t="s">
        <v>1020</v>
      </c>
      <c r="H388" s="7"/>
    </row>
    <row r="389" spans="1:8" ht="16.5" customHeight="1" x14ac:dyDescent="0.15">
      <c r="A389" s="74"/>
      <c r="B389" s="56" t="s">
        <v>631</v>
      </c>
      <c r="C389" s="82"/>
      <c r="D389" s="7" t="s">
        <v>1047</v>
      </c>
      <c r="G389" s="62" t="s">
        <v>1020</v>
      </c>
      <c r="H389" s="7"/>
    </row>
    <row r="390" spans="1:8" ht="16.5" customHeight="1" x14ac:dyDescent="0.15">
      <c r="A390" s="74"/>
      <c r="B390" s="56" t="s">
        <v>632</v>
      </c>
      <c r="C390" s="80" t="s">
        <v>1053</v>
      </c>
      <c r="D390" s="7" t="s">
        <v>1046</v>
      </c>
      <c r="G390" s="62" t="s">
        <v>1020</v>
      </c>
      <c r="H390" s="7"/>
    </row>
    <row r="391" spans="1:8" ht="16.5" customHeight="1" x14ac:dyDescent="0.15">
      <c r="A391" s="74"/>
      <c r="B391" s="56" t="s">
        <v>633</v>
      </c>
      <c r="C391" s="80"/>
      <c r="D391" s="7" t="s">
        <v>1051</v>
      </c>
      <c r="G391" s="62" t="s">
        <v>1020</v>
      </c>
      <c r="H391" s="7"/>
    </row>
    <row r="392" spans="1:8" ht="16.5" customHeight="1" x14ac:dyDescent="0.15">
      <c r="A392" s="74"/>
      <c r="B392" s="56" t="s">
        <v>634</v>
      </c>
      <c r="C392" s="80"/>
      <c r="D392" s="7" t="s">
        <v>1047</v>
      </c>
      <c r="G392" s="62" t="s">
        <v>1020</v>
      </c>
      <c r="H392" s="7"/>
    </row>
    <row r="393" spans="1:8" ht="16.5" customHeight="1" x14ac:dyDescent="0.15">
      <c r="A393" s="74"/>
      <c r="B393" s="56" t="s">
        <v>635</v>
      </c>
      <c r="C393" s="80" t="s">
        <v>1037</v>
      </c>
      <c r="D393" s="7" t="s">
        <v>1038</v>
      </c>
      <c r="G393" s="62" t="s">
        <v>1020</v>
      </c>
      <c r="H393" s="7"/>
    </row>
    <row r="394" spans="1:8" ht="16.5" customHeight="1" x14ac:dyDescent="0.15">
      <c r="A394" s="74"/>
      <c r="B394" s="56" t="s">
        <v>636</v>
      </c>
      <c r="C394" s="80"/>
      <c r="D394" s="7" t="s">
        <v>1039</v>
      </c>
      <c r="G394" s="62" t="s">
        <v>1020</v>
      </c>
      <c r="H394" s="7"/>
    </row>
    <row r="395" spans="1:8" ht="16.5" customHeight="1" x14ac:dyDescent="0.15">
      <c r="A395" s="74"/>
      <c r="B395" s="56" t="s">
        <v>637</v>
      </c>
      <c r="C395" s="80"/>
      <c r="D395" s="7" t="s">
        <v>1040</v>
      </c>
      <c r="G395" s="62" t="s">
        <v>1020</v>
      </c>
      <c r="H395" s="7"/>
    </row>
    <row r="396" spans="1:8" ht="16.5" customHeight="1" x14ac:dyDescent="0.15">
      <c r="A396" s="74"/>
      <c r="B396" s="56" t="s">
        <v>638</v>
      </c>
      <c r="C396" s="80" t="s">
        <v>1042</v>
      </c>
      <c r="D396" s="7" t="s">
        <v>1043</v>
      </c>
      <c r="G396" s="62" t="s">
        <v>1020</v>
      </c>
      <c r="H396" s="7"/>
    </row>
    <row r="397" spans="1:8" ht="16.5" customHeight="1" x14ac:dyDescent="0.15">
      <c r="A397" s="74"/>
      <c r="B397" s="56" t="s">
        <v>639</v>
      </c>
      <c r="C397" s="80"/>
      <c r="D397" s="7" t="s">
        <v>1044</v>
      </c>
      <c r="G397" s="62" t="s">
        <v>1020</v>
      </c>
      <c r="H397" s="7"/>
    </row>
    <row r="398" spans="1:8" ht="16.5" customHeight="1" x14ac:dyDescent="0.15">
      <c r="A398" s="74"/>
      <c r="B398" s="56" t="s">
        <v>808</v>
      </c>
      <c r="C398" s="80"/>
      <c r="D398" s="7" t="s">
        <v>1045</v>
      </c>
      <c r="G398" s="62" t="s">
        <v>1020</v>
      </c>
      <c r="H398" s="7"/>
    </row>
    <row r="399" spans="1:8" ht="16.5" customHeight="1" x14ac:dyDescent="0.15">
      <c r="A399" s="74"/>
      <c r="B399" s="56" t="s">
        <v>640</v>
      </c>
      <c r="C399" s="80" t="s">
        <v>1041</v>
      </c>
      <c r="D399" s="7" t="s">
        <v>1043</v>
      </c>
      <c r="G399" s="62" t="s">
        <v>1020</v>
      </c>
      <c r="H399" s="7"/>
    </row>
    <row r="400" spans="1:8" ht="16.5" customHeight="1" x14ac:dyDescent="0.15">
      <c r="A400" s="74"/>
      <c r="B400" s="56" t="s">
        <v>641</v>
      </c>
      <c r="C400" s="80"/>
      <c r="D400" s="7" t="s">
        <v>1046</v>
      </c>
      <c r="G400" s="62" t="s">
        <v>1020</v>
      </c>
      <c r="H400" s="7"/>
    </row>
    <row r="401" spans="1:10" ht="16.5" customHeight="1" x14ac:dyDescent="0.15">
      <c r="A401" s="74"/>
      <c r="B401" s="56" t="s">
        <v>642</v>
      </c>
      <c r="C401" s="80"/>
      <c r="D401" s="7" t="s">
        <v>1047</v>
      </c>
      <c r="G401" s="63" t="s">
        <v>21</v>
      </c>
      <c r="H401" s="7"/>
      <c r="I401" s="70"/>
      <c r="J401" s="71" t="s">
        <v>1048</v>
      </c>
    </row>
    <row r="402" spans="1:10" ht="16.5" customHeight="1" x14ac:dyDescent="0.15">
      <c r="A402" s="74"/>
      <c r="B402" s="56" t="s">
        <v>643</v>
      </c>
      <c r="C402" s="80" t="s">
        <v>1049</v>
      </c>
      <c r="D402" s="7" t="s">
        <v>1038</v>
      </c>
      <c r="G402" s="62" t="s">
        <v>1020</v>
      </c>
      <c r="H402" s="7"/>
    </row>
    <row r="403" spans="1:10" ht="16.5" customHeight="1" x14ac:dyDescent="0.15">
      <c r="A403" s="74"/>
      <c r="B403" s="56" t="s">
        <v>644</v>
      </c>
      <c r="C403" s="80"/>
      <c r="D403" s="7" t="s">
        <v>1050</v>
      </c>
      <c r="G403" s="62" t="s">
        <v>1020</v>
      </c>
      <c r="H403" s="7"/>
    </row>
    <row r="404" spans="1:10" ht="16.5" customHeight="1" x14ac:dyDescent="0.15">
      <c r="A404" s="74"/>
      <c r="B404" s="56" t="s">
        <v>645</v>
      </c>
      <c r="C404" s="80"/>
      <c r="D404" s="7" t="s">
        <v>1040</v>
      </c>
      <c r="G404" s="62" t="s">
        <v>1020</v>
      </c>
      <c r="H404" s="7"/>
    </row>
    <row r="405" spans="1:10" ht="16.5" customHeight="1" x14ac:dyDescent="0.15">
      <c r="A405" s="74"/>
      <c r="B405" s="56" t="s">
        <v>646</v>
      </c>
      <c r="C405" s="80" t="s">
        <v>1042</v>
      </c>
      <c r="D405" s="7" t="s">
        <v>1043</v>
      </c>
      <c r="G405" s="62" t="s">
        <v>1020</v>
      </c>
      <c r="H405" s="7"/>
    </row>
    <row r="406" spans="1:10" ht="16.5" customHeight="1" x14ac:dyDescent="0.15">
      <c r="A406" s="74"/>
      <c r="B406" s="56" t="s">
        <v>647</v>
      </c>
      <c r="C406" s="80"/>
      <c r="D406" s="7" t="s">
        <v>1044</v>
      </c>
      <c r="G406" s="62" t="s">
        <v>1020</v>
      </c>
      <c r="H406" s="7"/>
    </row>
    <row r="407" spans="1:10" ht="16.5" customHeight="1" x14ac:dyDescent="0.15">
      <c r="A407" s="74"/>
      <c r="B407" s="56" t="s">
        <v>648</v>
      </c>
      <c r="C407" s="80"/>
      <c r="D407" s="7" t="s">
        <v>1045</v>
      </c>
      <c r="G407" s="62" t="s">
        <v>1020</v>
      </c>
      <c r="H407" s="7"/>
    </row>
    <row r="408" spans="1:10" ht="16.5" customHeight="1" x14ac:dyDescent="0.15">
      <c r="A408" s="74"/>
      <c r="B408" s="56" t="s">
        <v>809</v>
      </c>
      <c r="C408" s="80" t="s">
        <v>1041</v>
      </c>
      <c r="D408" s="7" t="s">
        <v>1043</v>
      </c>
      <c r="G408" s="62" t="s">
        <v>1020</v>
      </c>
      <c r="H408" s="7"/>
    </row>
    <row r="409" spans="1:10" ht="16.5" customHeight="1" x14ac:dyDescent="0.15">
      <c r="A409" s="74"/>
      <c r="B409" s="56" t="s">
        <v>649</v>
      </c>
      <c r="C409" s="80"/>
      <c r="D409" s="7" t="s">
        <v>1046</v>
      </c>
      <c r="G409" s="62" t="s">
        <v>1020</v>
      </c>
      <c r="H409" s="7"/>
    </row>
    <row r="410" spans="1:10" ht="16.5" customHeight="1" x14ac:dyDescent="0.15">
      <c r="A410" s="74"/>
      <c r="B410" s="56" t="s">
        <v>650</v>
      </c>
      <c r="C410" s="80"/>
      <c r="D410" s="7" t="s">
        <v>1051</v>
      </c>
      <c r="G410" s="62" t="s">
        <v>1020</v>
      </c>
      <c r="H410" s="7"/>
    </row>
    <row r="411" spans="1:10" ht="16.5" customHeight="1" x14ac:dyDescent="0.15">
      <c r="A411" s="93"/>
      <c r="B411" s="56" t="s">
        <v>651</v>
      </c>
      <c r="C411" s="80"/>
      <c r="D411" s="7" t="s">
        <v>1052</v>
      </c>
      <c r="G411" s="62" t="s">
        <v>1020</v>
      </c>
      <c r="H411" s="7"/>
    </row>
    <row r="412" spans="1:10" ht="16.5" customHeight="1" x14ac:dyDescent="0.15">
      <c r="A412" s="73" t="s">
        <v>167</v>
      </c>
      <c r="B412" s="60" t="s">
        <v>652</v>
      </c>
      <c r="C412" s="81" t="s">
        <v>1118</v>
      </c>
      <c r="D412" s="7" t="s">
        <v>1122</v>
      </c>
      <c r="G412" s="62" t="s">
        <v>1020</v>
      </c>
      <c r="H412" s="7"/>
    </row>
    <row r="413" spans="1:10" ht="16.5" customHeight="1" x14ac:dyDescent="0.15">
      <c r="A413" s="74"/>
      <c r="B413" s="60" t="s">
        <v>653</v>
      </c>
      <c r="C413" s="82"/>
      <c r="D413" s="7" t="s">
        <v>1121</v>
      </c>
      <c r="G413" s="62" t="s">
        <v>1125</v>
      </c>
      <c r="H413" s="7"/>
    </row>
    <row r="414" spans="1:10" ht="16.5" customHeight="1" x14ac:dyDescent="0.15">
      <c r="A414" s="74"/>
      <c r="B414" s="60" t="s">
        <v>654</v>
      </c>
      <c r="C414" s="86"/>
      <c r="D414" s="7" t="s">
        <v>1124</v>
      </c>
      <c r="G414" s="62" t="s">
        <v>1125</v>
      </c>
      <c r="H414" s="7"/>
    </row>
    <row r="415" spans="1:10" ht="16.5" customHeight="1" x14ac:dyDescent="0.15">
      <c r="A415" s="74"/>
      <c r="B415" s="60" t="s">
        <v>655</v>
      </c>
      <c r="C415" s="81" t="s">
        <v>1119</v>
      </c>
      <c r="D415" s="7" t="s">
        <v>1120</v>
      </c>
      <c r="G415" s="62" t="s">
        <v>1125</v>
      </c>
      <c r="H415" s="7"/>
    </row>
    <row r="416" spans="1:10" ht="16.5" customHeight="1" x14ac:dyDescent="0.15">
      <c r="A416" s="74"/>
      <c r="B416" s="60" t="s">
        <v>656</v>
      </c>
      <c r="C416" s="82"/>
      <c r="D416" s="7" t="s">
        <v>1123</v>
      </c>
      <c r="G416" s="62" t="s">
        <v>1125</v>
      </c>
      <c r="H416" s="7"/>
    </row>
    <row r="417" spans="1:220" ht="16.5" customHeight="1" x14ac:dyDescent="0.15">
      <c r="A417" s="74"/>
      <c r="B417" s="60" t="s">
        <v>810</v>
      </c>
      <c r="C417" s="86"/>
      <c r="D417" s="7" t="s">
        <v>1124</v>
      </c>
      <c r="G417" s="62" t="s">
        <v>1125</v>
      </c>
      <c r="H417" s="7"/>
    </row>
    <row r="418" spans="1:220" ht="27" customHeight="1" x14ac:dyDescent="0.15">
      <c r="A418" s="73" t="s">
        <v>169</v>
      </c>
      <c r="B418" s="60" t="s">
        <v>811</v>
      </c>
      <c r="C418" s="81" t="s">
        <v>500</v>
      </c>
      <c r="D418" s="7" t="s">
        <v>502</v>
      </c>
      <c r="G418" s="62" t="s">
        <v>1125</v>
      </c>
      <c r="H418" s="7"/>
    </row>
    <row r="419" spans="1:220" ht="23.25" customHeight="1" x14ac:dyDescent="0.15">
      <c r="A419" s="74"/>
      <c r="B419" s="60" t="s">
        <v>812</v>
      </c>
      <c r="C419" s="86"/>
      <c r="D419" s="7" t="s">
        <v>501</v>
      </c>
      <c r="G419" s="62" t="s">
        <v>1125</v>
      </c>
      <c r="H419" s="7"/>
    </row>
    <row r="420" spans="1:220" s="51" customFormat="1" ht="16.899999999999999" customHeight="1" x14ac:dyDescent="0.15">
      <c r="A420" s="74"/>
      <c r="B420" s="60" t="s">
        <v>813</v>
      </c>
      <c r="C420" s="81" t="s">
        <v>497</v>
      </c>
      <c r="D420" s="51" t="s">
        <v>395</v>
      </c>
      <c r="G420" s="62" t="s">
        <v>1125</v>
      </c>
      <c r="J420" s="1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  <c r="AY420" s="52"/>
      <c r="AZ420" s="52"/>
      <c r="BA420" s="52"/>
      <c r="BB420" s="52"/>
      <c r="BC420" s="52"/>
      <c r="BD420" s="52"/>
      <c r="BE420" s="52"/>
      <c r="BF420" s="52"/>
      <c r="BG420" s="52"/>
      <c r="BH420" s="52"/>
      <c r="BI420" s="52"/>
      <c r="BJ420" s="52"/>
      <c r="BK420" s="52"/>
      <c r="BL420" s="52"/>
      <c r="BM420" s="52"/>
      <c r="BN420" s="52"/>
      <c r="BO420" s="52"/>
      <c r="BP420" s="52"/>
      <c r="BQ420" s="52"/>
      <c r="BR420" s="52"/>
      <c r="BS420" s="52"/>
      <c r="BT420" s="52"/>
      <c r="BU420" s="52"/>
      <c r="BV420" s="52"/>
      <c r="BW420" s="52"/>
      <c r="BX420" s="52"/>
      <c r="BY420" s="52"/>
      <c r="BZ420" s="52"/>
      <c r="CA420" s="52"/>
      <c r="CB420" s="52"/>
      <c r="CC420" s="52"/>
      <c r="CD420" s="52"/>
      <c r="CE420" s="52"/>
      <c r="CF420" s="52"/>
      <c r="CG420" s="52"/>
      <c r="CH420" s="52"/>
      <c r="CI420" s="52"/>
      <c r="CJ420" s="52"/>
      <c r="CK420" s="52"/>
      <c r="CL420" s="52"/>
      <c r="CM420" s="52"/>
      <c r="CN420" s="52"/>
      <c r="CO420" s="52"/>
      <c r="CP420" s="52"/>
      <c r="CQ420" s="52"/>
      <c r="CR420" s="52"/>
      <c r="CS420" s="52"/>
      <c r="CT420" s="52"/>
      <c r="CU420" s="52"/>
      <c r="CV420" s="52"/>
      <c r="CW420" s="52"/>
      <c r="CX420" s="52"/>
      <c r="CY420" s="52"/>
      <c r="CZ420" s="52"/>
      <c r="DA420" s="52"/>
      <c r="DB420" s="52"/>
      <c r="DC420" s="52"/>
      <c r="DD420" s="52"/>
      <c r="DE420" s="52"/>
      <c r="DF420" s="52"/>
      <c r="DG420" s="52"/>
      <c r="DH420" s="52"/>
      <c r="DI420" s="52"/>
      <c r="DJ420" s="52"/>
      <c r="DK420" s="52"/>
      <c r="DL420" s="52"/>
      <c r="DM420" s="52"/>
      <c r="DN420" s="52"/>
      <c r="DO420" s="52"/>
      <c r="DP420" s="52"/>
      <c r="DQ420" s="52"/>
      <c r="DR420" s="52"/>
      <c r="DS420" s="52"/>
      <c r="DT420" s="52"/>
      <c r="DU420" s="52"/>
      <c r="DV420" s="52"/>
      <c r="DW420" s="52"/>
      <c r="DX420" s="52"/>
      <c r="DY420" s="52"/>
      <c r="DZ420" s="52"/>
      <c r="EA420" s="52"/>
      <c r="EB420" s="52"/>
      <c r="EC420" s="52"/>
      <c r="ED420" s="52"/>
      <c r="EE420" s="52"/>
      <c r="EF420" s="52"/>
      <c r="EG420" s="52"/>
      <c r="EH420" s="52"/>
      <c r="EI420" s="52"/>
      <c r="EJ420" s="52"/>
      <c r="EK420" s="52"/>
      <c r="EL420" s="52"/>
      <c r="EM420" s="52"/>
      <c r="EN420" s="52"/>
      <c r="EO420" s="52"/>
      <c r="EP420" s="52"/>
      <c r="EQ420" s="52"/>
      <c r="ER420" s="52"/>
      <c r="ES420" s="52"/>
      <c r="ET420" s="52"/>
      <c r="EU420" s="52"/>
      <c r="EV420" s="52"/>
      <c r="EW420" s="52"/>
      <c r="EX420" s="52"/>
      <c r="EY420" s="52"/>
      <c r="EZ420" s="52"/>
      <c r="FA420" s="52"/>
      <c r="FB420" s="52"/>
      <c r="FC420" s="52"/>
      <c r="FD420" s="52"/>
      <c r="FE420" s="52"/>
      <c r="FF420" s="52"/>
      <c r="FG420" s="52"/>
      <c r="FH420" s="52"/>
      <c r="FI420" s="52"/>
      <c r="FJ420" s="52"/>
      <c r="FK420" s="52"/>
      <c r="FL420" s="52"/>
      <c r="FM420" s="52"/>
      <c r="FN420" s="52"/>
      <c r="FO420" s="52"/>
      <c r="FP420" s="52"/>
      <c r="FQ420" s="52"/>
      <c r="FR420" s="52"/>
      <c r="FS420" s="52"/>
      <c r="FT420" s="52"/>
      <c r="FU420" s="52"/>
      <c r="FV420" s="52"/>
      <c r="FW420" s="52"/>
      <c r="FX420" s="52"/>
      <c r="FY420" s="52"/>
      <c r="FZ420" s="52"/>
      <c r="GA420" s="52"/>
      <c r="GB420" s="52"/>
      <c r="GC420" s="52"/>
      <c r="GD420" s="52"/>
      <c r="GE420" s="52"/>
      <c r="GF420" s="52"/>
      <c r="GG420" s="52"/>
      <c r="GH420" s="52"/>
      <c r="GI420" s="52"/>
      <c r="GJ420" s="52"/>
      <c r="GK420" s="52"/>
      <c r="GL420" s="52"/>
      <c r="GM420" s="52"/>
      <c r="GN420" s="52"/>
      <c r="GO420" s="52"/>
      <c r="GP420" s="52"/>
      <c r="GQ420" s="52"/>
      <c r="GR420" s="52"/>
      <c r="GS420" s="52"/>
      <c r="GT420" s="52"/>
      <c r="GU420" s="52"/>
      <c r="GV420" s="52"/>
      <c r="GW420" s="52"/>
      <c r="GX420" s="52"/>
      <c r="GY420" s="52"/>
      <c r="GZ420" s="52"/>
      <c r="HA420" s="52"/>
      <c r="HB420" s="52"/>
      <c r="HC420" s="52"/>
      <c r="HD420" s="52"/>
      <c r="HE420" s="52"/>
      <c r="HF420" s="52"/>
      <c r="HG420" s="52"/>
      <c r="HH420" s="52"/>
      <c r="HI420" s="52"/>
      <c r="HJ420" s="52"/>
      <c r="HK420" s="52"/>
      <c r="HL420" s="52"/>
    </row>
    <row r="421" spans="1:220" s="51" customFormat="1" ht="16.899999999999999" customHeight="1" x14ac:dyDescent="0.15">
      <c r="A421" s="74"/>
      <c r="B421" s="60" t="s">
        <v>814</v>
      </c>
      <c r="C421" s="82"/>
      <c r="D421" s="51" t="s">
        <v>494</v>
      </c>
      <c r="G421" s="62" t="s">
        <v>1125</v>
      </c>
      <c r="J421" s="1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  <c r="AU421" s="52"/>
      <c r="AV421" s="52"/>
      <c r="AW421" s="52"/>
      <c r="AX421" s="52"/>
      <c r="AY421" s="52"/>
      <c r="AZ421" s="52"/>
      <c r="BA421" s="52"/>
      <c r="BB421" s="52"/>
      <c r="BC421" s="52"/>
      <c r="BD421" s="52"/>
      <c r="BE421" s="52"/>
      <c r="BF421" s="52"/>
      <c r="BG421" s="52"/>
      <c r="BH421" s="52"/>
      <c r="BI421" s="52"/>
      <c r="BJ421" s="52"/>
      <c r="BK421" s="52"/>
      <c r="BL421" s="52"/>
      <c r="BM421" s="52"/>
      <c r="BN421" s="52"/>
      <c r="BO421" s="52"/>
      <c r="BP421" s="52"/>
      <c r="BQ421" s="52"/>
      <c r="BR421" s="52"/>
      <c r="BS421" s="52"/>
      <c r="BT421" s="52"/>
      <c r="BU421" s="52"/>
      <c r="BV421" s="52"/>
      <c r="BW421" s="52"/>
      <c r="BX421" s="52"/>
      <c r="BY421" s="52"/>
      <c r="BZ421" s="52"/>
      <c r="CA421" s="52"/>
      <c r="CB421" s="52"/>
      <c r="CC421" s="52"/>
      <c r="CD421" s="52"/>
      <c r="CE421" s="52"/>
      <c r="CF421" s="52"/>
      <c r="CG421" s="52"/>
      <c r="CH421" s="52"/>
      <c r="CI421" s="52"/>
      <c r="CJ421" s="52"/>
      <c r="CK421" s="52"/>
      <c r="CL421" s="52"/>
      <c r="CM421" s="52"/>
      <c r="CN421" s="52"/>
      <c r="CO421" s="52"/>
      <c r="CP421" s="52"/>
      <c r="CQ421" s="52"/>
      <c r="CR421" s="52"/>
      <c r="CS421" s="52"/>
      <c r="CT421" s="52"/>
      <c r="CU421" s="52"/>
      <c r="CV421" s="52"/>
      <c r="CW421" s="52"/>
      <c r="CX421" s="52"/>
      <c r="CY421" s="52"/>
      <c r="CZ421" s="52"/>
      <c r="DA421" s="52"/>
      <c r="DB421" s="52"/>
      <c r="DC421" s="52"/>
      <c r="DD421" s="52"/>
      <c r="DE421" s="52"/>
      <c r="DF421" s="52"/>
      <c r="DG421" s="52"/>
      <c r="DH421" s="52"/>
      <c r="DI421" s="52"/>
      <c r="DJ421" s="52"/>
      <c r="DK421" s="52"/>
      <c r="DL421" s="52"/>
      <c r="DM421" s="52"/>
      <c r="DN421" s="52"/>
      <c r="DO421" s="52"/>
      <c r="DP421" s="52"/>
      <c r="DQ421" s="52"/>
      <c r="DR421" s="52"/>
      <c r="DS421" s="52"/>
      <c r="DT421" s="52"/>
      <c r="DU421" s="52"/>
      <c r="DV421" s="52"/>
      <c r="DW421" s="52"/>
      <c r="DX421" s="52"/>
      <c r="DY421" s="52"/>
      <c r="DZ421" s="52"/>
      <c r="EA421" s="52"/>
      <c r="EB421" s="52"/>
      <c r="EC421" s="52"/>
      <c r="ED421" s="52"/>
      <c r="EE421" s="52"/>
      <c r="EF421" s="52"/>
      <c r="EG421" s="52"/>
      <c r="EH421" s="52"/>
      <c r="EI421" s="52"/>
      <c r="EJ421" s="52"/>
      <c r="EK421" s="52"/>
      <c r="EL421" s="52"/>
      <c r="EM421" s="52"/>
      <c r="EN421" s="52"/>
      <c r="EO421" s="52"/>
      <c r="EP421" s="52"/>
      <c r="EQ421" s="52"/>
      <c r="ER421" s="52"/>
      <c r="ES421" s="52"/>
      <c r="ET421" s="52"/>
      <c r="EU421" s="52"/>
      <c r="EV421" s="52"/>
      <c r="EW421" s="52"/>
      <c r="EX421" s="52"/>
      <c r="EY421" s="52"/>
      <c r="EZ421" s="52"/>
      <c r="FA421" s="52"/>
      <c r="FB421" s="52"/>
      <c r="FC421" s="52"/>
      <c r="FD421" s="52"/>
      <c r="FE421" s="52"/>
      <c r="FF421" s="52"/>
      <c r="FG421" s="52"/>
      <c r="FH421" s="52"/>
      <c r="FI421" s="52"/>
      <c r="FJ421" s="52"/>
      <c r="FK421" s="52"/>
      <c r="FL421" s="52"/>
      <c r="FM421" s="52"/>
      <c r="FN421" s="52"/>
      <c r="FO421" s="52"/>
      <c r="FP421" s="52"/>
      <c r="FQ421" s="52"/>
      <c r="FR421" s="52"/>
      <c r="FS421" s="52"/>
      <c r="FT421" s="52"/>
      <c r="FU421" s="52"/>
      <c r="FV421" s="52"/>
      <c r="FW421" s="52"/>
      <c r="FX421" s="52"/>
      <c r="FY421" s="52"/>
      <c r="FZ421" s="52"/>
      <c r="GA421" s="52"/>
      <c r="GB421" s="52"/>
      <c r="GC421" s="52"/>
      <c r="GD421" s="52"/>
      <c r="GE421" s="52"/>
      <c r="GF421" s="52"/>
      <c r="GG421" s="52"/>
      <c r="GH421" s="52"/>
      <c r="GI421" s="52"/>
      <c r="GJ421" s="52"/>
      <c r="GK421" s="52"/>
      <c r="GL421" s="52"/>
      <c r="GM421" s="52"/>
      <c r="GN421" s="52"/>
      <c r="GO421" s="52"/>
      <c r="GP421" s="52"/>
      <c r="GQ421" s="52"/>
      <c r="GR421" s="52"/>
      <c r="GS421" s="52"/>
      <c r="GT421" s="52"/>
      <c r="GU421" s="52"/>
      <c r="GV421" s="52"/>
      <c r="GW421" s="52"/>
      <c r="GX421" s="52"/>
      <c r="GY421" s="52"/>
      <c r="GZ421" s="52"/>
      <c r="HA421" s="52"/>
      <c r="HB421" s="52"/>
      <c r="HC421" s="52"/>
      <c r="HD421" s="52"/>
      <c r="HE421" s="52"/>
      <c r="HF421" s="52"/>
      <c r="HG421" s="52"/>
      <c r="HH421" s="52"/>
      <c r="HI421" s="52"/>
      <c r="HJ421" s="52"/>
      <c r="HK421" s="52"/>
      <c r="HL421" s="52"/>
    </row>
    <row r="422" spans="1:220" s="51" customFormat="1" ht="16.899999999999999" customHeight="1" x14ac:dyDescent="0.15">
      <c r="A422" s="74"/>
      <c r="B422" s="60" t="s">
        <v>815</v>
      </c>
      <c r="C422" s="82"/>
      <c r="D422" s="51" t="s">
        <v>396</v>
      </c>
      <c r="G422" s="62" t="s">
        <v>1125</v>
      </c>
      <c r="J422" s="1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  <c r="AY422" s="52"/>
      <c r="AZ422" s="52"/>
      <c r="BA422" s="52"/>
      <c r="BB422" s="52"/>
      <c r="BC422" s="52"/>
      <c r="BD422" s="52"/>
      <c r="BE422" s="52"/>
      <c r="BF422" s="52"/>
      <c r="BG422" s="52"/>
      <c r="BH422" s="52"/>
      <c r="BI422" s="52"/>
      <c r="BJ422" s="52"/>
      <c r="BK422" s="52"/>
      <c r="BL422" s="52"/>
      <c r="BM422" s="52"/>
      <c r="BN422" s="52"/>
      <c r="BO422" s="52"/>
      <c r="BP422" s="52"/>
      <c r="BQ422" s="52"/>
      <c r="BR422" s="52"/>
      <c r="BS422" s="52"/>
      <c r="BT422" s="52"/>
      <c r="BU422" s="52"/>
      <c r="BV422" s="52"/>
      <c r="BW422" s="52"/>
      <c r="BX422" s="52"/>
      <c r="BY422" s="52"/>
      <c r="BZ422" s="52"/>
      <c r="CA422" s="52"/>
      <c r="CB422" s="52"/>
      <c r="CC422" s="52"/>
      <c r="CD422" s="52"/>
      <c r="CE422" s="52"/>
      <c r="CF422" s="52"/>
      <c r="CG422" s="52"/>
      <c r="CH422" s="52"/>
      <c r="CI422" s="52"/>
      <c r="CJ422" s="52"/>
      <c r="CK422" s="52"/>
      <c r="CL422" s="52"/>
      <c r="CM422" s="52"/>
      <c r="CN422" s="52"/>
      <c r="CO422" s="52"/>
      <c r="CP422" s="52"/>
      <c r="CQ422" s="52"/>
      <c r="CR422" s="52"/>
      <c r="CS422" s="52"/>
      <c r="CT422" s="52"/>
      <c r="CU422" s="52"/>
      <c r="CV422" s="52"/>
      <c r="CW422" s="52"/>
      <c r="CX422" s="52"/>
      <c r="CY422" s="52"/>
      <c r="CZ422" s="52"/>
      <c r="DA422" s="52"/>
      <c r="DB422" s="52"/>
      <c r="DC422" s="52"/>
      <c r="DD422" s="52"/>
      <c r="DE422" s="52"/>
      <c r="DF422" s="52"/>
      <c r="DG422" s="52"/>
      <c r="DH422" s="52"/>
      <c r="DI422" s="52"/>
      <c r="DJ422" s="52"/>
      <c r="DK422" s="52"/>
      <c r="DL422" s="52"/>
      <c r="DM422" s="52"/>
      <c r="DN422" s="52"/>
      <c r="DO422" s="52"/>
      <c r="DP422" s="52"/>
      <c r="DQ422" s="52"/>
      <c r="DR422" s="52"/>
      <c r="DS422" s="52"/>
      <c r="DT422" s="52"/>
      <c r="DU422" s="52"/>
      <c r="DV422" s="52"/>
      <c r="DW422" s="52"/>
      <c r="DX422" s="52"/>
      <c r="DY422" s="52"/>
      <c r="DZ422" s="52"/>
      <c r="EA422" s="52"/>
      <c r="EB422" s="52"/>
      <c r="EC422" s="52"/>
      <c r="ED422" s="52"/>
      <c r="EE422" s="52"/>
      <c r="EF422" s="52"/>
      <c r="EG422" s="52"/>
      <c r="EH422" s="52"/>
      <c r="EI422" s="52"/>
      <c r="EJ422" s="52"/>
      <c r="EK422" s="52"/>
      <c r="EL422" s="52"/>
      <c r="EM422" s="52"/>
      <c r="EN422" s="52"/>
      <c r="EO422" s="52"/>
      <c r="EP422" s="52"/>
      <c r="EQ422" s="52"/>
      <c r="ER422" s="52"/>
      <c r="ES422" s="52"/>
      <c r="ET422" s="52"/>
      <c r="EU422" s="52"/>
      <c r="EV422" s="52"/>
      <c r="EW422" s="52"/>
      <c r="EX422" s="52"/>
      <c r="EY422" s="52"/>
      <c r="EZ422" s="52"/>
      <c r="FA422" s="52"/>
      <c r="FB422" s="52"/>
      <c r="FC422" s="52"/>
      <c r="FD422" s="52"/>
      <c r="FE422" s="52"/>
      <c r="FF422" s="52"/>
      <c r="FG422" s="52"/>
      <c r="FH422" s="52"/>
      <c r="FI422" s="52"/>
      <c r="FJ422" s="52"/>
      <c r="FK422" s="52"/>
      <c r="FL422" s="52"/>
      <c r="FM422" s="52"/>
      <c r="FN422" s="52"/>
      <c r="FO422" s="52"/>
      <c r="FP422" s="52"/>
      <c r="FQ422" s="52"/>
      <c r="FR422" s="52"/>
      <c r="FS422" s="52"/>
      <c r="FT422" s="52"/>
      <c r="FU422" s="52"/>
      <c r="FV422" s="52"/>
      <c r="FW422" s="52"/>
      <c r="FX422" s="52"/>
      <c r="FY422" s="52"/>
      <c r="FZ422" s="52"/>
      <c r="GA422" s="52"/>
      <c r="GB422" s="52"/>
      <c r="GC422" s="52"/>
      <c r="GD422" s="52"/>
      <c r="GE422" s="52"/>
      <c r="GF422" s="52"/>
      <c r="GG422" s="52"/>
      <c r="GH422" s="52"/>
      <c r="GI422" s="52"/>
      <c r="GJ422" s="52"/>
      <c r="GK422" s="52"/>
      <c r="GL422" s="52"/>
      <c r="GM422" s="52"/>
      <c r="GN422" s="52"/>
      <c r="GO422" s="52"/>
      <c r="GP422" s="52"/>
      <c r="GQ422" s="52"/>
      <c r="GR422" s="52"/>
      <c r="GS422" s="52"/>
      <c r="GT422" s="52"/>
      <c r="GU422" s="52"/>
      <c r="GV422" s="52"/>
      <c r="GW422" s="52"/>
      <c r="GX422" s="52"/>
      <c r="GY422" s="52"/>
      <c r="GZ422" s="52"/>
      <c r="HA422" s="52"/>
      <c r="HB422" s="52"/>
      <c r="HC422" s="52"/>
      <c r="HD422" s="52"/>
      <c r="HE422" s="52"/>
      <c r="HF422" s="52"/>
      <c r="HG422" s="52"/>
      <c r="HH422" s="52"/>
      <c r="HI422" s="52"/>
      <c r="HJ422" s="52"/>
      <c r="HK422" s="52"/>
      <c r="HL422" s="52"/>
    </row>
    <row r="423" spans="1:220" s="51" customFormat="1" ht="16.899999999999999" customHeight="1" x14ac:dyDescent="0.15">
      <c r="A423" s="74"/>
      <c r="B423" s="60" t="s">
        <v>816</v>
      </c>
      <c r="C423" s="86"/>
      <c r="D423" s="51" t="s">
        <v>496</v>
      </c>
      <c r="G423" s="62" t="s">
        <v>1125</v>
      </c>
      <c r="J423" s="1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  <c r="AY423" s="52"/>
      <c r="AZ423" s="52"/>
      <c r="BA423" s="52"/>
      <c r="BB423" s="52"/>
      <c r="BC423" s="52"/>
      <c r="BD423" s="52"/>
      <c r="BE423" s="52"/>
      <c r="BF423" s="52"/>
      <c r="BG423" s="52"/>
      <c r="BH423" s="52"/>
      <c r="BI423" s="52"/>
      <c r="BJ423" s="52"/>
      <c r="BK423" s="52"/>
      <c r="BL423" s="52"/>
      <c r="BM423" s="52"/>
      <c r="BN423" s="52"/>
      <c r="BO423" s="52"/>
      <c r="BP423" s="52"/>
      <c r="BQ423" s="52"/>
      <c r="BR423" s="52"/>
      <c r="BS423" s="52"/>
      <c r="BT423" s="52"/>
      <c r="BU423" s="52"/>
      <c r="BV423" s="52"/>
      <c r="BW423" s="52"/>
      <c r="BX423" s="52"/>
      <c r="BY423" s="52"/>
      <c r="BZ423" s="52"/>
      <c r="CA423" s="52"/>
      <c r="CB423" s="52"/>
      <c r="CC423" s="52"/>
      <c r="CD423" s="52"/>
      <c r="CE423" s="52"/>
      <c r="CF423" s="52"/>
      <c r="CG423" s="52"/>
      <c r="CH423" s="52"/>
      <c r="CI423" s="52"/>
      <c r="CJ423" s="52"/>
      <c r="CK423" s="52"/>
      <c r="CL423" s="52"/>
      <c r="CM423" s="52"/>
      <c r="CN423" s="52"/>
      <c r="CO423" s="52"/>
      <c r="CP423" s="52"/>
      <c r="CQ423" s="52"/>
      <c r="CR423" s="52"/>
      <c r="CS423" s="52"/>
      <c r="CT423" s="52"/>
      <c r="CU423" s="52"/>
      <c r="CV423" s="52"/>
      <c r="CW423" s="52"/>
      <c r="CX423" s="52"/>
      <c r="CY423" s="52"/>
      <c r="CZ423" s="52"/>
      <c r="DA423" s="52"/>
      <c r="DB423" s="52"/>
      <c r="DC423" s="52"/>
      <c r="DD423" s="52"/>
      <c r="DE423" s="52"/>
      <c r="DF423" s="52"/>
      <c r="DG423" s="52"/>
      <c r="DH423" s="52"/>
      <c r="DI423" s="52"/>
      <c r="DJ423" s="52"/>
      <c r="DK423" s="52"/>
      <c r="DL423" s="52"/>
      <c r="DM423" s="52"/>
      <c r="DN423" s="52"/>
      <c r="DO423" s="52"/>
      <c r="DP423" s="52"/>
      <c r="DQ423" s="52"/>
      <c r="DR423" s="52"/>
      <c r="DS423" s="52"/>
      <c r="DT423" s="52"/>
      <c r="DU423" s="52"/>
      <c r="DV423" s="52"/>
      <c r="DW423" s="52"/>
      <c r="DX423" s="52"/>
      <c r="DY423" s="52"/>
      <c r="DZ423" s="52"/>
      <c r="EA423" s="52"/>
      <c r="EB423" s="52"/>
      <c r="EC423" s="52"/>
      <c r="ED423" s="52"/>
      <c r="EE423" s="52"/>
      <c r="EF423" s="52"/>
      <c r="EG423" s="52"/>
      <c r="EH423" s="52"/>
      <c r="EI423" s="52"/>
      <c r="EJ423" s="52"/>
      <c r="EK423" s="52"/>
      <c r="EL423" s="52"/>
      <c r="EM423" s="52"/>
      <c r="EN423" s="52"/>
      <c r="EO423" s="52"/>
      <c r="EP423" s="52"/>
      <c r="EQ423" s="52"/>
      <c r="ER423" s="52"/>
      <c r="ES423" s="52"/>
      <c r="ET423" s="52"/>
      <c r="EU423" s="52"/>
      <c r="EV423" s="52"/>
      <c r="EW423" s="52"/>
      <c r="EX423" s="52"/>
      <c r="EY423" s="52"/>
      <c r="EZ423" s="52"/>
      <c r="FA423" s="52"/>
      <c r="FB423" s="52"/>
      <c r="FC423" s="52"/>
      <c r="FD423" s="52"/>
      <c r="FE423" s="52"/>
      <c r="FF423" s="52"/>
      <c r="FG423" s="52"/>
      <c r="FH423" s="52"/>
      <c r="FI423" s="52"/>
      <c r="FJ423" s="52"/>
      <c r="FK423" s="52"/>
      <c r="FL423" s="52"/>
      <c r="FM423" s="52"/>
      <c r="FN423" s="52"/>
      <c r="FO423" s="52"/>
      <c r="FP423" s="52"/>
      <c r="FQ423" s="52"/>
      <c r="FR423" s="52"/>
      <c r="FS423" s="52"/>
      <c r="FT423" s="52"/>
      <c r="FU423" s="52"/>
      <c r="FV423" s="52"/>
      <c r="FW423" s="52"/>
      <c r="FX423" s="52"/>
      <c r="FY423" s="52"/>
      <c r="FZ423" s="52"/>
      <c r="GA423" s="52"/>
      <c r="GB423" s="52"/>
      <c r="GC423" s="52"/>
      <c r="GD423" s="52"/>
      <c r="GE423" s="52"/>
      <c r="GF423" s="52"/>
      <c r="GG423" s="52"/>
      <c r="GH423" s="52"/>
      <c r="GI423" s="52"/>
      <c r="GJ423" s="52"/>
      <c r="GK423" s="52"/>
      <c r="GL423" s="52"/>
      <c r="GM423" s="52"/>
      <c r="GN423" s="52"/>
      <c r="GO423" s="52"/>
      <c r="GP423" s="52"/>
      <c r="GQ423" s="52"/>
      <c r="GR423" s="52"/>
      <c r="GS423" s="52"/>
      <c r="GT423" s="52"/>
      <c r="GU423" s="52"/>
      <c r="GV423" s="52"/>
      <c r="GW423" s="52"/>
      <c r="GX423" s="52"/>
      <c r="GY423" s="52"/>
      <c r="GZ423" s="52"/>
      <c r="HA423" s="52"/>
      <c r="HB423" s="52"/>
      <c r="HC423" s="52"/>
      <c r="HD423" s="52"/>
      <c r="HE423" s="52"/>
      <c r="HF423" s="52"/>
      <c r="HG423" s="52"/>
      <c r="HH423" s="52"/>
      <c r="HI423" s="52"/>
      <c r="HJ423" s="52"/>
      <c r="HK423" s="52"/>
      <c r="HL423" s="52"/>
    </row>
    <row r="424" spans="1:220" s="51" customFormat="1" ht="51" customHeight="1" x14ac:dyDescent="0.15">
      <c r="A424" s="74"/>
      <c r="B424" s="60" t="s">
        <v>817</v>
      </c>
      <c r="C424" s="50" t="s">
        <v>498</v>
      </c>
      <c r="D424" s="51" t="s">
        <v>499</v>
      </c>
      <c r="G424" s="62" t="s">
        <v>1125</v>
      </c>
      <c r="J424" s="1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  <c r="AY424" s="52"/>
      <c r="AZ424" s="52"/>
      <c r="BA424" s="52"/>
      <c r="BB424" s="52"/>
      <c r="BC424" s="52"/>
      <c r="BD424" s="52"/>
      <c r="BE424" s="52"/>
      <c r="BF424" s="52"/>
      <c r="BG424" s="52"/>
      <c r="BH424" s="52"/>
      <c r="BI424" s="52"/>
      <c r="BJ424" s="52"/>
      <c r="BK424" s="52"/>
      <c r="BL424" s="52"/>
      <c r="BM424" s="52"/>
      <c r="BN424" s="52"/>
      <c r="BO424" s="52"/>
      <c r="BP424" s="52"/>
      <c r="BQ424" s="52"/>
      <c r="BR424" s="52"/>
      <c r="BS424" s="52"/>
      <c r="BT424" s="52"/>
      <c r="BU424" s="52"/>
      <c r="BV424" s="52"/>
      <c r="BW424" s="52"/>
      <c r="BX424" s="52"/>
      <c r="BY424" s="52"/>
      <c r="BZ424" s="52"/>
      <c r="CA424" s="52"/>
      <c r="CB424" s="52"/>
      <c r="CC424" s="52"/>
      <c r="CD424" s="52"/>
      <c r="CE424" s="52"/>
      <c r="CF424" s="52"/>
      <c r="CG424" s="52"/>
      <c r="CH424" s="52"/>
      <c r="CI424" s="52"/>
      <c r="CJ424" s="52"/>
      <c r="CK424" s="52"/>
      <c r="CL424" s="52"/>
      <c r="CM424" s="52"/>
      <c r="CN424" s="52"/>
      <c r="CO424" s="52"/>
      <c r="CP424" s="52"/>
      <c r="CQ424" s="52"/>
      <c r="CR424" s="52"/>
      <c r="CS424" s="52"/>
      <c r="CT424" s="52"/>
      <c r="CU424" s="52"/>
      <c r="CV424" s="52"/>
      <c r="CW424" s="52"/>
      <c r="CX424" s="52"/>
      <c r="CY424" s="52"/>
      <c r="CZ424" s="52"/>
      <c r="DA424" s="52"/>
      <c r="DB424" s="52"/>
      <c r="DC424" s="52"/>
      <c r="DD424" s="52"/>
      <c r="DE424" s="52"/>
      <c r="DF424" s="52"/>
      <c r="DG424" s="52"/>
      <c r="DH424" s="52"/>
      <c r="DI424" s="52"/>
      <c r="DJ424" s="52"/>
      <c r="DK424" s="52"/>
      <c r="DL424" s="52"/>
      <c r="DM424" s="52"/>
      <c r="DN424" s="52"/>
      <c r="DO424" s="52"/>
      <c r="DP424" s="52"/>
      <c r="DQ424" s="52"/>
      <c r="DR424" s="52"/>
      <c r="DS424" s="52"/>
      <c r="DT424" s="52"/>
      <c r="DU424" s="52"/>
      <c r="DV424" s="52"/>
      <c r="DW424" s="52"/>
      <c r="DX424" s="52"/>
      <c r="DY424" s="52"/>
      <c r="DZ424" s="52"/>
      <c r="EA424" s="52"/>
      <c r="EB424" s="52"/>
      <c r="EC424" s="52"/>
      <c r="ED424" s="52"/>
      <c r="EE424" s="52"/>
      <c r="EF424" s="52"/>
      <c r="EG424" s="52"/>
      <c r="EH424" s="52"/>
      <c r="EI424" s="52"/>
      <c r="EJ424" s="52"/>
      <c r="EK424" s="52"/>
      <c r="EL424" s="52"/>
      <c r="EM424" s="52"/>
      <c r="EN424" s="52"/>
      <c r="EO424" s="52"/>
      <c r="EP424" s="52"/>
      <c r="EQ424" s="52"/>
      <c r="ER424" s="52"/>
      <c r="ES424" s="52"/>
      <c r="ET424" s="52"/>
      <c r="EU424" s="52"/>
      <c r="EV424" s="52"/>
      <c r="EW424" s="52"/>
      <c r="EX424" s="52"/>
      <c r="EY424" s="52"/>
      <c r="EZ424" s="52"/>
      <c r="FA424" s="52"/>
      <c r="FB424" s="52"/>
      <c r="FC424" s="52"/>
      <c r="FD424" s="52"/>
      <c r="FE424" s="52"/>
      <c r="FF424" s="52"/>
      <c r="FG424" s="52"/>
      <c r="FH424" s="52"/>
      <c r="FI424" s="52"/>
      <c r="FJ424" s="52"/>
      <c r="FK424" s="52"/>
      <c r="FL424" s="52"/>
      <c r="FM424" s="52"/>
      <c r="FN424" s="52"/>
      <c r="FO424" s="52"/>
      <c r="FP424" s="52"/>
      <c r="FQ424" s="52"/>
      <c r="FR424" s="52"/>
      <c r="FS424" s="52"/>
      <c r="FT424" s="52"/>
      <c r="FU424" s="52"/>
      <c r="FV424" s="52"/>
      <c r="FW424" s="52"/>
      <c r="FX424" s="52"/>
      <c r="FY424" s="52"/>
      <c r="FZ424" s="52"/>
      <c r="GA424" s="52"/>
      <c r="GB424" s="52"/>
      <c r="GC424" s="52"/>
      <c r="GD424" s="52"/>
      <c r="GE424" s="52"/>
      <c r="GF424" s="52"/>
      <c r="GG424" s="52"/>
      <c r="GH424" s="52"/>
      <c r="GI424" s="52"/>
      <c r="GJ424" s="52"/>
      <c r="GK424" s="52"/>
      <c r="GL424" s="52"/>
      <c r="GM424" s="52"/>
      <c r="GN424" s="52"/>
      <c r="GO424" s="52"/>
      <c r="GP424" s="52"/>
      <c r="GQ424" s="52"/>
      <c r="GR424" s="52"/>
      <c r="GS424" s="52"/>
      <c r="GT424" s="52"/>
      <c r="GU424" s="52"/>
      <c r="GV424" s="52"/>
      <c r="GW424" s="52"/>
      <c r="GX424" s="52"/>
      <c r="GY424" s="52"/>
      <c r="GZ424" s="52"/>
      <c r="HA424" s="52"/>
      <c r="HB424" s="52"/>
      <c r="HC424" s="52"/>
      <c r="HD424" s="52"/>
      <c r="HE424" s="52"/>
      <c r="HF424" s="52"/>
      <c r="HG424" s="52"/>
      <c r="HH424" s="52"/>
      <c r="HI424" s="52"/>
      <c r="HJ424" s="52"/>
      <c r="HK424" s="52"/>
      <c r="HL424" s="52"/>
    </row>
    <row r="425" spans="1:220" ht="22.5" customHeight="1" x14ac:dyDescent="0.15">
      <c r="A425" s="74"/>
      <c r="B425" s="60" t="s">
        <v>818</v>
      </c>
      <c r="C425" s="81" t="s">
        <v>394</v>
      </c>
      <c r="D425" s="7" t="s">
        <v>502</v>
      </c>
      <c r="G425" s="62" t="s">
        <v>1125</v>
      </c>
      <c r="H425" s="7"/>
    </row>
    <row r="426" spans="1:220" ht="22.5" customHeight="1" x14ac:dyDescent="0.15">
      <c r="A426" s="74"/>
      <c r="B426" s="60" t="s">
        <v>819</v>
      </c>
      <c r="C426" s="86"/>
      <c r="D426" s="7" t="s">
        <v>503</v>
      </c>
      <c r="G426" s="62" t="s">
        <v>1125</v>
      </c>
      <c r="H426" s="7"/>
    </row>
    <row r="427" spans="1:220" ht="16.5" customHeight="1" x14ac:dyDescent="0.15">
      <c r="A427" s="73" t="s">
        <v>521</v>
      </c>
      <c r="B427" s="60" t="s">
        <v>820</v>
      </c>
      <c r="C427" s="81" t="s">
        <v>523</v>
      </c>
      <c r="D427" s="7" t="s">
        <v>524</v>
      </c>
      <c r="G427" s="62" t="s">
        <v>1125</v>
      </c>
      <c r="H427" s="7"/>
    </row>
    <row r="428" spans="1:220" ht="16.5" customHeight="1" x14ac:dyDescent="0.15">
      <c r="A428" s="74"/>
      <c r="B428" s="60" t="s">
        <v>821</v>
      </c>
      <c r="C428" s="82"/>
      <c r="D428" s="7" t="s">
        <v>525</v>
      </c>
      <c r="G428" s="62" t="s">
        <v>1125</v>
      </c>
      <c r="H428" s="7"/>
    </row>
    <row r="429" spans="1:220" ht="16.5" customHeight="1" x14ac:dyDescent="0.15">
      <c r="A429" s="74"/>
      <c r="B429" s="60" t="s">
        <v>822</v>
      </c>
      <c r="C429" s="82"/>
      <c r="D429" s="7" t="s">
        <v>522</v>
      </c>
      <c r="G429" s="62" t="s">
        <v>1125</v>
      </c>
      <c r="H429" s="7"/>
    </row>
    <row r="430" spans="1:220" ht="16.5" customHeight="1" x14ac:dyDescent="0.15">
      <c r="A430" s="74"/>
      <c r="B430" s="60" t="s">
        <v>823</v>
      </c>
      <c r="C430" s="82"/>
      <c r="D430" s="7" t="s">
        <v>526</v>
      </c>
      <c r="G430" s="62" t="s">
        <v>1125</v>
      </c>
      <c r="H430" s="7"/>
    </row>
    <row r="431" spans="1:220" ht="16.5" customHeight="1" x14ac:dyDescent="0.15">
      <c r="A431" s="74"/>
      <c r="B431" s="60" t="s">
        <v>824</v>
      </c>
      <c r="C431" s="82"/>
      <c r="D431" s="7" t="s">
        <v>541</v>
      </c>
      <c r="G431" s="62" t="s">
        <v>1125</v>
      </c>
      <c r="H431" s="7"/>
    </row>
    <row r="432" spans="1:220" ht="16.5" customHeight="1" x14ac:dyDescent="0.15">
      <c r="A432" s="74"/>
      <c r="B432" s="60" t="s">
        <v>825</v>
      </c>
      <c r="C432" s="82"/>
      <c r="D432" s="7" t="s">
        <v>543</v>
      </c>
      <c r="G432" s="62" t="s">
        <v>1125</v>
      </c>
      <c r="H432" s="7"/>
    </row>
    <row r="433" spans="1:8" ht="16.5" customHeight="1" x14ac:dyDescent="0.15">
      <c r="A433" s="74"/>
      <c r="B433" s="60" t="s">
        <v>826</v>
      </c>
      <c r="C433" s="86"/>
      <c r="D433" s="7" t="s">
        <v>542</v>
      </c>
      <c r="G433" s="62" t="s">
        <v>1125</v>
      </c>
      <c r="H433" s="7"/>
    </row>
    <row r="434" spans="1:8" ht="16.5" customHeight="1" x14ac:dyDescent="0.15">
      <c r="A434" s="74"/>
      <c r="B434" s="60" t="s">
        <v>827</v>
      </c>
      <c r="C434" s="81" t="s">
        <v>528</v>
      </c>
      <c r="D434" s="7" t="s">
        <v>567</v>
      </c>
      <c r="G434" s="62" t="s">
        <v>1125</v>
      </c>
      <c r="H434" s="7"/>
    </row>
    <row r="435" spans="1:8" ht="16.5" customHeight="1" x14ac:dyDescent="0.15">
      <c r="A435" s="74"/>
      <c r="B435" s="60" t="s">
        <v>828</v>
      </c>
      <c r="C435" s="82"/>
      <c r="D435" s="7" t="s">
        <v>525</v>
      </c>
      <c r="G435" s="62" t="s">
        <v>1125</v>
      </c>
      <c r="H435" s="7"/>
    </row>
    <row r="436" spans="1:8" ht="16.5" customHeight="1" x14ac:dyDescent="0.15">
      <c r="A436" s="74"/>
      <c r="B436" s="60" t="s">
        <v>829</v>
      </c>
      <c r="C436" s="82"/>
      <c r="D436" s="7" t="s">
        <v>522</v>
      </c>
      <c r="G436" s="62" t="s">
        <v>1125</v>
      </c>
      <c r="H436" s="7"/>
    </row>
    <row r="437" spans="1:8" ht="16.5" customHeight="1" x14ac:dyDescent="0.15">
      <c r="A437" s="74"/>
      <c r="B437" s="60" t="s">
        <v>830</v>
      </c>
      <c r="C437" s="82"/>
      <c r="D437" s="7" t="s">
        <v>568</v>
      </c>
      <c r="G437" s="62" t="s">
        <v>1125</v>
      </c>
      <c r="H437" s="7"/>
    </row>
    <row r="438" spans="1:8" ht="16.5" customHeight="1" x14ac:dyDescent="0.15">
      <c r="A438" s="74"/>
      <c r="B438" s="60" t="s">
        <v>831</v>
      </c>
      <c r="C438" s="82"/>
      <c r="D438" s="7" t="s">
        <v>541</v>
      </c>
      <c r="G438" s="62" t="s">
        <v>1125</v>
      </c>
      <c r="H438" s="7"/>
    </row>
    <row r="439" spans="1:8" ht="16.5" customHeight="1" x14ac:dyDescent="0.15">
      <c r="A439" s="74"/>
      <c r="B439" s="60" t="s">
        <v>832</v>
      </c>
      <c r="C439" s="82"/>
      <c r="D439" s="7" t="s">
        <v>543</v>
      </c>
      <c r="G439" s="62" t="s">
        <v>1125</v>
      </c>
      <c r="H439" s="7"/>
    </row>
    <row r="440" spans="1:8" ht="16.5" customHeight="1" x14ac:dyDescent="0.15">
      <c r="A440" s="74"/>
      <c r="B440" s="60" t="s">
        <v>833</v>
      </c>
      <c r="C440" s="86"/>
      <c r="D440" s="7" t="s">
        <v>542</v>
      </c>
      <c r="G440" s="62" t="s">
        <v>1125</v>
      </c>
      <c r="H440" s="7"/>
    </row>
    <row r="441" spans="1:8" ht="16.5" customHeight="1" x14ac:dyDescent="0.15">
      <c r="A441" s="74"/>
      <c r="B441" s="60" t="s">
        <v>834</v>
      </c>
      <c r="C441" s="81" t="s">
        <v>529</v>
      </c>
      <c r="D441" s="7" t="s">
        <v>565</v>
      </c>
      <c r="G441" s="62" t="s">
        <v>1125</v>
      </c>
      <c r="H441" s="7"/>
    </row>
    <row r="442" spans="1:8" ht="16.5" customHeight="1" x14ac:dyDescent="0.15">
      <c r="A442" s="74"/>
      <c r="B442" s="60" t="s">
        <v>835</v>
      </c>
      <c r="C442" s="82"/>
      <c r="D442" s="7" t="s">
        <v>525</v>
      </c>
      <c r="G442" s="62" t="s">
        <v>1125</v>
      </c>
      <c r="H442" s="7"/>
    </row>
    <row r="443" spans="1:8" ht="16.5" customHeight="1" x14ac:dyDescent="0.15">
      <c r="A443" s="74"/>
      <c r="B443" s="60" t="s">
        <v>836</v>
      </c>
      <c r="C443" s="82"/>
      <c r="D443" s="7" t="s">
        <v>522</v>
      </c>
      <c r="G443" s="62" t="s">
        <v>1125</v>
      </c>
      <c r="H443" s="7"/>
    </row>
    <row r="444" spans="1:8" ht="16.5" customHeight="1" x14ac:dyDescent="0.15">
      <c r="A444" s="74"/>
      <c r="B444" s="60" t="s">
        <v>837</v>
      </c>
      <c r="C444" s="82"/>
      <c r="D444" s="7" t="s">
        <v>566</v>
      </c>
      <c r="G444" s="62" t="s">
        <v>1125</v>
      </c>
      <c r="H444" s="7"/>
    </row>
    <row r="445" spans="1:8" ht="16.5" customHeight="1" x14ac:dyDescent="0.15">
      <c r="A445" s="74"/>
      <c r="B445" s="60" t="s">
        <v>838</v>
      </c>
      <c r="C445" s="82"/>
      <c r="D445" s="7" t="s">
        <v>541</v>
      </c>
      <c r="G445" s="62" t="s">
        <v>1125</v>
      </c>
      <c r="H445" s="7"/>
    </row>
    <row r="446" spans="1:8" ht="16.5" customHeight="1" x14ac:dyDescent="0.15">
      <c r="A446" s="74"/>
      <c r="B446" s="60" t="s">
        <v>839</v>
      </c>
      <c r="C446" s="82"/>
      <c r="D446" s="7" t="s">
        <v>543</v>
      </c>
      <c r="G446" s="62" t="s">
        <v>1125</v>
      </c>
      <c r="H446" s="7"/>
    </row>
    <row r="447" spans="1:8" ht="16.5" customHeight="1" x14ac:dyDescent="0.15">
      <c r="A447" s="74"/>
      <c r="B447" s="60" t="s">
        <v>840</v>
      </c>
      <c r="C447" s="86"/>
      <c r="D447" s="7" t="s">
        <v>542</v>
      </c>
      <c r="G447" s="62" t="s">
        <v>1125</v>
      </c>
      <c r="H447" s="7"/>
    </row>
    <row r="448" spans="1:8" ht="16.5" customHeight="1" x14ac:dyDescent="0.15">
      <c r="A448" s="74"/>
      <c r="B448" s="60" t="s">
        <v>841</v>
      </c>
      <c r="C448" s="81" t="s">
        <v>530</v>
      </c>
      <c r="D448" s="7" t="s">
        <v>563</v>
      </c>
      <c r="G448" s="62" t="s">
        <v>1125</v>
      </c>
      <c r="H448" s="7"/>
    </row>
    <row r="449" spans="1:8" ht="16.5" customHeight="1" x14ac:dyDescent="0.15">
      <c r="A449" s="74"/>
      <c r="B449" s="60" t="s">
        <v>842</v>
      </c>
      <c r="C449" s="82"/>
      <c r="D449" s="7" t="s">
        <v>525</v>
      </c>
      <c r="G449" s="62" t="s">
        <v>1125</v>
      </c>
      <c r="H449" s="7"/>
    </row>
    <row r="450" spans="1:8" ht="16.5" customHeight="1" x14ac:dyDescent="0.15">
      <c r="A450" s="74"/>
      <c r="B450" s="60" t="s">
        <v>843</v>
      </c>
      <c r="C450" s="82"/>
      <c r="D450" s="7" t="s">
        <v>522</v>
      </c>
      <c r="G450" s="62" t="s">
        <v>1125</v>
      </c>
      <c r="H450" s="7"/>
    </row>
    <row r="451" spans="1:8" ht="16.5" customHeight="1" x14ac:dyDescent="0.15">
      <c r="A451" s="74"/>
      <c r="B451" s="60" t="s">
        <v>844</v>
      </c>
      <c r="C451" s="82"/>
      <c r="D451" s="7" t="s">
        <v>564</v>
      </c>
      <c r="G451" s="62" t="s">
        <v>1125</v>
      </c>
      <c r="H451" s="7"/>
    </row>
    <row r="452" spans="1:8" ht="16.5" customHeight="1" x14ac:dyDescent="0.15">
      <c r="A452" s="74"/>
      <c r="B452" s="60" t="s">
        <v>845</v>
      </c>
      <c r="C452" s="82"/>
      <c r="D452" s="7" t="s">
        <v>541</v>
      </c>
      <c r="G452" s="62" t="s">
        <v>1125</v>
      </c>
      <c r="H452" s="7"/>
    </row>
    <row r="453" spans="1:8" ht="16.5" customHeight="1" x14ac:dyDescent="0.15">
      <c r="A453" s="74"/>
      <c r="B453" s="60" t="s">
        <v>846</v>
      </c>
      <c r="C453" s="82"/>
      <c r="D453" s="7" t="s">
        <v>543</v>
      </c>
      <c r="G453" s="62" t="s">
        <v>1125</v>
      </c>
      <c r="H453" s="7"/>
    </row>
    <row r="454" spans="1:8" ht="16.5" customHeight="1" x14ac:dyDescent="0.15">
      <c r="A454" s="74"/>
      <c r="B454" s="60" t="s">
        <v>847</v>
      </c>
      <c r="C454" s="82"/>
      <c r="D454" s="7" t="s">
        <v>542</v>
      </c>
      <c r="G454" s="62" t="s">
        <v>1125</v>
      </c>
      <c r="H454" s="7"/>
    </row>
    <row r="455" spans="1:8" ht="16.5" customHeight="1" x14ac:dyDescent="0.15">
      <c r="A455" s="74"/>
      <c r="B455" s="60" t="s">
        <v>848</v>
      </c>
      <c r="C455" s="81" t="s">
        <v>531</v>
      </c>
      <c r="D455" s="7" t="s">
        <v>559</v>
      </c>
      <c r="G455" s="62" t="s">
        <v>1125</v>
      </c>
      <c r="H455" s="7"/>
    </row>
    <row r="456" spans="1:8" ht="16.5" customHeight="1" x14ac:dyDescent="0.15">
      <c r="A456" s="74"/>
      <c r="B456" s="60" t="s">
        <v>849</v>
      </c>
      <c r="C456" s="82"/>
      <c r="D456" s="7" t="s">
        <v>525</v>
      </c>
      <c r="G456" s="62" t="s">
        <v>1125</v>
      </c>
      <c r="H456" s="7"/>
    </row>
    <row r="457" spans="1:8" ht="16.5" customHeight="1" x14ac:dyDescent="0.15">
      <c r="A457" s="74"/>
      <c r="B457" s="60" t="s">
        <v>850</v>
      </c>
      <c r="C457" s="82"/>
      <c r="D457" s="7" t="s">
        <v>522</v>
      </c>
      <c r="G457" s="62" t="s">
        <v>1125</v>
      </c>
      <c r="H457" s="7"/>
    </row>
    <row r="458" spans="1:8" ht="16.5" customHeight="1" x14ac:dyDescent="0.15">
      <c r="A458" s="74"/>
      <c r="B458" s="60" t="s">
        <v>851</v>
      </c>
      <c r="C458" s="82"/>
      <c r="D458" s="7" t="s">
        <v>560</v>
      </c>
      <c r="G458" s="62" t="s">
        <v>1125</v>
      </c>
      <c r="H458" s="7"/>
    </row>
    <row r="459" spans="1:8" ht="16.5" customHeight="1" x14ac:dyDescent="0.15">
      <c r="A459" s="74"/>
      <c r="B459" s="60" t="s">
        <v>852</v>
      </c>
      <c r="C459" s="82"/>
      <c r="D459" s="7" t="s">
        <v>541</v>
      </c>
      <c r="G459" s="62" t="s">
        <v>1125</v>
      </c>
      <c r="H459" s="7"/>
    </row>
    <row r="460" spans="1:8" ht="16.5" customHeight="1" x14ac:dyDescent="0.15">
      <c r="A460" s="74"/>
      <c r="B460" s="60" t="s">
        <v>853</v>
      </c>
      <c r="C460" s="82"/>
      <c r="D460" s="7" t="s">
        <v>543</v>
      </c>
      <c r="G460" s="62" t="s">
        <v>1125</v>
      </c>
      <c r="H460" s="7"/>
    </row>
    <row r="461" spans="1:8" ht="16.5" customHeight="1" x14ac:dyDescent="0.15">
      <c r="A461" s="74"/>
      <c r="B461" s="60" t="s">
        <v>854</v>
      </c>
      <c r="C461" s="86"/>
      <c r="D461" s="7" t="s">
        <v>542</v>
      </c>
      <c r="G461" s="62" t="s">
        <v>1125</v>
      </c>
      <c r="H461" s="7"/>
    </row>
    <row r="462" spans="1:8" ht="16.5" customHeight="1" x14ac:dyDescent="0.15">
      <c r="A462" s="74"/>
      <c r="B462" s="60" t="s">
        <v>855</v>
      </c>
      <c r="C462" s="81" t="s">
        <v>556</v>
      </c>
      <c r="D462" s="7" t="s">
        <v>561</v>
      </c>
      <c r="G462" s="62" t="s">
        <v>1125</v>
      </c>
      <c r="H462" s="7"/>
    </row>
    <row r="463" spans="1:8" ht="16.5" customHeight="1" x14ac:dyDescent="0.15">
      <c r="A463" s="74"/>
      <c r="B463" s="60" t="s">
        <v>856</v>
      </c>
      <c r="C463" s="82"/>
      <c r="D463" s="7" t="s">
        <v>525</v>
      </c>
      <c r="G463" s="62" t="s">
        <v>1125</v>
      </c>
      <c r="H463" s="7"/>
    </row>
    <row r="464" spans="1:8" ht="16.5" customHeight="1" x14ac:dyDescent="0.15">
      <c r="A464" s="74"/>
      <c r="B464" s="60" t="s">
        <v>857</v>
      </c>
      <c r="C464" s="82"/>
      <c r="D464" s="7" t="s">
        <v>522</v>
      </c>
      <c r="G464" s="62" t="s">
        <v>1125</v>
      </c>
      <c r="H464" s="7"/>
    </row>
    <row r="465" spans="1:8" ht="16.5" customHeight="1" x14ac:dyDescent="0.15">
      <c r="A465" s="74"/>
      <c r="B465" s="60" t="s">
        <v>858</v>
      </c>
      <c r="C465" s="82"/>
      <c r="D465" s="7" t="s">
        <v>562</v>
      </c>
      <c r="G465" s="62" t="s">
        <v>1125</v>
      </c>
      <c r="H465" s="7"/>
    </row>
    <row r="466" spans="1:8" ht="16.5" customHeight="1" x14ac:dyDescent="0.15">
      <c r="A466" s="74"/>
      <c r="B466" s="60" t="s">
        <v>859</v>
      </c>
      <c r="C466" s="82"/>
      <c r="D466" s="7" t="s">
        <v>541</v>
      </c>
      <c r="G466" s="62" t="s">
        <v>1125</v>
      </c>
      <c r="H466" s="7"/>
    </row>
    <row r="467" spans="1:8" ht="16.5" customHeight="1" x14ac:dyDescent="0.15">
      <c r="A467" s="74"/>
      <c r="B467" s="60" t="s">
        <v>860</v>
      </c>
      <c r="C467" s="82"/>
      <c r="D467" s="7" t="s">
        <v>543</v>
      </c>
      <c r="G467" s="62" t="s">
        <v>1125</v>
      </c>
      <c r="H467" s="7"/>
    </row>
    <row r="468" spans="1:8" ht="16.5" customHeight="1" x14ac:dyDescent="0.15">
      <c r="A468" s="74"/>
      <c r="B468" s="60" t="s">
        <v>861</v>
      </c>
      <c r="C468" s="86"/>
      <c r="D468" s="7" t="s">
        <v>542</v>
      </c>
      <c r="G468" s="62" t="s">
        <v>1125</v>
      </c>
      <c r="H468" s="7"/>
    </row>
    <row r="469" spans="1:8" ht="16.5" customHeight="1" x14ac:dyDescent="0.15">
      <c r="A469" s="74"/>
      <c r="B469" s="60" t="s">
        <v>862</v>
      </c>
      <c r="C469" s="81" t="s">
        <v>555</v>
      </c>
      <c r="D469" s="7" t="s">
        <v>557</v>
      </c>
      <c r="G469" s="62" t="s">
        <v>1125</v>
      </c>
      <c r="H469" s="7"/>
    </row>
    <row r="470" spans="1:8" ht="16.5" customHeight="1" x14ac:dyDescent="0.15">
      <c r="A470" s="74"/>
      <c r="B470" s="60" t="s">
        <v>863</v>
      </c>
      <c r="C470" s="82"/>
      <c r="D470" s="7" t="s">
        <v>525</v>
      </c>
      <c r="G470" s="62" t="s">
        <v>1125</v>
      </c>
      <c r="H470" s="7"/>
    </row>
    <row r="471" spans="1:8" ht="16.5" customHeight="1" x14ac:dyDescent="0.15">
      <c r="A471" s="74"/>
      <c r="B471" s="60" t="s">
        <v>864</v>
      </c>
      <c r="C471" s="82"/>
      <c r="D471" s="7" t="s">
        <v>522</v>
      </c>
      <c r="G471" s="62" t="s">
        <v>1125</v>
      </c>
      <c r="H471" s="7"/>
    </row>
    <row r="472" spans="1:8" ht="16.5" customHeight="1" x14ac:dyDescent="0.15">
      <c r="A472" s="74"/>
      <c r="B472" s="60" t="s">
        <v>865</v>
      </c>
      <c r="C472" s="82"/>
      <c r="D472" s="7" t="s">
        <v>558</v>
      </c>
      <c r="G472" s="62" t="s">
        <v>1125</v>
      </c>
      <c r="H472" s="7"/>
    </row>
    <row r="473" spans="1:8" ht="16.5" customHeight="1" x14ac:dyDescent="0.15">
      <c r="A473" s="74"/>
      <c r="B473" s="60" t="s">
        <v>866</v>
      </c>
      <c r="C473" s="82"/>
      <c r="D473" s="7" t="s">
        <v>541</v>
      </c>
      <c r="G473" s="62" t="s">
        <v>1125</v>
      </c>
      <c r="H473" s="7"/>
    </row>
    <row r="474" spans="1:8" ht="16.5" customHeight="1" x14ac:dyDescent="0.15">
      <c r="A474" s="74"/>
      <c r="B474" s="60" t="s">
        <v>867</v>
      </c>
      <c r="C474" s="82"/>
      <c r="D474" s="7" t="s">
        <v>543</v>
      </c>
      <c r="G474" s="62" t="s">
        <v>1125</v>
      </c>
      <c r="H474" s="7"/>
    </row>
    <row r="475" spans="1:8" ht="16.5" customHeight="1" x14ac:dyDescent="0.15">
      <c r="A475" s="74"/>
      <c r="B475" s="60" t="s">
        <v>868</v>
      </c>
      <c r="C475" s="86"/>
      <c r="D475" s="7" t="s">
        <v>542</v>
      </c>
      <c r="G475" s="62" t="s">
        <v>1125</v>
      </c>
      <c r="H475" s="7"/>
    </row>
    <row r="476" spans="1:8" ht="16.5" customHeight="1" x14ac:dyDescent="0.15">
      <c r="A476" s="74"/>
      <c r="B476" s="60" t="s">
        <v>869</v>
      </c>
      <c r="C476" s="81" t="s">
        <v>532</v>
      </c>
      <c r="D476" s="7" t="s">
        <v>553</v>
      </c>
      <c r="G476" s="62" t="s">
        <v>1125</v>
      </c>
      <c r="H476" s="7"/>
    </row>
    <row r="477" spans="1:8" ht="16.5" customHeight="1" x14ac:dyDescent="0.15">
      <c r="A477" s="74"/>
      <c r="B477" s="60" t="s">
        <v>870</v>
      </c>
      <c r="C477" s="82"/>
      <c r="D477" s="7" t="s">
        <v>525</v>
      </c>
      <c r="G477" s="62" t="s">
        <v>1125</v>
      </c>
      <c r="H477" s="7"/>
    </row>
    <row r="478" spans="1:8" ht="16.5" customHeight="1" x14ac:dyDescent="0.15">
      <c r="A478" s="74"/>
      <c r="B478" s="60" t="s">
        <v>871</v>
      </c>
      <c r="C478" s="82"/>
      <c r="D478" s="7" t="s">
        <v>522</v>
      </c>
      <c r="G478" s="62" t="s">
        <v>1125</v>
      </c>
      <c r="H478" s="7"/>
    </row>
    <row r="479" spans="1:8" ht="16.5" customHeight="1" x14ac:dyDescent="0.15">
      <c r="A479" s="74"/>
      <c r="B479" s="60" t="s">
        <v>872</v>
      </c>
      <c r="C479" s="82"/>
      <c r="D479" s="7" t="s">
        <v>554</v>
      </c>
      <c r="G479" s="62" t="s">
        <v>1125</v>
      </c>
      <c r="H479" s="7"/>
    </row>
    <row r="480" spans="1:8" ht="16.5" customHeight="1" x14ac:dyDescent="0.15">
      <c r="A480" s="74"/>
      <c r="B480" s="60" t="s">
        <v>873</v>
      </c>
      <c r="C480" s="82"/>
      <c r="D480" s="7" t="s">
        <v>541</v>
      </c>
      <c r="G480" s="62" t="s">
        <v>1125</v>
      </c>
      <c r="H480" s="7"/>
    </row>
    <row r="481" spans="1:8" ht="16.5" customHeight="1" x14ac:dyDescent="0.15">
      <c r="A481" s="74"/>
      <c r="B481" s="60" t="s">
        <v>874</v>
      </c>
      <c r="C481" s="82"/>
      <c r="D481" s="7" t="s">
        <v>543</v>
      </c>
      <c r="G481" s="62" t="s">
        <v>1125</v>
      </c>
      <c r="H481" s="7"/>
    </row>
    <row r="482" spans="1:8" ht="16.5" customHeight="1" x14ac:dyDescent="0.15">
      <c r="A482" s="74"/>
      <c r="B482" s="60" t="s">
        <v>875</v>
      </c>
      <c r="C482" s="86"/>
      <c r="D482" s="7" t="s">
        <v>542</v>
      </c>
      <c r="G482" s="62" t="s">
        <v>1125</v>
      </c>
      <c r="H482" s="7"/>
    </row>
    <row r="483" spans="1:8" ht="16.5" customHeight="1" x14ac:dyDescent="0.15">
      <c r="A483" s="74"/>
      <c r="B483" s="60" t="s">
        <v>876</v>
      </c>
      <c r="C483" s="81" t="s">
        <v>533</v>
      </c>
      <c r="D483" s="7" t="s">
        <v>551</v>
      </c>
      <c r="G483" s="62" t="s">
        <v>1125</v>
      </c>
      <c r="H483" s="7"/>
    </row>
    <row r="484" spans="1:8" ht="16.5" customHeight="1" x14ac:dyDescent="0.15">
      <c r="A484" s="74"/>
      <c r="B484" s="60" t="s">
        <v>877</v>
      </c>
      <c r="C484" s="82"/>
      <c r="D484" s="7" t="s">
        <v>525</v>
      </c>
      <c r="G484" s="62" t="s">
        <v>1125</v>
      </c>
      <c r="H484" s="7"/>
    </row>
    <row r="485" spans="1:8" ht="16.5" customHeight="1" x14ac:dyDescent="0.15">
      <c r="A485" s="74"/>
      <c r="B485" s="60" t="s">
        <v>878</v>
      </c>
      <c r="C485" s="82"/>
      <c r="D485" s="7" t="s">
        <v>522</v>
      </c>
      <c r="G485" s="62" t="s">
        <v>1125</v>
      </c>
      <c r="H485" s="7"/>
    </row>
    <row r="486" spans="1:8" ht="16.5" customHeight="1" x14ac:dyDescent="0.15">
      <c r="A486" s="74"/>
      <c r="B486" s="60" t="s">
        <v>1055</v>
      </c>
      <c r="C486" s="82"/>
      <c r="D486" s="7" t="s">
        <v>552</v>
      </c>
      <c r="G486" s="62" t="s">
        <v>1125</v>
      </c>
      <c r="H486" s="7"/>
    </row>
    <row r="487" spans="1:8" ht="16.5" customHeight="1" x14ac:dyDescent="0.15">
      <c r="A487" s="74"/>
      <c r="B487" s="60" t="s">
        <v>879</v>
      </c>
      <c r="C487" s="82"/>
      <c r="D487" s="7" t="s">
        <v>541</v>
      </c>
      <c r="G487" s="62" t="s">
        <v>1125</v>
      </c>
      <c r="H487" s="7"/>
    </row>
    <row r="488" spans="1:8" ht="16.5" customHeight="1" x14ac:dyDescent="0.15">
      <c r="A488" s="74"/>
      <c r="B488" s="60" t="s">
        <v>880</v>
      </c>
      <c r="C488" s="82"/>
      <c r="D488" s="7" t="s">
        <v>543</v>
      </c>
      <c r="G488" s="62" t="s">
        <v>1125</v>
      </c>
      <c r="H488" s="7"/>
    </row>
    <row r="489" spans="1:8" ht="16.5" customHeight="1" x14ac:dyDescent="0.15">
      <c r="A489" s="74"/>
      <c r="B489" s="60" t="s">
        <v>881</v>
      </c>
      <c r="C489" s="86"/>
      <c r="D489" s="7" t="s">
        <v>542</v>
      </c>
      <c r="G489" s="62" t="s">
        <v>1125</v>
      </c>
      <c r="H489" s="7"/>
    </row>
    <row r="490" spans="1:8" ht="16.5" customHeight="1" x14ac:dyDescent="0.15">
      <c r="A490" s="74"/>
      <c r="B490" s="60" t="s">
        <v>882</v>
      </c>
      <c r="C490" s="81" t="s">
        <v>534</v>
      </c>
      <c r="D490" s="7" t="s">
        <v>544</v>
      </c>
      <c r="G490" s="62" t="s">
        <v>1125</v>
      </c>
      <c r="H490" s="7"/>
    </row>
    <row r="491" spans="1:8" ht="16.5" customHeight="1" x14ac:dyDescent="0.15">
      <c r="A491" s="74"/>
      <c r="B491" s="60" t="s">
        <v>883</v>
      </c>
      <c r="C491" s="82"/>
      <c r="D491" s="7" t="s">
        <v>525</v>
      </c>
      <c r="G491" s="62" t="s">
        <v>1125</v>
      </c>
      <c r="H491" s="7"/>
    </row>
    <row r="492" spans="1:8" ht="16.5" customHeight="1" x14ac:dyDescent="0.15">
      <c r="A492" s="74"/>
      <c r="B492" s="60" t="s">
        <v>884</v>
      </c>
      <c r="C492" s="82"/>
      <c r="D492" s="7" t="s">
        <v>522</v>
      </c>
      <c r="G492" s="62" t="s">
        <v>1125</v>
      </c>
      <c r="H492" s="7"/>
    </row>
    <row r="493" spans="1:8" ht="16.5" customHeight="1" x14ac:dyDescent="0.15">
      <c r="A493" s="74"/>
      <c r="B493" s="60" t="s">
        <v>885</v>
      </c>
      <c r="C493" s="82"/>
      <c r="D493" s="7" t="s">
        <v>545</v>
      </c>
      <c r="G493" s="62" t="s">
        <v>1125</v>
      </c>
      <c r="H493" s="7"/>
    </row>
    <row r="494" spans="1:8" ht="16.5" customHeight="1" x14ac:dyDescent="0.15">
      <c r="A494" s="74"/>
      <c r="B494" s="60" t="s">
        <v>886</v>
      </c>
      <c r="C494" s="82"/>
      <c r="D494" s="7" t="s">
        <v>541</v>
      </c>
      <c r="G494" s="62" t="s">
        <v>1125</v>
      </c>
      <c r="H494" s="7"/>
    </row>
    <row r="495" spans="1:8" ht="16.5" customHeight="1" x14ac:dyDescent="0.15">
      <c r="A495" s="74"/>
      <c r="B495" s="60" t="s">
        <v>887</v>
      </c>
      <c r="C495" s="82"/>
      <c r="D495" s="7" t="s">
        <v>543</v>
      </c>
      <c r="G495" s="62" t="s">
        <v>1125</v>
      </c>
      <c r="H495" s="7"/>
    </row>
    <row r="496" spans="1:8" ht="16.5" customHeight="1" x14ac:dyDescent="0.15">
      <c r="A496" s="74"/>
      <c r="B496" s="60" t="s">
        <v>1056</v>
      </c>
      <c r="C496" s="86"/>
      <c r="D496" s="7" t="s">
        <v>542</v>
      </c>
      <c r="G496" s="62" t="s">
        <v>1125</v>
      </c>
      <c r="H496" s="7"/>
    </row>
    <row r="497" spans="1:8" ht="16.5" customHeight="1" x14ac:dyDescent="0.15">
      <c r="A497" s="74"/>
      <c r="B497" s="60" t="s">
        <v>1057</v>
      </c>
      <c r="C497" s="81" t="s">
        <v>535</v>
      </c>
      <c r="D497" s="7" t="s">
        <v>539</v>
      </c>
      <c r="G497" s="62" t="s">
        <v>1125</v>
      </c>
      <c r="H497" s="7"/>
    </row>
    <row r="498" spans="1:8" ht="16.5" customHeight="1" x14ac:dyDescent="0.15">
      <c r="A498" s="74"/>
      <c r="B498" s="60" t="s">
        <v>1058</v>
      </c>
      <c r="C498" s="82"/>
      <c r="D498" s="7" t="s">
        <v>525</v>
      </c>
      <c r="G498" s="62" t="s">
        <v>1125</v>
      </c>
      <c r="H498" s="7"/>
    </row>
    <row r="499" spans="1:8" ht="16.5" customHeight="1" x14ac:dyDescent="0.15">
      <c r="A499" s="74"/>
      <c r="B499" s="60" t="s">
        <v>1059</v>
      </c>
      <c r="C499" s="82"/>
      <c r="D499" s="7" t="s">
        <v>522</v>
      </c>
      <c r="G499" s="62" t="s">
        <v>1125</v>
      </c>
      <c r="H499" s="7"/>
    </row>
    <row r="500" spans="1:8" ht="16.5" customHeight="1" x14ac:dyDescent="0.15">
      <c r="A500" s="74"/>
      <c r="B500" s="60" t="s">
        <v>888</v>
      </c>
      <c r="C500" s="82"/>
      <c r="D500" s="7" t="s">
        <v>540</v>
      </c>
      <c r="G500" s="62" t="s">
        <v>1125</v>
      </c>
      <c r="H500" s="7"/>
    </row>
    <row r="501" spans="1:8" ht="16.5" customHeight="1" x14ac:dyDescent="0.15">
      <c r="A501" s="74"/>
      <c r="B501" s="60" t="s">
        <v>889</v>
      </c>
      <c r="C501" s="82"/>
      <c r="D501" s="7" t="s">
        <v>541</v>
      </c>
      <c r="G501" s="62" t="s">
        <v>1125</v>
      </c>
      <c r="H501" s="7"/>
    </row>
    <row r="502" spans="1:8" ht="16.5" customHeight="1" x14ac:dyDescent="0.15">
      <c r="A502" s="74"/>
      <c r="B502" s="60" t="s">
        <v>890</v>
      </c>
      <c r="C502" s="82"/>
      <c r="D502" s="7" t="s">
        <v>543</v>
      </c>
      <c r="G502" s="62" t="s">
        <v>1125</v>
      </c>
      <c r="H502" s="7"/>
    </row>
    <row r="503" spans="1:8" ht="16.5" customHeight="1" x14ac:dyDescent="0.15">
      <c r="A503" s="74"/>
      <c r="B503" s="60" t="s">
        <v>891</v>
      </c>
      <c r="C503" s="86"/>
      <c r="D503" s="7" t="s">
        <v>542</v>
      </c>
      <c r="G503" s="62" t="s">
        <v>1125</v>
      </c>
      <c r="H503" s="7"/>
    </row>
    <row r="504" spans="1:8" ht="16.5" customHeight="1" x14ac:dyDescent="0.15">
      <c r="A504" s="74"/>
      <c r="B504" s="60" t="s">
        <v>892</v>
      </c>
      <c r="C504" s="81" t="s">
        <v>536</v>
      </c>
      <c r="D504" s="7" t="s">
        <v>537</v>
      </c>
      <c r="G504" s="62" t="s">
        <v>1125</v>
      </c>
      <c r="H504" s="7"/>
    </row>
    <row r="505" spans="1:8" ht="16.5" customHeight="1" x14ac:dyDescent="0.15">
      <c r="A505" s="74"/>
      <c r="B505" s="60" t="s">
        <v>893</v>
      </c>
      <c r="C505" s="82"/>
      <c r="D505" s="7" t="s">
        <v>525</v>
      </c>
      <c r="G505" s="62" t="s">
        <v>1125</v>
      </c>
      <c r="H505" s="7"/>
    </row>
    <row r="506" spans="1:8" ht="16.5" customHeight="1" x14ac:dyDescent="0.15">
      <c r="A506" s="74"/>
      <c r="B506" s="60" t="s">
        <v>894</v>
      </c>
      <c r="C506" s="82"/>
      <c r="D506" s="7" t="s">
        <v>522</v>
      </c>
      <c r="G506" s="62" t="s">
        <v>1125</v>
      </c>
      <c r="H506" s="7"/>
    </row>
    <row r="507" spans="1:8" ht="16.5" customHeight="1" x14ac:dyDescent="0.15">
      <c r="A507" s="74"/>
      <c r="B507" s="60" t="s">
        <v>895</v>
      </c>
      <c r="C507" s="82"/>
      <c r="D507" s="7" t="s">
        <v>538</v>
      </c>
      <c r="G507" s="62" t="s">
        <v>1125</v>
      </c>
      <c r="H507" s="7"/>
    </row>
    <row r="508" spans="1:8" ht="16.5" customHeight="1" x14ac:dyDescent="0.15">
      <c r="A508" s="74"/>
      <c r="B508" s="60" t="s">
        <v>896</v>
      </c>
      <c r="C508" s="82"/>
      <c r="D508" s="7" t="s">
        <v>541</v>
      </c>
      <c r="G508" s="62" t="s">
        <v>1125</v>
      </c>
      <c r="H508" s="7"/>
    </row>
    <row r="509" spans="1:8" ht="16.5" customHeight="1" x14ac:dyDescent="0.15">
      <c r="A509" s="74"/>
      <c r="B509" s="60" t="s">
        <v>1113</v>
      </c>
      <c r="C509" s="82"/>
      <c r="D509" s="7" t="s">
        <v>543</v>
      </c>
      <c r="G509" s="62" t="s">
        <v>1125</v>
      </c>
      <c r="H509" s="7"/>
    </row>
    <row r="510" spans="1:8" ht="16.5" customHeight="1" x14ac:dyDescent="0.15">
      <c r="A510" s="93"/>
      <c r="B510" s="60" t="s">
        <v>897</v>
      </c>
      <c r="C510" s="86"/>
      <c r="D510" s="7" t="s">
        <v>542</v>
      </c>
      <c r="G510" s="62" t="s">
        <v>1125</v>
      </c>
      <c r="H510" s="7"/>
    </row>
    <row r="511" spans="1:8" ht="16.5" customHeight="1" x14ac:dyDescent="0.15">
      <c r="A511" s="92" t="s">
        <v>233</v>
      </c>
      <c r="B511" s="60" t="s">
        <v>1061</v>
      </c>
      <c r="C511" s="7" t="s">
        <v>238</v>
      </c>
      <c r="D511" s="7" t="s">
        <v>235</v>
      </c>
      <c r="G511" s="62" t="s">
        <v>1125</v>
      </c>
      <c r="H511" s="7"/>
    </row>
    <row r="512" spans="1:8" ht="16.5" customHeight="1" x14ac:dyDescent="0.15">
      <c r="A512" s="92"/>
      <c r="B512" s="60" t="s">
        <v>898</v>
      </c>
      <c r="C512" s="7" t="s">
        <v>237</v>
      </c>
      <c r="D512" s="7" t="s">
        <v>236</v>
      </c>
      <c r="G512" s="62" t="s">
        <v>1125</v>
      </c>
      <c r="H512" s="7"/>
    </row>
    <row r="513" spans="1:220" ht="16.5" customHeight="1" x14ac:dyDescent="0.15">
      <c r="A513" s="92"/>
      <c r="B513" s="60" t="s">
        <v>899</v>
      </c>
      <c r="C513" s="7" t="s">
        <v>248</v>
      </c>
      <c r="D513" s="7" t="s">
        <v>234</v>
      </c>
      <c r="G513" s="62" t="s">
        <v>1125</v>
      </c>
      <c r="H513" s="7"/>
    </row>
    <row r="514" spans="1:220" ht="16.5" customHeight="1" x14ac:dyDescent="0.15">
      <c r="A514" s="92"/>
      <c r="B514" s="60" t="s">
        <v>900</v>
      </c>
      <c r="C514" s="7" t="s">
        <v>247</v>
      </c>
      <c r="D514" s="7" t="s">
        <v>234</v>
      </c>
      <c r="G514" s="62" t="s">
        <v>1125</v>
      </c>
      <c r="H514" s="7"/>
    </row>
    <row r="515" spans="1:220" ht="16.5" customHeight="1" x14ac:dyDescent="0.15">
      <c r="A515" s="92"/>
      <c r="B515" s="60" t="s">
        <v>901</v>
      </c>
      <c r="C515" s="7" t="s">
        <v>246</v>
      </c>
      <c r="D515" s="7" t="s">
        <v>244</v>
      </c>
      <c r="G515" s="62" t="s">
        <v>1125</v>
      </c>
      <c r="H515" s="7"/>
    </row>
    <row r="516" spans="1:220" ht="16.5" customHeight="1" x14ac:dyDescent="0.15">
      <c r="A516" s="92"/>
      <c r="B516" s="60" t="s">
        <v>902</v>
      </c>
      <c r="C516" s="7" t="s">
        <v>245</v>
      </c>
      <c r="D516" s="7" t="s">
        <v>244</v>
      </c>
      <c r="G516" s="62" t="s">
        <v>1125</v>
      </c>
      <c r="H516" s="7"/>
    </row>
    <row r="517" spans="1:220" ht="16.5" customHeight="1" x14ac:dyDescent="0.15">
      <c r="A517" s="92"/>
      <c r="B517" s="60" t="s">
        <v>903</v>
      </c>
      <c r="C517" s="7" t="s">
        <v>251</v>
      </c>
      <c r="D517" s="7" t="s">
        <v>243</v>
      </c>
      <c r="G517" s="62" t="s">
        <v>1125</v>
      </c>
      <c r="H517" s="7"/>
    </row>
    <row r="518" spans="1:220" ht="16.5" customHeight="1" x14ac:dyDescent="0.15">
      <c r="A518" s="92"/>
      <c r="B518" s="60" t="s">
        <v>904</v>
      </c>
      <c r="C518" s="7" t="s">
        <v>250</v>
      </c>
      <c r="D518" s="7" t="s">
        <v>242</v>
      </c>
      <c r="G518" s="62" t="s">
        <v>1125</v>
      </c>
      <c r="H518" s="7"/>
    </row>
    <row r="519" spans="1:220" ht="16.5" customHeight="1" x14ac:dyDescent="0.15">
      <c r="A519" s="92"/>
      <c r="B519" s="60" t="s">
        <v>1114</v>
      </c>
      <c r="C519" s="7" t="s">
        <v>249</v>
      </c>
      <c r="D519" s="7" t="s">
        <v>234</v>
      </c>
      <c r="G519" s="63" t="s">
        <v>21</v>
      </c>
      <c r="H519" s="7"/>
      <c r="J519" s="64" t="s">
        <v>1127</v>
      </c>
    </row>
    <row r="520" spans="1:220" ht="16.5" customHeight="1" x14ac:dyDescent="0.15">
      <c r="A520" s="92"/>
      <c r="B520" s="60" t="s">
        <v>1115</v>
      </c>
      <c r="C520" s="7" t="s">
        <v>241</v>
      </c>
      <c r="D520" s="7" t="s">
        <v>234</v>
      </c>
      <c r="G520" s="62" t="s">
        <v>1125</v>
      </c>
      <c r="H520" s="7"/>
    </row>
    <row r="521" spans="1:220" ht="16.5" customHeight="1" x14ac:dyDescent="0.15">
      <c r="A521" s="92"/>
      <c r="B521" s="60" t="s">
        <v>1116</v>
      </c>
      <c r="C521" s="7" t="s">
        <v>240</v>
      </c>
      <c r="D521" s="7" t="s">
        <v>234</v>
      </c>
      <c r="G521" s="62" t="s">
        <v>1125</v>
      </c>
      <c r="H521" s="7"/>
    </row>
    <row r="522" spans="1:220" ht="16.5" customHeight="1" x14ac:dyDescent="0.15">
      <c r="A522" s="92"/>
      <c r="B522" s="60" t="s">
        <v>1117</v>
      </c>
      <c r="C522" s="7" t="s">
        <v>239</v>
      </c>
      <c r="D522" s="7" t="s">
        <v>234</v>
      </c>
      <c r="G522" s="62" t="s">
        <v>1125</v>
      </c>
      <c r="H522" s="7"/>
    </row>
    <row r="523" spans="1:220" ht="16.5" customHeight="1" x14ac:dyDescent="0.15">
      <c r="A523" s="60" t="s">
        <v>168</v>
      </c>
      <c r="B523" s="60" t="s">
        <v>1064</v>
      </c>
      <c r="C523" s="55" t="s">
        <v>784</v>
      </c>
      <c r="D523" s="55" t="s">
        <v>784</v>
      </c>
      <c r="G523" s="69" t="s">
        <v>26</v>
      </c>
      <c r="H523" s="7"/>
    </row>
    <row r="524" spans="1:220" s="19" customFormat="1" x14ac:dyDescent="0.15">
      <c r="A524" s="87" t="s">
        <v>492</v>
      </c>
      <c r="B524" s="88"/>
      <c r="C524" s="88"/>
      <c r="D524" s="88"/>
      <c r="E524" s="88"/>
      <c r="F524" s="88"/>
      <c r="G524" s="88"/>
      <c r="H524" s="88"/>
      <c r="I524" s="88"/>
      <c r="J524" s="89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D524" s="15"/>
      <c r="DE524" s="15"/>
      <c r="DF524" s="15"/>
      <c r="DG524" s="15"/>
      <c r="DH524" s="15"/>
      <c r="DI524" s="15"/>
      <c r="DJ524" s="15"/>
      <c r="DK524" s="15"/>
      <c r="DL524" s="15"/>
      <c r="DM524" s="15"/>
      <c r="DN524" s="15"/>
      <c r="DO524" s="15"/>
      <c r="DP524" s="15"/>
      <c r="DQ524" s="15"/>
      <c r="DR524" s="15"/>
      <c r="DS524" s="15"/>
      <c r="DT524" s="15"/>
      <c r="DU524" s="15"/>
      <c r="DV524" s="15"/>
      <c r="DW524" s="15"/>
      <c r="DX524" s="15"/>
      <c r="DY524" s="15"/>
      <c r="DZ524" s="15"/>
      <c r="EA524" s="15"/>
      <c r="EB524" s="15"/>
      <c r="EC524" s="15"/>
      <c r="ED524" s="15"/>
      <c r="EE524" s="15"/>
      <c r="EF524" s="15"/>
      <c r="EG524" s="15"/>
      <c r="EH524" s="15"/>
      <c r="EI524" s="15"/>
      <c r="EJ524" s="15"/>
      <c r="EK524" s="15"/>
      <c r="EL524" s="15"/>
      <c r="EM524" s="15"/>
      <c r="EN524" s="15"/>
      <c r="EO524" s="15"/>
      <c r="EP524" s="15"/>
      <c r="EQ524" s="15"/>
      <c r="ER524" s="15"/>
      <c r="ES524" s="15"/>
      <c r="ET524" s="15"/>
      <c r="EU524" s="15"/>
      <c r="EV524" s="15"/>
      <c r="EW524" s="15"/>
      <c r="EX524" s="15"/>
      <c r="EY524" s="15"/>
      <c r="EZ524" s="15"/>
      <c r="FA524" s="15"/>
      <c r="FB524" s="15"/>
      <c r="FC524" s="15"/>
      <c r="FD524" s="15"/>
      <c r="FE524" s="15"/>
      <c r="FF524" s="15"/>
      <c r="FG524" s="15"/>
      <c r="FH524" s="15"/>
      <c r="FI524" s="15"/>
      <c r="FJ524" s="15"/>
      <c r="FK524" s="15"/>
      <c r="FL524" s="15"/>
      <c r="FM524" s="15"/>
      <c r="FN524" s="15"/>
      <c r="FO524" s="15"/>
      <c r="FP524" s="15"/>
      <c r="FQ524" s="15"/>
      <c r="FR524" s="15"/>
      <c r="FS524" s="15"/>
      <c r="FT524" s="15"/>
      <c r="FU524" s="15"/>
      <c r="FV524" s="15"/>
      <c r="FW524" s="15"/>
      <c r="FX524" s="15"/>
      <c r="FY524" s="15"/>
      <c r="FZ524" s="15"/>
      <c r="GA524" s="15"/>
      <c r="GB524" s="15"/>
      <c r="GC524" s="15"/>
      <c r="GD524" s="15"/>
      <c r="GE524" s="15"/>
      <c r="GF524" s="15"/>
      <c r="GG524" s="15"/>
      <c r="GH524" s="15"/>
      <c r="GI524" s="15"/>
      <c r="GJ524" s="15"/>
      <c r="GK524" s="15"/>
      <c r="GL524" s="15"/>
      <c r="GM524" s="15"/>
      <c r="GN524" s="15"/>
      <c r="GO524" s="15"/>
      <c r="GP524" s="15"/>
      <c r="GQ524" s="15"/>
      <c r="GR524" s="15"/>
      <c r="GS524" s="15"/>
      <c r="GT524" s="15"/>
      <c r="GU524" s="15"/>
      <c r="GV524" s="15"/>
      <c r="GW524" s="15"/>
      <c r="GX524" s="15"/>
      <c r="GY524" s="15"/>
      <c r="GZ524" s="15"/>
      <c r="HA524" s="15"/>
      <c r="HB524" s="15"/>
      <c r="HC524" s="15"/>
      <c r="HD524" s="15"/>
      <c r="HE524" s="15"/>
      <c r="HF524" s="15"/>
      <c r="HG524" s="15"/>
      <c r="HH524" s="15"/>
      <c r="HI524" s="15"/>
      <c r="HJ524" s="15"/>
      <c r="HK524" s="15"/>
      <c r="HL524" s="15"/>
    </row>
    <row r="525" spans="1:220" ht="13.5" customHeight="1" x14ac:dyDescent="0.15">
      <c r="A525" s="59" t="s">
        <v>28</v>
      </c>
      <c r="B525" s="48" t="s">
        <v>29</v>
      </c>
      <c r="C525" s="12" t="s">
        <v>0</v>
      </c>
      <c r="D525" s="6" t="s">
        <v>30</v>
      </c>
      <c r="E525" s="48" t="s">
        <v>31</v>
      </c>
      <c r="F525" s="48" t="s">
        <v>32</v>
      </c>
      <c r="G525" s="90" t="s">
        <v>34</v>
      </c>
      <c r="H525" s="90"/>
      <c r="I525" s="90"/>
      <c r="J525" s="28" t="s">
        <v>10</v>
      </c>
    </row>
    <row r="526" spans="1:220" ht="16.5" customHeight="1" x14ac:dyDescent="0.15">
      <c r="A526" s="73" t="s">
        <v>491</v>
      </c>
      <c r="B526" s="49" t="s">
        <v>1060</v>
      </c>
      <c r="C526" s="81" t="s">
        <v>1139</v>
      </c>
      <c r="D526" s="7" t="s">
        <v>1138</v>
      </c>
      <c r="G526" s="62" t="s">
        <v>1125</v>
      </c>
      <c r="H526" s="7"/>
    </row>
    <row r="527" spans="1:220" ht="16.5" customHeight="1" x14ac:dyDescent="0.15">
      <c r="A527" s="74"/>
      <c r="B527" s="60" t="s">
        <v>1060</v>
      </c>
      <c r="C527" s="79"/>
      <c r="D527" s="7" t="s">
        <v>1140</v>
      </c>
      <c r="G527" s="62" t="s">
        <v>1125</v>
      </c>
      <c r="H527" s="7"/>
    </row>
    <row r="528" spans="1:220" ht="51.75" customHeight="1" x14ac:dyDescent="0.15">
      <c r="A528" s="74"/>
      <c r="B528" s="60" t="s">
        <v>1060</v>
      </c>
      <c r="C528" s="29" t="s">
        <v>978</v>
      </c>
      <c r="D528" s="7" t="s">
        <v>979</v>
      </c>
      <c r="G528" s="62" t="s">
        <v>1125</v>
      </c>
      <c r="H528" s="7"/>
    </row>
    <row r="529" spans="1:8" ht="16.5" customHeight="1" x14ac:dyDescent="0.15">
      <c r="A529" s="74"/>
      <c r="B529" s="60" t="s">
        <v>897</v>
      </c>
      <c r="C529" s="81" t="s">
        <v>1141</v>
      </c>
      <c r="D529" s="7" t="s">
        <v>1142</v>
      </c>
      <c r="G529" s="62" t="s">
        <v>1125</v>
      </c>
      <c r="H529" s="7"/>
    </row>
    <row r="530" spans="1:8" ht="16.5" customHeight="1" x14ac:dyDescent="0.15">
      <c r="A530" s="74"/>
      <c r="B530" s="60" t="s">
        <v>1061</v>
      </c>
      <c r="C530" s="82"/>
      <c r="D530" s="55" t="s">
        <v>1143</v>
      </c>
      <c r="G530" s="62" t="s">
        <v>1125</v>
      </c>
      <c r="H530" s="7"/>
    </row>
    <row r="531" spans="1:8" ht="16.5" customHeight="1" x14ac:dyDescent="0.15">
      <c r="A531" s="74"/>
      <c r="B531" s="60" t="s">
        <v>898</v>
      </c>
      <c r="C531" s="86"/>
      <c r="D531" s="110" t="s">
        <v>1144</v>
      </c>
      <c r="G531" s="62" t="s">
        <v>1125</v>
      </c>
      <c r="H531" s="7"/>
    </row>
    <row r="532" spans="1:8" ht="16.5" customHeight="1" x14ac:dyDescent="0.15">
      <c r="A532" s="74"/>
      <c r="B532" s="60" t="s">
        <v>899</v>
      </c>
      <c r="C532" s="81" t="s">
        <v>1145</v>
      </c>
      <c r="D532" s="7" t="s">
        <v>1146</v>
      </c>
      <c r="G532" s="62" t="s">
        <v>1125</v>
      </c>
      <c r="H532" s="7"/>
    </row>
    <row r="533" spans="1:8" ht="16.5" customHeight="1" x14ac:dyDescent="0.15">
      <c r="A533" s="74"/>
      <c r="B533" s="60" t="s">
        <v>900</v>
      </c>
      <c r="C533" s="82"/>
      <c r="D533" s="55" t="s">
        <v>1148</v>
      </c>
      <c r="G533" s="62" t="s">
        <v>1125</v>
      </c>
      <c r="H533" s="7"/>
    </row>
    <row r="534" spans="1:8" ht="16.5" customHeight="1" x14ac:dyDescent="0.15">
      <c r="A534" s="74"/>
      <c r="B534" s="60" t="s">
        <v>901</v>
      </c>
      <c r="C534" s="86"/>
      <c r="D534" s="110" t="s">
        <v>1147</v>
      </c>
      <c r="G534" s="62" t="s">
        <v>1125</v>
      </c>
      <c r="H534" s="7"/>
    </row>
    <row r="535" spans="1:8" ht="16.5" customHeight="1" x14ac:dyDescent="0.15">
      <c r="A535" s="74"/>
      <c r="B535" s="60" t="s">
        <v>902</v>
      </c>
      <c r="C535" s="81" t="s">
        <v>1153</v>
      </c>
      <c r="D535" s="7" t="s">
        <v>1149</v>
      </c>
      <c r="G535" s="62" t="s">
        <v>1125</v>
      </c>
      <c r="H535" s="7"/>
    </row>
    <row r="536" spans="1:8" ht="16.5" customHeight="1" x14ac:dyDescent="0.15">
      <c r="A536" s="74"/>
      <c r="B536" s="60" t="s">
        <v>903</v>
      </c>
      <c r="C536" s="82"/>
      <c r="D536" s="55" t="s">
        <v>1151</v>
      </c>
      <c r="G536" s="62" t="s">
        <v>1125</v>
      </c>
      <c r="H536" s="7"/>
    </row>
    <row r="537" spans="1:8" ht="16.5" customHeight="1" x14ac:dyDescent="0.15">
      <c r="A537" s="74"/>
      <c r="B537" s="60" t="s">
        <v>904</v>
      </c>
      <c r="C537" s="86"/>
      <c r="D537" s="110" t="s">
        <v>1150</v>
      </c>
      <c r="G537" s="62" t="s">
        <v>1125</v>
      </c>
      <c r="H537" s="7"/>
    </row>
    <row r="538" spans="1:8" ht="16.5" customHeight="1" x14ac:dyDescent="0.15">
      <c r="A538" s="74"/>
      <c r="B538" s="60" t="s">
        <v>1114</v>
      </c>
      <c r="C538" s="81" t="s">
        <v>1154</v>
      </c>
      <c r="D538" s="7" t="s">
        <v>1152</v>
      </c>
      <c r="G538" s="62" t="s">
        <v>1125</v>
      </c>
      <c r="H538" s="7"/>
    </row>
    <row r="539" spans="1:8" ht="16.5" customHeight="1" x14ac:dyDescent="0.15">
      <c r="A539" s="74"/>
      <c r="B539" s="60" t="s">
        <v>1115</v>
      </c>
      <c r="C539" s="82"/>
      <c r="D539" s="55" t="s">
        <v>1156</v>
      </c>
      <c r="G539" s="62" t="s">
        <v>1125</v>
      </c>
      <c r="H539" s="7"/>
    </row>
    <row r="540" spans="1:8" ht="16.5" customHeight="1" x14ac:dyDescent="0.15">
      <c r="A540" s="74"/>
      <c r="B540" s="60" t="s">
        <v>1116</v>
      </c>
      <c r="C540" s="86"/>
      <c r="D540" s="110" t="s">
        <v>1155</v>
      </c>
      <c r="G540" s="62" t="s">
        <v>1125</v>
      </c>
      <c r="H540" s="7"/>
    </row>
    <row r="541" spans="1:8" ht="16.5" customHeight="1" x14ac:dyDescent="0.15">
      <c r="A541" s="74"/>
      <c r="B541" s="60" t="s">
        <v>1117</v>
      </c>
      <c r="C541" s="81" t="s">
        <v>1157</v>
      </c>
      <c r="D541" s="7" t="s">
        <v>1160</v>
      </c>
      <c r="G541" s="62" t="s">
        <v>1125</v>
      </c>
      <c r="H541" s="7"/>
    </row>
    <row r="542" spans="1:8" ht="16.5" customHeight="1" x14ac:dyDescent="0.15">
      <c r="A542" s="74"/>
      <c r="B542" s="60" t="s">
        <v>1064</v>
      </c>
      <c r="C542" s="82"/>
      <c r="D542" s="55" t="s">
        <v>1162</v>
      </c>
      <c r="G542" s="62" t="s">
        <v>1125</v>
      </c>
      <c r="H542" s="7"/>
    </row>
    <row r="543" spans="1:8" ht="16.5" customHeight="1" x14ac:dyDescent="0.15">
      <c r="A543" s="74"/>
      <c r="B543" s="60" t="s">
        <v>1065</v>
      </c>
      <c r="C543" s="86"/>
      <c r="D543" s="110" t="s">
        <v>1161</v>
      </c>
      <c r="G543" s="62" t="s">
        <v>1125</v>
      </c>
      <c r="H543" s="7"/>
    </row>
    <row r="544" spans="1:8" ht="16.5" customHeight="1" x14ac:dyDescent="0.15">
      <c r="A544" s="74"/>
      <c r="B544" s="60" t="s">
        <v>1066</v>
      </c>
      <c r="C544" s="81" t="s">
        <v>1141</v>
      </c>
      <c r="D544" s="7" t="s">
        <v>1142</v>
      </c>
      <c r="G544" s="62" t="s">
        <v>1125</v>
      </c>
      <c r="H544" s="7"/>
    </row>
    <row r="545" spans="1:8" ht="16.5" customHeight="1" x14ac:dyDescent="0.15">
      <c r="A545" s="74"/>
      <c r="B545" s="60" t="s">
        <v>1067</v>
      </c>
      <c r="C545" s="82"/>
      <c r="D545" s="55" t="s">
        <v>1143</v>
      </c>
      <c r="G545" s="62" t="s">
        <v>1125</v>
      </c>
      <c r="H545" s="7"/>
    </row>
    <row r="546" spans="1:8" ht="16.5" customHeight="1" x14ac:dyDescent="0.15">
      <c r="A546" s="74"/>
      <c r="B546" s="60" t="s">
        <v>1068</v>
      </c>
      <c r="C546" s="86"/>
      <c r="D546" s="110" t="s">
        <v>1144</v>
      </c>
      <c r="G546" s="62" t="s">
        <v>1125</v>
      </c>
      <c r="H546" s="7"/>
    </row>
    <row r="547" spans="1:8" ht="16.5" customHeight="1" x14ac:dyDescent="0.15">
      <c r="A547" s="74"/>
      <c r="B547" s="60" t="s">
        <v>1069</v>
      </c>
      <c r="C547" s="81" t="s">
        <v>1158</v>
      </c>
      <c r="D547" s="7" t="s">
        <v>1159</v>
      </c>
      <c r="G547" s="62" t="s">
        <v>1125</v>
      </c>
      <c r="H547" s="7"/>
    </row>
    <row r="548" spans="1:8" ht="16.5" customHeight="1" x14ac:dyDescent="0.15">
      <c r="A548" s="74"/>
      <c r="B548" s="60" t="s">
        <v>1070</v>
      </c>
      <c r="C548" s="82"/>
      <c r="D548" s="55" t="s">
        <v>1148</v>
      </c>
      <c r="G548" s="62" t="s">
        <v>1125</v>
      </c>
      <c r="H548" s="7"/>
    </row>
    <row r="549" spans="1:8" ht="16.5" customHeight="1" x14ac:dyDescent="0.15">
      <c r="A549" s="74"/>
      <c r="B549" s="60" t="s">
        <v>1071</v>
      </c>
      <c r="C549" s="86"/>
      <c r="D549" s="110" t="s">
        <v>1147</v>
      </c>
      <c r="G549" s="62" t="s">
        <v>1125</v>
      </c>
      <c r="H549" s="7"/>
    </row>
    <row r="550" spans="1:8" ht="16.5" customHeight="1" x14ac:dyDescent="0.15">
      <c r="A550" s="74"/>
      <c r="B550" s="60"/>
      <c r="C550" s="81" t="s">
        <v>1163</v>
      </c>
      <c r="D550" s="7" t="s">
        <v>1164</v>
      </c>
      <c r="G550" s="62" t="s">
        <v>1125</v>
      </c>
      <c r="H550" s="7"/>
    </row>
    <row r="551" spans="1:8" ht="16.5" customHeight="1" x14ac:dyDescent="0.15">
      <c r="A551" s="74"/>
      <c r="B551" s="60"/>
      <c r="C551" s="82"/>
      <c r="D551" s="55" t="s">
        <v>1166</v>
      </c>
      <c r="G551" s="62" t="s">
        <v>1125</v>
      </c>
      <c r="H551" s="7"/>
    </row>
    <row r="552" spans="1:8" ht="16.5" customHeight="1" x14ac:dyDescent="0.15">
      <c r="A552" s="74"/>
      <c r="B552" s="60"/>
      <c r="C552" s="86"/>
      <c r="D552" s="110" t="s">
        <v>1165</v>
      </c>
      <c r="G552" s="62" t="s">
        <v>1125</v>
      </c>
      <c r="H552" s="7"/>
    </row>
    <row r="553" spans="1:8" ht="51.75" customHeight="1" x14ac:dyDescent="0.15">
      <c r="A553" s="74"/>
      <c r="B553" s="56" t="s">
        <v>897</v>
      </c>
      <c r="C553" s="29" t="s">
        <v>991</v>
      </c>
      <c r="D553" s="7" t="s">
        <v>980</v>
      </c>
      <c r="G553" s="62" t="s">
        <v>1125</v>
      </c>
      <c r="H553" s="7"/>
    </row>
    <row r="554" spans="1:8" ht="56.25" customHeight="1" x14ac:dyDescent="0.15">
      <c r="A554" s="74"/>
      <c r="B554" s="56" t="s">
        <v>1061</v>
      </c>
      <c r="C554" s="29" t="s">
        <v>992</v>
      </c>
      <c r="D554" s="7" t="s">
        <v>980</v>
      </c>
      <c r="G554" s="62" t="s">
        <v>1125</v>
      </c>
      <c r="H554" s="7"/>
    </row>
    <row r="555" spans="1:8" ht="55.5" customHeight="1" x14ac:dyDescent="0.15">
      <c r="A555" s="74"/>
      <c r="B555" s="56" t="s">
        <v>898</v>
      </c>
      <c r="C555" s="29" t="s">
        <v>993</v>
      </c>
      <c r="D555" s="7" t="s">
        <v>987</v>
      </c>
      <c r="G555" s="62" t="s">
        <v>1125</v>
      </c>
      <c r="H555" s="7"/>
    </row>
    <row r="556" spans="1:8" ht="53.25" customHeight="1" x14ac:dyDescent="0.15">
      <c r="A556" s="74"/>
      <c r="B556" s="56" t="s">
        <v>899</v>
      </c>
      <c r="C556" s="29" t="s">
        <v>994</v>
      </c>
      <c r="D556" s="7" t="s">
        <v>988</v>
      </c>
      <c r="G556" s="62" t="s">
        <v>1125</v>
      </c>
      <c r="H556" s="7"/>
    </row>
    <row r="557" spans="1:8" ht="56.25" customHeight="1" x14ac:dyDescent="0.15">
      <c r="A557" s="74"/>
      <c r="B557" s="56" t="s">
        <v>900</v>
      </c>
      <c r="C557" s="29" t="s">
        <v>995</v>
      </c>
      <c r="D557" s="7" t="s">
        <v>988</v>
      </c>
      <c r="G557" s="62" t="s">
        <v>1125</v>
      </c>
      <c r="H557" s="7"/>
    </row>
    <row r="558" spans="1:8" ht="39.75" customHeight="1" x14ac:dyDescent="0.15">
      <c r="A558" s="74"/>
      <c r="B558" s="56" t="s">
        <v>901</v>
      </c>
      <c r="C558" s="29" t="s">
        <v>985</v>
      </c>
      <c r="D558" s="7" t="s">
        <v>983</v>
      </c>
      <c r="G558" s="62" t="s">
        <v>1125</v>
      </c>
      <c r="H558" s="7"/>
    </row>
    <row r="559" spans="1:8" ht="33" customHeight="1" x14ac:dyDescent="0.15">
      <c r="A559" s="74"/>
      <c r="B559" s="56" t="s">
        <v>902</v>
      </c>
      <c r="C559" s="29" t="s">
        <v>986</v>
      </c>
      <c r="D559" s="7" t="s">
        <v>984</v>
      </c>
      <c r="G559" s="62" t="s">
        <v>1125</v>
      </c>
      <c r="H559" s="7"/>
    </row>
    <row r="560" spans="1:8" ht="16.5" customHeight="1" x14ac:dyDescent="0.15">
      <c r="A560" s="74"/>
      <c r="B560" s="56" t="s">
        <v>903</v>
      </c>
      <c r="C560" s="7" t="s">
        <v>989</v>
      </c>
      <c r="D560" s="7" t="s">
        <v>981</v>
      </c>
      <c r="G560" s="62" t="s">
        <v>1125</v>
      </c>
      <c r="H560" s="7"/>
    </row>
    <row r="561" spans="1:220" ht="16.5" customHeight="1" x14ac:dyDescent="0.15">
      <c r="A561" s="74"/>
      <c r="B561" s="56" t="s">
        <v>904</v>
      </c>
      <c r="C561" s="7" t="s">
        <v>990</v>
      </c>
      <c r="D561" s="7" t="s">
        <v>982</v>
      </c>
      <c r="G561" s="62" t="s">
        <v>1125</v>
      </c>
      <c r="H561" s="7"/>
    </row>
    <row r="562" spans="1:220" s="19" customFormat="1" x14ac:dyDescent="0.15">
      <c r="A562" s="87" t="s">
        <v>1130</v>
      </c>
      <c r="B562" s="88"/>
      <c r="C562" s="88"/>
      <c r="D562" s="88"/>
      <c r="E562" s="88"/>
      <c r="F562" s="88"/>
      <c r="G562" s="88"/>
      <c r="H562" s="88"/>
      <c r="I562" s="88"/>
      <c r="J562" s="89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5"/>
      <c r="DL562" s="15"/>
      <c r="DM562" s="15"/>
      <c r="DN562" s="15"/>
      <c r="DO562" s="15"/>
      <c r="DP562" s="15"/>
      <c r="DQ562" s="15"/>
      <c r="DR562" s="15"/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5"/>
      <c r="ED562" s="15"/>
      <c r="EE562" s="15"/>
      <c r="EF562" s="15"/>
      <c r="EG562" s="15"/>
      <c r="EH562" s="15"/>
      <c r="EI562" s="15"/>
      <c r="EJ562" s="15"/>
      <c r="EK562" s="15"/>
      <c r="EL562" s="15"/>
      <c r="EM562" s="15"/>
      <c r="EN562" s="15"/>
      <c r="EO562" s="15"/>
      <c r="EP562" s="15"/>
      <c r="EQ562" s="15"/>
      <c r="ER562" s="15"/>
      <c r="ES562" s="15"/>
      <c r="ET562" s="15"/>
      <c r="EU562" s="15"/>
      <c r="EV562" s="15"/>
      <c r="EW562" s="15"/>
      <c r="EX562" s="15"/>
      <c r="EY562" s="15"/>
      <c r="EZ562" s="15"/>
      <c r="FA562" s="15"/>
      <c r="FB562" s="15"/>
      <c r="FC562" s="15"/>
      <c r="FD562" s="15"/>
      <c r="FE562" s="15"/>
      <c r="FF562" s="15"/>
      <c r="FG562" s="15"/>
      <c r="FH562" s="15"/>
      <c r="FI562" s="15"/>
      <c r="FJ562" s="15"/>
      <c r="FK562" s="15"/>
      <c r="FL562" s="15"/>
      <c r="FM562" s="15"/>
      <c r="FN562" s="15"/>
      <c r="FO562" s="15"/>
      <c r="FP562" s="15"/>
      <c r="FQ562" s="15"/>
      <c r="FR562" s="15"/>
      <c r="FS562" s="15"/>
      <c r="FT562" s="15"/>
      <c r="FU562" s="15"/>
      <c r="FV562" s="15"/>
      <c r="FW562" s="15"/>
      <c r="FX562" s="15"/>
      <c r="FY562" s="15"/>
      <c r="FZ562" s="15"/>
      <c r="GA562" s="15"/>
      <c r="GB562" s="15"/>
      <c r="GC562" s="15"/>
      <c r="GD562" s="15"/>
      <c r="GE562" s="15"/>
      <c r="GF562" s="15"/>
      <c r="GG562" s="15"/>
      <c r="GH562" s="15"/>
      <c r="GI562" s="15"/>
      <c r="GJ562" s="15"/>
      <c r="GK562" s="15"/>
      <c r="GL562" s="15"/>
      <c r="GM562" s="15"/>
      <c r="GN562" s="15"/>
      <c r="GO562" s="15"/>
      <c r="GP562" s="15"/>
      <c r="GQ562" s="15"/>
      <c r="GR562" s="15"/>
      <c r="GS562" s="15"/>
      <c r="GT562" s="15"/>
      <c r="GU562" s="15"/>
      <c r="GV562" s="15"/>
      <c r="GW562" s="15"/>
      <c r="GX562" s="15"/>
      <c r="GY562" s="15"/>
      <c r="GZ562" s="15"/>
      <c r="HA562" s="15"/>
      <c r="HB562" s="15"/>
      <c r="HC562" s="15"/>
      <c r="HD562" s="15"/>
      <c r="HE562" s="15"/>
      <c r="HF562" s="15"/>
      <c r="HG562" s="15"/>
      <c r="HH562" s="15"/>
      <c r="HI562" s="15"/>
      <c r="HJ562" s="15"/>
      <c r="HK562" s="15"/>
      <c r="HL562" s="15"/>
    </row>
    <row r="563" spans="1:220" ht="13.5" customHeight="1" x14ac:dyDescent="0.15">
      <c r="A563" s="59" t="s">
        <v>28</v>
      </c>
      <c r="B563" s="48" t="s">
        <v>29</v>
      </c>
      <c r="C563" s="12" t="s">
        <v>0</v>
      </c>
      <c r="D563" s="6" t="s">
        <v>30</v>
      </c>
      <c r="E563" s="48" t="s">
        <v>31</v>
      </c>
      <c r="F563" s="48" t="s">
        <v>32</v>
      </c>
      <c r="G563" s="90" t="s">
        <v>34</v>
      </c>
      <c r="H563" s="90"/>
      <c r="I563" s="90"/>
      <c r="J563" s="28" t="s">
        <v>10</v>
      </c>
    </row>
    <row r="564" spans="1:220" ht="16.5" customHeight="1" x14ac:dyDescent="0.15">
      <c r="A564" s="73" t="s">
        <v>1131</v>
      </c>
      <c r="B564" s="60" t="s">
        <v>1062</v>
      </c>
      <c r="C564" s="55" t="s">
        <v>784</v>
      </c>
      <c r="D564" s="55" t="s">
        <v>784</v>
      </c>
      <c r="G564" s="69" t="s">
        <v>26</v>
      </c>
    </row>
    <row r="565" spans="1:220" ht="16.5" customHeight="1" x14ac:dyDescent="0.15">
      <c r="A565" s="74"/>
      <c r="B565" s="60" t="s">
        <v>1115</v>
      </c>
      <c r="C565" s="55" t="s">
        <v>784</v>
      </c>
      <c r="D565" s="55" t="s">
        <v>784</v>
      </c>
      <c r="G565" s="69" t="s">
        <v>26</v>
      </c>
    </row>
    <row r="566" spans="1:220" ht="16.5" customHeight="1" x14ac:dyDescent="0.15">
      <c r="A566" s="93"/>
      <c r="B566" s="60" t="s">
        <v>1132</v>
      </c>
      <c r="C566" s="55" t="s">
        <v>784</v>
      </c>
      <c r="D566" s="55" t="s">
        <v>784</v>
      </c>
      <c r="G566" s="69" t="s">
        <v>26</v>
      </c>
    </row>
    <row r="567" spans="1:220" s="19" customFormat="1" x14ac:dyDescent="0.15">
      <c r="A567" s="87" t="s">
        <v>1128</v>
      </c>
      <c r="B567" s="88"/>
      <c r="C567" s="88"/>
      <c r="D567" s="88"/>
      <c r="E567" s="88"/>
      <c r="F567" s="88"/>
      <c r="G567" s="88"/>
      <c r="H567" s="88"/>
      <c r="I567" s="88"/>
      <c r="J567" s="89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/>
      <c r="EQ567" s="15"/>
      <c r="ER567" s="15"/>
      <c r="ES567" s="15"/>
      <c r="ET567" s="15"/>
      <c r="EU567" s="15"/>
      <c r="EV567" s="15"/>
      <c r="EW567" s="15"/>
      <c r="EX567" s="15"/>
      <c r="EY567" s="15"/>
      <c r="EZ567" s="15"/>
      <c r="FA567" s="15"/>
      <c r="FB567" s="15"/>
      <c r="FC567" s="15"/>
      <c r="FD567" s="15"/>
      <c r="FE567" s="15"/>
      <c r="FF567" s="15"/>
      <c r="FG567" s="15"/>
      <c r="FH567" s="15"/>
      <c r="FI567" s="15"/>
      <c r="FJ567" s="15"/>
      <c r="FK567" s="15"/>
      <c r="FL567" s="15"/>
      <c r="FM567" s="15"/>
      <c r="FN567" s="15"/>
      <c r="FO567" s="15"/>
      <c r="FP567" s="15"/>
      <c r="FQ567" s="15"/>
      <c r="FR567" s="15"/>
      <c r="FS567" s="15"/>
      <c r="FT567" s="15"/>
      <c r="FU567" s="15"/>
      <c r="FV567" s="15"/>
      <c r="FW567" s="15"/>
      <c r="FX567" s="15"/>
      <c r="FY567" s="15"/>
      <c r="FZ567" s="15"/>
      <c r="GA567" s="15"/>
      <c r="GB567" s="15"/>
      <c r="GC567" s="15"/>
      <c r="GD567" s="15"/>
      <c r="GE567" s="15"/>
      <c r="GF567" s="15"/>
      <c r="GG567" s="15"/>
      <c r="GH567" s="15"/>
      <c r="GI567" s="15"/>
      <c r="GJ567" s="15"/>
      <c r="GK567" s="15"/>
      <c r="GL567" s="15"/>
      <c r="GM567" s="15"/>
      <c r="GN567" s="15"/>
      <c r="GO567" s="15"/>
      <c r="GP567" s="15"/>
      <c r="GQ567" s="15"/>
      <c r="GR567" s="15"/>
      <c r="GS567" s="15"/>
      <c r="GT567" s="15"/>
      <c r="GU567" s="15"/>
      <c r="GV567" s="15"/>
      <c r="GW567" s="15"/>
      <c r="GX567" s="15"/>
      <c r="GY567" s="15"/>
      <c r="GZ567" s="15"/>
      <c r="HA567" s="15"/>
      <c r="HB567" s="15"/>
      <c r="HC567" s="15"/>
      <c r="HD567" s="15"/>
      <c r="HE567" s="15"/>
      <c r="HF567" s="15"/>
      <c r="HG567" s="15"/>
      <c r="HH567" s="15"/>
      <c r="HI567" s="15"/>
      <c r="HJ567" s="15"/>
      <c r="HK567" s="15"/>
      <c r="HL567" s="15"/>
    </row>
    <row r="568" spans="1:220" ht="13.5" customHeight="1" x14ac:dyDescent="0.15">
      <c r="A568" s="59" t="s">
        <v>28</v>
      </c>
      <c r="B568" s="48" t="s">
        <v>629</v>
      </c>
      <c r="C568" s="12" t="s">
        <v>0</v>
      </c>
      <c r="D568" s="6" t="s">
        <v>30</v>
      </c>
      <c r="E568" s="48" t="s">
        <v>31</v>
      </c>
      <c r="F568" s="48" t="s">
        <v>32</v>
      </c>
      <c r="G568" s="90" t="s">
        <v>34</v>
      </c>
      <c r="H568" s="90"/>
      <c r="I568" s="90"/>
      <c r="J568" s="28" t="s">
        <v>10</v>
      </c>
    </row>
    <row r="569" spans="1:220" ht="16.5" customHeight="1" x14ac:dyDescent="0.15">
      <c r="A569" s="107" t="s">
        <v>1129</v>
      </c>
      <c r="B569" s="54" t="s">
        <v>1133</v>
      </c>
      <c r="C569" s="55" t="s">
        <v>784</v>
      </c>
      <c r="D569" s="55" t="s">
        <v>784</v>
      </c>
      <c r="G569" s="69" t="s">
        <v>26</v>
      </c>
    </row>
    <row r="570" spans="1:220" ht="16.5" customHeight="1" x14ac:dyDescent="0.15">
      <c r="A570" s="109"/>
      <c r="B570" s="60" t="s">
        <v>1064</v>
      </c>
      <c r="C570" s="55" t="s">
        <v>784</v>
      </c>
      <c r="D570" s="55" t="s">
        <v>784</v>
      </c>
      <c r="G570" s="69" t="s">
        <v>26</v>
      </c>
      <c r="H570" s="7"/>
    </row>
    <row r="571" spans="1:220" ht="16.5" customHeight="1" x14ac:dyDescent="0.15">
      <c r="A571" s="108"/>
      <c r="B571" s="60" t="s">
        <v>1065</v>
      </c>
      <c r="C571" s="55" t="s">
        <v>784</v>
      </c>
      <c r="D571" s="55" t="s">
        <v>784</v>
      </c>
      <c r="G571" s="69" t="s">
        <v>26</v>
      </c>
      <c r="H571" s="7"/>
    </row>
    <row r="572" spans="1:220" s="19" customFormat="1" x14ac:dyDescent="0.15">
      <c r="A572" s="87" t="s">
        <v>937</v>
      </c>
      <c r="B572" s="88"/>
      <c r="C572" s="88"/>
      <c r="D572" s="88"/>
      <c r="E572" s="88"/>
      <c r="F572" s="88"/>
      <c r="G572" s="88"/>
      <c r="H572" s="88"/>
      <c r="I572" s="88"/>
      <c r="J572" s="89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  <c r="DC572" s="15"/>
      <c r="DD572" s="15"/>
      <c r="DE572" s="15"/>
      <c r="DF572" s="15"/>
      <c r="DG572" s="15"/>
      <c r="DH572" s="15"/>
      <c r="DI572" s="15"/>
      <c r="DJ572" s="15"/>
      <c r="DK572" s="15"/>
      <c r="DL572" s="15"/>
      <c r="DM572" s="15"/>
      <c r="DN572" s="15"/>
      <c r="DO572" s="15"/>
      <c r="DP572" s="15"/>
      <c r="DQ572" s="15"/>
      <c r="DR572" s="15"/>
      <c r="DS572" s="15"/>
      <c r="DT572" s="15"/>
      <c r="DU572" s="15"/>
      <c r="DV572" s="15"/>
      <c r="DW572" s="15"/>
      <c r="DX572" s="15"/>
      <c r="DY572" s="15"/>
      <c r="DZ572" s="15"/>
      <c r="EA572" s="15"/>
      <c r="EB572" s="15"/>
      <c r="EC572" s="15"/>
      <c r="ED572" s="15"/>
      <c r="EE572" s="15"/>
      <c r="EF572" s="15"/>
      <c r="EG572" s="15"/>
      <c r="EH572" s="15"/>
      <c r="EI572" s="15"/>
      <c r="EJ572" s="15"/>
      <c r="EK572" s="15"/>
      <c r="EL572" s="15"/>
      <c r="EM572" s="15"/>
      <c r="EN572" s="15"/>
      <c r="EO572" s="15"/>
      <c r="EP572" s="15"/>
      <c r="EQ572" s="15"/>
      <c r="ER572" s="15"/>
      <c r="ES572" s="15"/>
      <c r="ET572" s="15"/>
      <c r="EU572" s="15"/>
      <c r="EV572" s="15"/>
      <c r="EW572" s="15"/>
      <c r="EX572" s="15"/>
      <c r="EY572" s="15"/>
      <c r="EZ572" s="15"/>
      <c r="FA572" s="15"/>
      <c r="FB572" s="15"/>
      <c r="FC572" s="15"/>
      <c r="FD572" s="15"/>
      <c r="FE572" s="15"/>
      <c r="FF572" s="15"/>
      <c r="FG572" s="15"/>
      <c r="FH572" s="15"/>
      <c r="FI572" s="15"/>
      <c r="FJ572" s="15"/>
      <c r="FK572" s="15"/>
      <c r="FL572" s="15"/>
      <c r="FM572" s="15"/>
      <c r="FN572" s="15"/>
      <c r="FO572" s="15"/>
      <c r="FP572" s="15"/>
      <c r="FQ572" s="15"/>
      <c r="FR572" s="15"/>
      <c r="FS572" s="15"/>
      <c r="FT572" s="15"/>
      <c r="FU572" s="15"/>
      <c r="FV572" s="15"/>
      <c r="FW572" s="15"/>
      <c r="FX572" s="15"/>
      <c r="FY572" s="15"/>
      <c r="FZ572" s="15"/>
      <c r="GA572" s="15"/>
      <c r="GB572" s="15"/>
      <c r="GC572" s="15"/>
      <c r="GD572" s="15"/>
      <c r="GE572" s="15"/>
      <c r="GF572" s="15"/>
      <c r="GG572" s="15"/>
      <c r="GH572" s="15"/>
      <c r="GI572" s="15"/>
      <c r="GJ572" s="15"/>
      <c r="GK572" s="15"/>
      <c r="GL572" s="15"/>
      <c r="GM572" s="15"/>
      <c r="GN572" s="15"/>
      <c r="GO572" s="15"/>
      <c r="GP572" s="15"/>
      <c r="GQ572" s="15"/>
      <c r="GR572" s="15"/>
      <c r="GS572" s="15"/>
      <c r="GT572" s="15"/>
      <c r="GU572" s="15"/>
      <c r="GV572" s="15"/>
      <c r="GW572" s="15"/>
      <c r="GX572" s="15"/>
      <c r="GY572" s="15"/>
      <c r="GZ572" s="15"/>
      <c r="HA572" s="15"/>
      <c r="HB572" s="15"/>
      <c r="HC572" s="15"/>
      <c r="HD572" s="15"/>
      <c r="HE572" s="15"/>
      <c r="HF572" s="15"/>
      <c r="HG572" s="15"/>
      <c r="HH572" s="15"/>
      <c r="HI572" s="15"/>
      <c r="HJ572" s="15"/>
      <c r="HK572" s="15"/>
      <c r="HL572" s="15"/>
    </row>
    <row r="573" spans="1:220" ht="13.5" customHeight="1" x14ac:dyDescent="0.15">
      <c r="A573" s="59" t="s">
        <v>28</v>
      </c>
      <c r="B573" s="48" t="s">
        <v>29</v>
      </c>
      <c r="C573" s="12" t="s">
        <v>0</v>
      </c>
      <c r="D573" s="6" t="s">
        <v>30</v>
      </c>
      <c r="E573" s="48" t="s">
        <v>31</v>
      </c>
      <c r="F573" s="48" t="s">
        <v>32</v>
      </c>
      <c r="G573" s="90" t="s">
        <v>34</v>
      </c>
      <c r="H573" s="90"/>
      <c r="I573" s="90"/>
      <c r="J573" s="28" t="s">
        <v>10</v>
      </c>
    </row>
    <row r="574" spans="1:220" ht="16.5" customHeight="1" x14ac:dyDescent="0.15">
      <c r="A574" s="107" t="s">
        <v>940</v>
      </c>
      <c r="B574" s="54" t="s">
        <v>1134</v>
      </c>
      <c r="C574" s="55" t="s">
        <v>784</v>
      </c>
      <c r="D574" s="55" t="s">
        <v>784</v>
      </c>
      <c r="G574" s="69" t="s">
        <v>26</v>
      </c>
    </row>
    <row r="575" spans="1:220" ht="16.5" customHeight="1" x14ac:dyDescent="0.15">
      <c r="A575" s="109"/>
      <c r="B575" s="60" t="s">
        <v>1067</v>
      </c>
      <c r="C575" s="55" t="s">
        <v>784</v>
      </c>
      <c r="D575" s="55" t="s">
        <v>784</v>
      </c>
      <c r="G575" s="69" t="s">
        <v>26</v>
      </c>
    </row>
    <row r="576" spans="1:220" ht="16.5" customHeight="1" x14ac:dyDescent="0.15">
      <c r="A576" s="108"/>
      <c r="B576" s="60" t="s">
        <v>1068</v>
      </c>
      <c r="C576" s="55" t="s">
        <v>784</v>
      </c>
      <c r="D576" s="55" t="s">
        <v>784</v>
      </c>
      <c r="G576" s="69" t="s">
        <v>26</v>
      </c>
    </row>
    <row r="577" spans="1:220" s="19" customFormat="1" x14ac:dyDescent="0.15">
      <c r="A577" s="87" t="s">
        <v>938</v>
      </c>
      <c r="B577" s="88"/>
      <c r="C577" s="88"/>
      <c r="D577" s="88"/>
      <c r="E577" s="88"/>
      <c r="F577" s="88"/>
      <c r="G577" s="88"/>
      <c r="H577" s="88"/>
      <c r="I577" s="88"/>
      <c r="J577" s="89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/>
      <c r="EQ577" s="15"/>
      <c r="ER577" s="15"/>
      <c r="ES577" s="15"/>
      <c r="ET577" s="15"/>
      <c r="EU577" s="15"/>
      <c r="EV577" s="15"/>
      <c r="EW577" s="15"/>
      <c r="EX577" s="15"/>
      <c r="EY577" s="15"/>
      <c r="EZ577" s="15"/>
      <c r="FA577" s="15"/>
      <c r="FB577" s="15"/>
      <c r="FC577" s="15"/>
      <c r="FD577" s="15"/>
      <c r="FE577" s="15"/>
      <c r="FF577" s="15"/>
      <c r="FG577" s="15"/>
      <c r="FH577" s="15"/>
      <c r="FI577" s="15"/>
      <c r="FJ577" s="15"/>
      <c r="FK577" s="15"/>
      <c r="FL577" s="15"/>
      <c r="FM577" s="15"/>
      <c r="FN577" s="15"/>
      <c r="FO577" s="15"/>
      <c r="FP577" s="15"/>
      <c r="FQ577" s="15"/>
      <c r="FR577" s="15"/>
      <c r="FS577" s="15"/>
      <c r="FT577" s="15"/>
      <c r="FU577" s="15"/>
      <c r="FV577" s="15"/>
      <c r="FW577" s="15"/>
      <c r="FX577" s="15"/>
      <c r="FY577" s="15"/>
      <c r="FZ577" s="15"/>
      <c r="GA577" s="15"/>
      <c r="GB577" s="15"/>
      <c r="GC577" s="15"/>
      <c r="GD577" s="15"/>
      <c r="GE577" s="15"/>
      <c r="GF577" s="15"/>
      <c r="GG577" s="15"/>
      <c r="GH577" s="15"/>
      <c r="GI577" s="15"/>
      <c r="GJ577" s="15"/>
      <c r="GK577" s="15"/>
      <c r="GL577" s="15"/>
      <c r="GM577" s="15"/>
      <c r="GN577" s="15"/>
      <c r="GO577" s="15"/>
      <c r="GP577" s="15"/>
      <c r="GQ577" s="15"/>
      <c r="GR577" s="15"/>
      <c r="GS577" s="15"/>
      <c r="GT577" s="15"/>
      <c r="GU577" s="15"/>
      <c r="GV577" s="15"/>
      <c r="GW577" s="15"/>
      <c r="GX577" s="15"/>
      <c r="GY577" s="15"/>
      <c r="GZ577" s="15"/>
      <c r="HA577" s="15"/>
      <c r="HB577" s="15"/>
      <c r="HC577" s="15"/>
      <c r="HD577" s="15"/>
      <c r="HE577" s="15"/>
      <c r="HF577" s="15"/>
      <c r="HG577" s="15"/>
      <c r="HH577" s="15"/>
      <c r="HI577" s="15"/>
      <c r="HJ577" s="15"/>
      <c r="HK577" s="15"/>
      <c r="HL577" s="15"/>
    </row>
    <row r="578" spans="1:220" ht="13.5" customHeight="1" x14ac:dyDescent="0.15">
      <c r="A578" s="59" t="s">
        <v>28</v>
      </c>
      <c r="B578" s="48" t="s">
        <v>29</v>
      </c>
      <c r="C578" s="12" t="s">
        <v>0</v>
      </c>
      <c r="D578" s="6" t="s">
        <v>30</v>
      </c>
      <c r="E578" s="48" t="s">
        <v>31</v>
      </c>
      <c r="F578" s="48" t="s">
        <v>32</v>
      </c>
      <c r="G578" s="90" t="s">
        <v>34</v>
      </c>
      <c r="H578" s="90"/>
      <c r="I578" s="90"/>
      <c r="J578" s="28" t="s">
        <v>10</v>
      </c>
    </row>
    <row r="579" spans="1:220" ht="28.5" customHeight="1" x14ac:dyDescent="0.15">
      <c r="A579" s="73" t="s">
        <v>489</v>
      </c>
      <c r="B579" s="54" t="s">
        <v>1063</v>
      </c>
      <c r="C579" s="81" t="s">
        <v>398</v>
      </c>
      <c r="D579" s="7" t="s">
        <v>416</v>
      </c>
      <c r="G579" s="62" t="s">
        <v>1020</v>
      </c>
      <c r="H579" s="7"/>
    </row>
    <row r="580" spans="1:220" ht="25.5" customHeight="1" x14ac:dyDescent="0.15">
      <c r="A580" s="74"/>
      <c r="B580" s="56" t="s">
        <v>1064</v>
      </c>
      <c r="C580" s="86"/>
      <c r="D580" s="7" t="s">
        <v>417</v>
      </c>
      <c r="G580" s="62" t="s">
        <v>1020</v>
      </c>
      <c r="H580" s="7"/>
    </row>
    <row r="581" spans="1:220" ht="25.5" customHeight="1" x14ac:dyDescent="0.15">
      <c r="A581" s="74"/>
      <c r="B581" s="56" t="s">
        <v>1065</v>
      </c>
      <c r="C581" s="81" t="s">
        <v>397</v>
      </c>
      <c r="D581" s="7" t="s">
        <v>418</v>
      </c>
      <c r="G581" s="62" t="s">
        <v>1020</v>
      </c>
      <c r="H581" s="7"/>
    </row>
    <row r="582" spans="1:220" ht="24.75" customHeight="1" x14ac:dyDescent="0.15">
      <c r="A582" s="74"/>
      <c r="B582" s="56" t="s">
        <v>1066</v>
      </c>
      <c r="C582" s="86"/>
      <c r="D582" s="7" t="s">
        <v>419</v>
      </c>
      <c r="G582" s="62" t="s">
        <v>1020</v>
      </c>
      <c r="H582" s="7"/>
    </row>
    <row r="583" spans="1:220" ht="49.5" customHeight="1" x14ac:dyDescent="0.15">
      <c r="A583" s="74"/>
      <c r="B583" s="56" t="s">
        <v>1067</v>
      </c>
      <c r="C583" s="29" t="s">
        <v>399</v>
      </c>
      <c r="D583" s="7" t="s">
        <v>400</v>
      </c>
      <c r="G583" s="62" t="s">
        <v>1020</v>
      </c>
      <c r="H583" s="7"/>
      <c r="J583" s="72" t="s">
        <v>1103</v>
      </c>
    </row>
    <row r="584" spans="1:220" ht="24.95" customHeight="1" x14ac:dyDescent="0.15">
      <c r="A584" s="74"/>
      <c r="B584" s="56" t="s">
        <v>1068</v>
      </c>
      <c r="C584" s="81" t="s">
        <v>1083</v>
      </c>
      <c r="D584" s="7" t="s">
        <v>1084</v>
      </c>
      <c r="G584" s="62" t="s">
        <v>1020</v>
      </c>
      <c r="H584" s="7"/>
      <c r="J584" s="7"/>
    </row>
    <row r="585" spans="1:220" ht="24.95" customHeight="1" x14ac:dyDescent="0.15">
      <c r="A585" s="74"/>
      <c r="B585" s="56" t="s">
        <v>1069</v>
      </c>
      <c r="C585" s="86"/>
      <c r="D585" s="7" t="s">
        <v>1085</v>
      </c>
      <c r="G585" s="62" t="s">
        <v>1020</v>
      </c>
      <c r="H585" s="7"/>
    </row>
    <row r="586" spans="1:220" ht="24.95" customHeight="1" x14ac:dyDescent="0.15">
      <c r="A586" s="74"/>
      <c r="B586" s="56" t="s">
        <v>1070</v>
      </c>
      <c r="C586" s="80" t="s">
        <v>1086</v>
      </c>
      <c r="D586" s="7" t="s">
        <v>1088</v>
      </c>
      <c r="G586" s="62" t="s">
        <v>1020</v>
      </c>
      <c r="H586" s="7"/>
    </row>
    <row r="587" spans="1:220" ht="24.95" customHeight="1" x14ac:dyDescent="0.15">
      <c r="A587" s="74"/>
      <c r="B587" s="56" t="s">
        <v>1071</v>
      </c>
      <c r="C587" s="80"/>
      <c r="D587" s="7" t="s">
        <v>1087</v>
      </c>
      <c r="G587" s="62" t="s">
        <v>1020</v>
      </c>
      <c r="H587" s="7"/>
    </row>
    <row r="588" spans="1:220" ht="24.95" customHeight="1" x14ac:dyDescent="0.15">
      <c r="A588" s="74"/>
      <c r="B588" s="56" t="s">
        <v>1072</v>
      </c>
      <c r="C588" s="80" t="s">
        <v>1090</v>
      </c>
      <c r="D588" s="7" t="s">
        <v>1088</v>
      </c>
      <c r="G588" s="62" t="s">
        <v>1020</v>
      </c>
      <c r="H588" s="7"/>
    </row>
    <row r="589" spans="1:220" ht="24.95" customHeight="1" x14ac:dyDescent="0.15">
      <c r="A589" s="74"/>
      <c r="B589" s="56" t="s">
        <v>1073</v>
      </c>
      <c r="C589" s="80"/>
      <c r="D589" s="7" t="s">
        <v>1089</v>
      </c>
      <c r="G589" s="62" t="s">
        <v>1020</v>
      </c>
      <c r="H589" s="7"/>
    </row>
    <row r="590" spans="1:220" ht="24.95" customHeight="1" x14ac:dyDescent="0.15">
      <c r="A590" s="74"/>
      <c r="B590" s="56" t="s">
        <v>1074</v>
      </c>
      <c r="C590" s="80" t="s">
        <v>1092</v>
      </c>
      <c r="D590" s="7" t="s">
        <v>1088</v>
      </c>
      <c r="G590" s="62" t="s">
        <v>1020</v>
      </c>
      <c r="H590" s="7"/>
    </row>
    <row r="591" spans="1:220" ht="24.95" customHeight="1" x14ac:dyDescent="0.15">
      <c r="A591" s="74"/>
      <c r="B591" s="56" t="s">
        <v>1075</v>
      </c>
      <c r="C591" s="80"/>
      <c r="D591" s="7" t="s">
        <v>1091</v>
      </c>
      <c r="G591" s="62" t="s">
        <v>1020</v>
      </c>
      <c r="H591" s="7"/>
    </row>
    <row r="592" spans="1:220" ht="24.95" customHeight="1" x14ac:dyDescent="0.15">
      <c r="A592" s="74"/>
      <c r="B592" s="56" t="s">
        <v>1076</v>
      </c>
      <c r="C592" s="80" t="s">
        <v>1095</v>
      </c>
      <c r="D592" s="7" t="s">
        <v>1094</v>
      </c>
      <c r="G592" s="62" t="s">
        <v>1020</v>
      </c>
      <c r="H592" s="7"/>
    </row>
    <row r="593" spans="1:220" ht="24.95" customHeight="1" x14ac:dyDescent="0.15">
      <c r="A593" s="74"/>
      <c r="B593" s="56" t="s">
        <v>1077</v>
      </c>
      <c r="C593" s="80"/>
      <c r="D593" s="7" t="s">
        <v>1093</v>
      </c>
      <c r="G593" s="62" t="s">
        <v>1020</v>
      </c>
      <c r="H593" s="7"/>
    </row>
    <row r="594" spans="1:220" ht="24.95" customHeight="1" x14ac:dyDescent="0.15">
      <c r="A594" s="74"/>
      <c r="B594" s="56" t="s">
        <v>1078</v>
      </c>
      <c r="C594" s="80" t="s">
        <v>1096</v>
      </c>
      <c r="D594" s="7" t="s">
        <v>1094</v>
      </c>
      <c r="G594" s="62" t="s">
        <v>1020</v>
      </c>
      <c r="H594" s="7"/>
    </row>
    <row r="595" spans="1:220" ht="24.95" customHeight="1" x14ac:dyDescent="0.15">
      <c r="A595" s="74"/>
      <c r="B595" s="56" t="s">
        <v>1079</v>
      </c>
      <c r="C595" s="80"/>
      <c r="D595" s="7" t="s">
        <v>1097</v>
      </c>
      <c r="G595" s="63" t="s">
        <v>21</v>
      </c>
      <c r="H595" s="7"/>
      <c r="J595" s="72" t="s">
        <v>1098</v>
      </c>
    </row>
    <row r="596" spans="1:220" ht="30" customHeight="1" x14ac:dyDescent="0.15">
      <c r="A596" s="74"/>
      <c r="B596" s="56" t="s">
        <v>1080</v>
      </c>
      <c r="C596" s="81" t="s">
        <v>401</v>
      </c>
      <c r="D596" s="7" t="s">
        <v>402</v>
      </c>
      <c r="G596" s="62" t="s">
        <v>1020</v>
      </c>
      <c r="H596" s="7"/>
    </row>
    <row r="597" spans="1:220" ht="30" customHeight="1" x14ac:dyDescent="0.15">
      <c r="A597" s="74"/>
      <c r="B597" s="56" t="s">
        <v>1081</v>
      </c>
      <c r="C597" s="82"/>
      <c r="D597" s="7" t="s">
        <v>403</v>
      </c>
      <c r="G597" s="62" t="s">
        <v>1020</v>
      </c>
      <c r="H597" s="7"/>
    </row>
    <row r="598" spans="1:220" ht="30" customHeight="1" x14ac:dyDescent="0.15">
      <c r="A598" s="74"/>
      <c r="B598" s="56" t="s">
        <v>1082</v>
      </c>
      <c r="C598" s="82"/>
      <c r="D598" s="7" t="s">
        <v>404</v>
      </c>
      <c r="G598" s="62" t="s">
        <v>1020</v>
      </c>
      <c r="H598" s="7"/>
    </row>
    <row r="599" spans="1:220" ht="27" customHeight="1" x14ac:dyDescent="0.15">
      <c r="A599" s="74"/>
      <c r="B599" s="56" t="s">
        <v>1099</v>
      </c>
      <c r="C599" s="81" t="s">
        <v>975</v>
      </c>
      <c r="D599" s="7" t="s">
        <v>976</v>
      </c>
      <c r="G599" s="62" t="s">
        <v>1020</v>
      </c>
      <c r="H599" s="7"/>
    </row>
    <row r="600" spans="1:220" ht="28.5" customHeight="1" x14ac:dyDescent="0.15">
      <c r="A600" s="74"/>
      <c r="B600" s="56" t="s">
        <v>1100</v>
      </c>
      <c r="C600" s="86"/>
      <c r="D600" s="7" t="s">
        <v>977</v>
      </c>
      <c r="G600" s="62" t="s">
        <v>1020</v>
      </c>
      <c r="H600" s="7"/>
    </row>
    <row r="601" spans="1:220" ht="28.5" customHeight="1" x14ac:dyDescent="0.15">
      <c r="A601" s="74"/>
      <c r="B601" s="60"/>
      <c r="C601" s="81" t="s">
        <v>1126</v>
      </c>
      <c r="D601" s="7" t="s">
        <v>976</v>
      </c>
      <c r="G601" s="62" t="s">
        <v>1020</v>
      </c>
      <c r="H601" s="7"/>
    </row>
    <row r="602" spans="1:220" ht="28.5" customHeight="1" x14ac:dyDescent="0.15">
      <c r="A602" s="74"/>
      <c r="B602" s="60"/>
      <c r="C602" s="86"/>
      <c r="D602" s="7" t="s">
        <v>977</v>
      </c>
      <c r="G602" s="62" t="s">
        <v>1020</v>
      </c>
      <c r="H602" s="7"/>
    </row>
    <row r="603" spans="1:220" ht="36" customHeight="1" x14ac:dyDescent="0.15">
      <c r="A603" s="74"/>
      <c r="B603" s="60"/>
      <c r="C603" s="57" t="s">
        <v>1135</v>
      </c>
      <c r="D603" s="7" t="s">
        <v>1136</v>
      </c>
      <c r="G603" s="63" t="s">
        <v>21</v>
      </c>
      <c r="H603" s="7"/>
      <c r="J603" s="72" t="s">
        <v>1137</v>
      </c>
    </row>
    <row r="604" spans="1:220" ht="35.25" customHeight="1" x14ac:dyDescent="0.15">
      <c r="A604" s="74"/>
      <c r="B604" s="56" t="s">
        <v>1101</v>
      </c>
      <c r="C604" s="53" t="s">
        <v>941</v>
      </c>
      <c r="D604" s="7" t="s">
        <v>942</v>
      </c>
      <c r="G604" s="62" t="s">
        <v>1020</v>
      </c>
      <c r="H604" s="7"/>
    </row>
    <row r="605" spans="1:220" ht="57.75" customHeight="1" x14ac:dyDescent="0.15">
      <c r="A605" s="74"/>
      <c r="B605" s="56" t="s">
        <v>1102</v>
      </c>
      <c r="C605" s="29" t="s">
        <v>405</v>
      </c>
      <c r="D605" s="7" t="s">
        <v>406</v>
      </c>
      <c r="G605" s="62" t="s">
        <v>1020</v>
      </c>
      <c r="H605" s="7"/>
    </row>
    <row r="606" spans="1:220" s="19" customFormat="1" x14ac:dyDescent="0.15">
      <c r="A606" s="87" t="s">
        <v>939</v>
      </c>
      <c r="B606" s="88"/>
      <c r="C606" s="88"/>
      <c r="D606" s="88"/>
      <c r="E606" s="88"/>
      <c r="F606" s="88"/>
      <c r="G606" s="88"/>
      <c r="H606" s="88"/>
      <c r="I606" s="88"/>
      <c r="J606" s="89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  <c r="CH606" s="15"/>
      <c r="CI606" s="15"/>
      <c r="CJ606" s="15"/>
      <c r="CK606" s="15"/>
      <c r="CL606" s="15"/>
      <c r="CM606" s="15"/>
      <c r="CN606" s="15"/>
      <c r="CO606" s="15"/>
      <c r="CP606" s="15"/>
      <c r="CQ606" s="15"/>
      <c r="CR606" s="15"/>
      <c r="CS606" s="15"/>
      <c r="CT606" s="15"/>
      <c r="CU606" s="15"/>
      <c r="CV606" s="15"/>
      <c r="CW606" s="15"/>
      <c r="CX606" s="15"/>
      <c r="CY606" s="15"/>
      <c r="CZ606" s="15"/>
      <c r="DA606" s="15"/>
      <c r="DB606" s="15"/>
      <c r="DC606" s="15"/>
      <c r="DD606" s="15"/>
      <c r="DE606" s="15"/>
      <c r="DF606" s="15"/>
      <c r="DG606" s="15"/>
      <c r="DH606" s="15"/>
      <c r="DI606" s="15"/>
      <c r="DJ606" s="15"/>
      <c r="DK606" s="15"/>
      <c r="DL606" s="15"/>
      <c r="DM606" s="15"/>
      <c r="DN606" s="15"/>
      <c r="DO606" s="15"/>
      <c r="DP606" s="15"/>
      <c r="DQ606" s="15"/>
      <c r="DR606" s="15"/>
      <c r="DS606" s="15"/>
      <c r="DT606" s="15"/>
      <c r="DU606" s="15"/>
      <c r="DV606" s="15"/>
      <c r="DW606" s="15"/>
      <c r="DX606" s="15"/>
      <c r="DY606" s="15"/>
      <c r="DZ606" s="15"/>
      <c r="EA606" s="15"/>
      <c r="EB606" s="15"/>
      <c r="EC606" s="15"/>
      <c r="ED606" s="15"/>
      <c r="EE606" s="15"/>
      <c r="EF606" s="15"/>
      <c r="EG606" s="15"/>
      <c r="EH606" s="15"/>
      <c r="EI606" s="15"/>
      <c r="EJ606" s="15"/>
      <c r="EK606" s="15"/>
      <c r="EL606" s="15"/>
      <c r="EM606" s="15"/>
      <c r="EN606" s="15"/>
      <c r="EO606" s="15"/>
      <c r="EP606" s="15"/>
      <c r="EQ606" s="15"/>
      <c r="ER606" s="15"/>
      <c r="ES606" s="15"/>
      <c r="ET606" s="15"/>
      <c r="EU606" s="15"/>
      <c r="EV606" s="15"/>
      <c r="EW606" s="15"/>
      <c r="EX606" s="15"/>
      <c r="EY606" s="15"/>
      <c r="EZ606" s="15"/>
      <c r="FA606" s="15"/>
      <c r="FB606" s="15"/>
      <c r="FC606" s="15"/>
      <c r="FD606" s="15"/>
      <c r="FE606" s="15"/>
      <c r="FF606" s="15"/>
      <c r="FG606" s="15"/>
      <c r="FH606" s="15"/>
      <c r="FI606" s="15"/>
      <c r="FJ606" s="15"/>
      <c r="FK606" s="15"/>
      <c r="FL606" s="15"/>
      <c r="FM606" s="15"/>
      <c r="FN606" s="15"/>
      <c r="FO606" s="15"/>
      <c r="FP606" s="15"/>
      <c r="FQ606" s="15"/>
      <c r="FR606" s="15"/>
      <c r="FS606" s="15"/>
      <c r="FT606" s="15"/>
      <c r="FU606" s="15"/>
      <c r="FV606" s="15"/>
      <c r="FW606" s="15"/>
      <c r="FX606" s="15"/>
      <c r="FY606" s="15"/>
      <c r="FZ606" s="15"/>
      <c r="GA606" s="15"/>
      <c r="GB606" s="15"/>
      <c r="GC606" s="15"/>
      <c r="GD606" s="15"/>
      <c r="GE606" s="15"/>
      <c r="GF606" s="15"/>
      <c r="GG606" s="15"/>
      <c r="GH606" s="15"/>
      <c r="GI606" s="15"/>
      <c r="GJ606" s="15"/>
      <c r="GK606" s="15"/>
      <c r="GL606" s="15"/>
      <c r="GM606" s="15"/>
      <c r="GN606" s="15"/>
      <c r="GO606" s="15"/>
      <c r="GP606" s="15"/>
      <c r="GQ606" s="15"/>
      <c r="GR606" s="15"/>
      <c r="GS606" s="15"/>
      <c r="GT606" s="15"/>
      <c r="GU606" s="15"/>
      <c r="GV606" s="15"/>
      <c r="GW606" s="15"/>
      <c r="GX606" s="15"/>
      <c r="GY606" s="15"/>
      <c r="GZ606" s="15"/>
      <c r="HA606" s="15"/>
      <c r="HB606" s="15"/>
      <c r="HC606" s="15"/>
      <c r="HD606" s="15"/>
      <c r="HE606" s="15"/>
      <c r="HF606" s="15"/>
      <c r="HG606" s="15"/>
      <c r="HH606" s="15"/>
      <c r="HI606" s="15"/>
      <c r="HJ606" s="15"/>
      <c r="HK606" s="15"/>
      <c r="HL606" s="15"/>
    </row>
    <row r="607" spans="1:220" ht="13.5" customHeight="1" x14ac:dyDescent="0.15">
      <c r="A607" s="59" t="s">
        <v>28</v>
      </c>
      <c r="B607" s="48" t="s">
        <v>29</v>
      </c>
      <c r="C607" s="12" t="s">
        <v>0</v>
      </c>
      <c r="D607" s="6" t="s">
        <v>30</v>
      </c>
      <c r="E607" s="48" t="s">
        <v>31</v>
      </c>
      <c r="F607" s="48" t="s">
        <v>32</v>
      </c>
      <c r="G607" s="90" t="s">
        <v>34</v>
      </c>
      <c r="H607" s="90"/>
      <c r="I607" s="90"/>
      <c r="J607" s="28" t="s">
        <v>10</v>
      </c>
    </row>
    <row r="608" spans="1:220" ht="50.25" customHeight="1" x14ac:dyDescent="0.15">
      <c r="A608" s="92" t="s">
        <v>490</v>
      </c>
      <c r="B608" s="49" t="s">
        <v>1105</v>
      </c>
      <c r="C608" s="29" t="s">
        <v>407</v>
      </c>
      <c r="D608" s="7" t="s">
        <v>488</v>
      </c>
      <c r="G608" s="62" t="s">
        <v>1020</v>
      </c>
      <c r="H608" s="7"/>
    </row>
    <row r="609" spans="1:10" ht="54" customHeight="1" x14ac:dyDescent="0.15">
      <c r="A609" s="92"/>
      <c r="B609" s="56" t="s">
        <v>1106</v>
      </c>
      <c r="C609" s="29" t="s">
        <v>408</v>
      </c>
      <c r="D609" s="7" t="s">
        <v>488</v>
      </c>
      <c r="G609" s="62" t="s">
        <v>1020</v>
      </c>
      <c r="H609" s="7"/>
    </row>
    <row r="610" spans="1:10" ht="54.75" customHeight="1" x14ac:dyDescent="0.15">
      <c r="A610" s="92"/>
      <c r="B610" s="56" t="s">
        <v>1107</v>
      </c>
      <c r="C610" s="29" t="s">
        <v>409</v>
      </c>
      <c r="D610" s="7" t="s">
        <v>488</v>
      </c>
      <c r="G610" s="62" t="s">
        <v>1020</v>
      </c>
      <c r="H610" s="7"/>
    </row>
    <row r="611" spans="1:10" ht="49.5" x14ac:dyDescent="0.15">
      <c r="A611" s="92"/>
      <c r="B611" s="56" t="s">
        <v>1108</v>
      </c>
      <c r="C611" s="29" t="s">
        <v>410</v>
      </c>
      <c r="D611" s="7" t="s">
        <v>488</v>
      </c>
      <c r="G611" s="69" t="s">
        <v>26</v>
      </c>
      <c r="H611" s="7"/>
    </row>
    <row r="612" spans="1:10" ht="50.25" customHeight="1" x14ac:dyDescent="0.15">
      <c r="A612" s="92"/>
      <c r="B612" s="56" t="s">
        <v>1109</v>
      </c>
      <c r="C612" s="29" t="s">
        <v>411</v>
      </c>
      <c r="D612" s="7" t="s">
        <v>415</v>
      </c>
      <c r="G612" s="62" t="s">
        <v>1020</v>
      </c>
      <c r="H612" s="7"/>
    </row>
    <row r="613" spans="1:10" ht="48" customHeight="1" x14ac:dyDescent="0.15">
      <c r="A613" s="92"/>
      <c r="B613" s="56" t="s">
        <v>1110</v>
      </c>
      <c r="C613" s="29" t="s">
        <v>412</v>
      </c>
      <c r="D613" s="7" t="s">
        <v>415</v>
      </c>
      <c r="G613" s="62" t="s">
        <v>1020</v>
      </c>
      <c r="H613" s="7"/>
    </row>
    <row r="614" spans="1:10" ht="48.75" customHeight="1" x14ac:dyDescent="0.15">
      <c r="A614" s="92"/>
      <c r="B614" s="56" t="s">
        <v>1111</v>
      </c>
      <c r="C614" s="29" t="s">
        <v>413</v>
      </c>
      <c r="D614" s="7" t="s">
        <v>415</v>
      </c>
      <c r="G614" s="62" t="s">
        <v>1020</v>
      </c>
      <c r="H614" s="7"/>
    </row>
    <row r="615" spans="1:10" ht="49.5" x14ac:dyDescent="0.15">
      <c r="A615" s="92"/>
      <c r="B615" s="56" t="s">
        <v>1112</v>
      </c>
      <c r="C615" s="29" t="s">
        <v>414</v>
      </c>
      <c r="D615" s="7" t="s">
        <v>415</v>
      </c>
      <c r="G615" s="69" t="s">
        <v>26</v>
      </c>
      <c r="H615" s="7"/>
    </row>
    <row r="616" spans="1:10" x14ac:dyDescent="0.15">
      <c r="A616" s="111"/>
      <c r="B616" s="33"/>
      <c r="C616" s="33"/>
      <c r="D616" s="33"/>
      <c r="E616" s="33"/>
      <c r="F616" s="33"/>
      <c r="G616" s="33"/>
      <c r="H616" s="33"/>
      <c r="I616" s="33"/>
      <c r="J616" s="30"/>
    </row>
    <row r="617" spans="1:10" x14ac:dyDescent="0.15">
      <c r="A617" s="111"/>
      <c r="B617" s="33"/>
      <c r="C617" s="33"/>
      <c r="D617" s="33"/>
      <c r="E617" s="33"/>
      <c r="F617" s="33"/>
      <c r="G617" s="33"/>
      <c r="H617" s="33"/>
      <c r="I617" s="33"/>
      <c r="J617" s="30"/>
    </row>
    <row r="618" spans="1:10" x14ac:dyDescent="0.15">
      <c r="A618" s="111"/>
      <c r="B618" s="33"/>
      <c r="C618" s="33"/>
      <c r="D618" s="33"/>
      <c r="E618" s="33"/>
      <c r="F618" s="33"/>
      <c r="G618" s="33"/>
      <c r="H618" s="33"/>
      <c r="I618" s="33"/>
      <c r="J618" s="30"/>
    </row>
    <row r="619" spans="1:10" x14ac:dyDescent="0.15">
      <c r="A619" s="111"/>
      <c r="B619" s="33"/>
      <c r="C619" s="33"/>
      <c r="D619" s="33"/>
      <c r="E619" s="33"/>
      <c r="F619" s="33"/>
      <c r="G619" s="33"/>
      <c r="H619" s="33"/>
      <c r="I619" s="33"/>
      <c r="J619" s="30"/>
    </row>
    <row r="620" spans="1:10" x14ac:dyDescent="0.15">
      <c r="A620" s="111"/>
      <c r="B620" s="33"/>
      <c r="C620" s="33"/>
      <c r="D620" s="33"/>
      <c r="E620" s="33"/>
      <c r="F620" s="33"/>
      <c r="G620" s="33"/>
      <c r="H620" s="33"/>
      <c r="I620" s="33"/>
      <c r="J620" s="30"/>
    </row>
    <row r="621" spans="1:10" x14ac:dyDescent="0.15">
      <c r="A621" s="111"/>
      <c r="B621" s="33"/>
      <c r="C621" s="33"/>
      <c r="D621" s="33"/>
      <c r="E621" s="33"/>
      <c r="F621" s="33"/>
      <c r="G621" s="33"/>
      <c r="H621" s="33"/>
      <c r="I621" s="33"/>
      <c r="J621" s="30"/>
    </row>
    <row r="622" spans="1:10" x14ac:dyDescent="0.15">
      <c r="A622" s="111"/>
      <c r="B622" s="33"/>
      <c r="C622" s="33"/>
      <c r="D622" s="33"/>
      <c r="E622" s="33"/>
      <c r="F622" s="33"/>
      <c r="G622" s="33"/>
      <c r="H622" s="33"/>
      <c r="I622" s="33"/>
      <c r="J622" s="30"/>
    </row>
    <row r="623" spans="1:10" x14ac:dyDescent="0.15">
      <c r="A623" s="111"/>
      <c r="B623" s="33"/>
      <c r="C623" s="33"/>
      <c r="D623" s="33"/>
      <c r="E623" s="33"/>
      <c r="F623" s="33"/>
      <c r="G623" s="33"/>
      <c r="H623" s="33"/>
      <c r="I623" s="33"/>
      <c r="J623" s="30"/>
    </row>
    <row r="624" spans="1:10" x14ac:dyDescent="0.15">
      <c r="A624" s="111"/>
      <c r="B624" s="33"/>
      <c r="C624" s="33"/>
      <c r="D624" s="33"/>
      <c r="E624" s="33"/>
      <c r="F624" s="33"/>
      <c r="G624" s="33"/>
      <c r="H624" s="33"/>
      <c r="I624" s="33"/>
      <c r="J624" s="30"/>
    </row>
    <row r="625" spans="1:10" x14ac:dyDescent="0.15">
      <c r="A625" s="111"/>
      <c r="B625" s="33"/>
      <c r="C625" s="33"/>
      <c r="D625" s="33"/>
      <c r="E625" s="33"/>
      <c r="F625" s="33"/>
      <c r="G625" s="33"/>
      <c r="H625" s="33"/>
      <c r="I625" s="33"/>
      <c r="J625" s="30"/>
    </row>
    <row r="626" spans="1:10" x14ac:dyDescent="0.15">
      <c r="A626" s="111"/>
      <c r="B626" s="33"/>
      <c r="C626" s="33"/>
      <c r="D626" s="33"/>
      <c r="E626" s="33"/>
      <c r="F626" s="33"/>
      <c r="G626" s="33"/>
      <c r="H626" s="33"/>
      <c r="I626" s="33"/>
      <c r="J626" s="30"/>
    </row>
    <row r="627" spans="1:10" x14ac:dyDescent="0.15">
      <c r="A627" s="111"/>
      <c r="B627" s="33"/>
      <c r="C627" s="33"/>
      <c r="D627" s="33"/>
      <c r="E627" s="33"/>
      <c r="F627" s="33"/>
      <c r="G627" s="33"/>
      <c r="H627" s="33"/>
      <c r="I627" s="33"/>
      <c r="J627" s="30"/>
    </row>
    <row r="628" spans="1:10" x14ac:dyDescent="0.15">
      <c r="A628" s="111"/>
      <c r="B628" s="33"/>
      <c r="C628" s="33"/>
      <c r="D628" s="33"/>
      <c r="E628" s="33"/>
      <c r="F628" s="33"/>
      <c r="G628" s="33"/>
      <c r="H628" s="33"/>
      <c r="I628" s="33"/>
      <c r="J628" s="30"/>
    </row>
    <row r="629" spans="1:10" x14ac:dyDescent="0.15">
      <c r="A629" s="111"/>
      <c r="B629" s="33"/>
      <c r="C629" s="33"/>
      <c r="D629" s="33"/>
      <c r="E629" s="33"/>
      <c r="F629" s="33"/>
      <c r="G629" s="33"/>
      <c r="H629" s="33"/>
      <c r="I629" s="33"/>
      <c r="J629" s="30"/>
    </row>
    <row r="630" spans="1:10" x14ac:dyDescent="0.15">
      <c r="A630" s="111"/>
      <c r="B630" s="33"/>
      <c r="C630" s="33"/>
      <c r="D630" s="33"/>
      <c r="E630" s="33"/>
      <c r="F630" s="33"/>
      <c r="G630" s="33"/>
      <c r="H630" s="33"/>
      <c r="I630" s="33"/>
      <c r="J630" s="30"/>
    </row>
    <row r="631" spans="1:10" x14ac:dyDescent="0.15">
      <c r="A631" s="111"/>
      <c r="B631" s="33"/>
      <c r="C631" s="33"/>
      <c r="D631" s="33"/>
      <c r="E631" s="33"/>
      <c r="F631" s="33"/>
      <c r="G631" s="33"/>
      <c r="H631" s="33"/>
      <c r="I631" s="33"/>
      <c r="J631" s="30"/>
    </row>
    <row r="632" spans="1:10" x14ac:dyDescent="0.15">
      <c r="A632" s="111"/>
      <c r="B632" s="33"/>
      <c r="C632" s="33"/>
      <c r="D632" s="33"/>
      <c r="E632" s="33"/>
      <c r="F632" s="33"/>
      <c r="G632" s="33"/>
      <c r="H632" s="33"/>
      <c r="I632" s="33"/>
      <c r="J632" s="30"/>
    </row>
    <row r="633" spans="1:10" x14ac:dyDescent="0.15">
      <c r="A633" s="111"/>
      <c r="B633" s="33"/>
      <c r="C633" s="33"/>
      <c r="D633" s="33"/>
      <c r="E633" s="33"/>
      <c r="F633" s="33"/>
      <c r="G633" s="33"/>
      <c r="H633" s="33"/>
      <c r="I633" s="33"/>
      <c r="J633" s="30"/>
    </row>
    <row r="634" spans="1:10" x14ac:dyDescent="0.15">
      <c r="A634" s="111"/>
      <c r="B634" s="33"/>
      <c r="C634" s="33"/>
      <c r="D634" s="33"/>
      <c r="E634" s="33"/>
      <c r="F634" s="33"/>
      <c r="G634" s="33"/>
      <c r="H634" s="33"/>
      <c r="I634" s="33"/>
      <c r="J634" s="30"/>
    </row>
    <row r="635" spans="1:10" x14ac:dyDescent="0.15">
      <c r="A635" s="111"/>
      <c r="B635" s="33"/>
      <c r="C635" s="33"/>
      <c r="D635" s="33"/>
      <c r="E635" s="33"/>
      <c r="F635" s="33"/>
      <c r="G635" s="33"/>
      <c r="H635" s="33"/>
      <c r="I635" s="33"/>
      <c r="J635" s="30"/>
    </row>
    <row r="636" spans="1:10" x14ac:dyDescent="0.15">
      <c r="A636" s="111"/>
      <c r="B636" s="33"/>
      <c r="C636" s="33"/>
      <c r="D636" s="33"/>
      <c r="E636" s="33"/>
      <c r="F636" s="33"/>
      <c r="G636" s="33"/>
      <c r="H636" s="33"/>
      <c r="I636" s="33"/>
      <c r="J636" s="30"/>
    </row>
    <row r="637" spans="1:10" x14ac:dyDescent="0.15">
      <c r="A637" s="111"/>
      <c r="B637" s="33"/>
      <c r="C637" s="33"/>
      <c r="D637" s="33"/>
      <c r="E637" s="33"/>
      <c r="F637" s="33"/>
      <c r="G637" s="33"/>
      <c r="H637" s="33"/>
      <c r="I637" s="33"/>
      <c r="J637" s="30"/>
    </row>
    <row r="638" spans="1:10" x14ac:dyDescent="0.15">
      <c r="A638" s="111"/>
      <c r="B638" s="33"/>
      <c r="C638" s="33"/>
      <c r="D638" s="33"/>
      <c r="E638" s="33"/>
      <c r="F638" s="33"/>
      <c r="G638" s="33"/>
      <c r="H638" s="33"/>
      <c r="I638" s="33"/>
      <c r="J638" s="30"/>
    </row>
    <row r="639" spans="1:10" x14ac:dyDescent="0.15">
      <c r="A639" s="111"/>
      <c r="B639" s="33"/>
      <c r="C639" s="33"/>
      <c r="D639" s="33"/>
      <c r="E639" s="33"/>
      <c r="F639" s="33"/>
      <c r="G639" s="33"/>
      <c r="H639" s="33"/>
      <c r="I639" s="33"/>
      <c r="J639" s="30"/>
    </row>
    <row r="640" spans="1:10" x14ac:dyDescent="0.15">
      <c r="A640" s="111"/>
      <c r="B640" s="33"/>
      <c r="C640" s="33"/>
      <c r="D640" s="33"/>
      <c r="E640" s="33"/>
      <c r="F640" s="33"/>
      <c r="G640" s="33"/>
      <c r="H640" s="33"/>
      <c r="I640" s="33"/>
      <c r="J640" s="30"/>
    </row>
    <row r="641" spans="1:10" x14ac:dyDescent="0.15">
      <c r="A641" s="111"/>
      <c r="B641" s="33"/>
      <c r="C641" s="33"/>
      <c r="D641" s="33"/>
      <c r="E641" s="33"/>
      <c r="F641" s="33"/>
      <c r="G641" s="33"/>
      <c r="H641" s="33"/>
      <c r="I641" s="33"/>
      <c r="J641" s="30"/>
    </row>
    <row r="642" spans="1:10" x14ac:dyDescent="0.15">
      <c r="A642" s="111"/>
      <c r="B642" s="33"/>
      <c r="C642" s="33"/>
      <c r="D642" s="33"/>
      <c r="E642" s="33"/>
      <c r="F642" s="33"/>
      <c r="G642" s="33"/>
      <c r="H642" s="33"/>
      <c r="I642" s="33"/>
      <c r="J642" s="30"/>
    </row>
    <row r="643" spans="1:10" x14ac:dyDescent="0.15">
      <c r="A643" s="111"/>
      <c r="B643" s="33"/>
      <c r="C643" s="33"/>
      <c r="D643" s="33"/>
      <c r="E643" s="33"/>
      <c r="F643" s="33"/>
      <c r="G643" s="33"/>
      <c r="H643" s="33"/>
      <c r="I643" s="33"/>
      <c r="J643" s="30"/>
    </row>
    <row r="644" spans="1:10" x14ac:dyDescent="0.15">
      <c r="A644" s="111"/>
      <c r="B644" s="33"/>
      <c r="C644" s="33"/>
      <c r="D644" s="33"/>
      <c r="E644" s="33"/>
      <c r="F644" s="33"/>
      <c r="G644" s="33"/>
      <c r="H644" s="33"/>
      <c r="I644" s="33"/>
      <c r="J644" s="30"/>
    </row>
    <row r="645" spans="1:10" x14ac:dyDescent="0.15">
      <c r="A645" s="111"/>
      <c r="B645" s="33"/>
      <c r="C645" s="33"/>
      <c r="D645" s="33"/>
      <c r="E645" s="33"/>
      <c r="F645" s="33"/>
      <c r="G645" s="33"/>
      <c r="H645" s="33"/>
      <c r="I645" s="33"/>
      <c r="J645" s="30"/>
    </row>
    <row r="646" spans="1:10" x14ac:dyDescent="0.15">
      <c r="A646" s="111"/>
      <c r="B646" s="33"/>
      <c r="C646" s="33"/>
      <c r="D646" s="33"/>
      <c r="E646" s="33"/>
      <c r="F646" s="33"/>
      <c r="G646" s="33"/>
      <c r="H646" s="33"/>
      <c r="I646" s="33"/>
      <c r="J646" s="30"/>
    </row>
    <row r="647" spans="1:10" x14ac:dyDescent="0.15">
      <c r="A647" s="111"/>
      <c r="B647" s="33"/>
      <c r="C647" s="33"/>
      <c r="D647" s="33"/>
      <c r="E647" s="33"/>
      <c r="F647" s="33"/>
      <c r="G647" s="33"/>
      <c r="H647" s="33"/>
      <c r="I647" s="33"/>
      <c r="J647" s="30"/>
    </row>
    <row r="648" spans="1:10" x14ac:dyDescent="0.15">
      <c r="A648" s="111"/>
      <c r="B648" s="33"/>
      <c r="C648" s="33"/>
      <c r="D648" s="33"/>
      <c r="E648" s="33"/>
      <c r="F648" s="33"/>
      <c r="G648" s="33"/>
      <c r="H648" s="33"/>
      <c r="I648" s="33"/>
      <c r="J648" s="30"/>
    </row>
    <row r="649" spans="1:10" x14ac:dyDescent="0.15">
      <c r="A649" s="111"/>
      <c r="B649" s="33"/>
      <c r="C649" s="33"/>
      <c r="D649" s="33"/>
      <c r="E649" s="33"/>
      <c r="F649" s="33"/>
      <c r="G649" s="33"/>
      <c r="H649" s="33"/>
      <c r="I649" s="33"/>
      <c r="J649" s="30"/>
    </row>
    <row r="650" spans="1:10" x14ac:dyDescent="0.15">
      <c r="A650" s="111"/>
      <c r="B650" s="33"/>
      <c r="C650" s="33"/>
      <c r="D650" s="33"/>
      <c r="E650" s="33"/>
      <c r="F650" s="33"/>
      <c r="G650" s="33"/>
      <c r="H650" s="33"/>
      <c r="I650" s="33"/>
      <c r="J650" s="30"/>
    </row>
    <row r="651" spans="1:10" x14ac:dyDescent="0.15">
      <c r="A651" s="111"/>
      <c r="B651" s="33"/>
      <c r="C651" s="33"/>
      <c r="D651" s="33"/>
      <c r="E651" s="33"/>
      <c r="F651" s="33"/>
      <c r="G651" s="33"/>
      <c r="H651" s="33"/>
      <c r="I651" s="33"/>
      <c r="J651" s="30"/>
    </row>
    <row r="652" spans="1:10" x14ac:dyDescent="0.15">
      <c r="A652" s="111"/>
      <c r="B652" s="33"/>
      <c r="C652" s="33"/>
      <c r="D652" s="33"/>
      <c r="E652" s="33"/>
      <c r="F652" s="33"/>
      <c r="G652" s="33"/>
      <c r="H652" s="33"/>
      <c r="I652" s="33"/>
      <c r="J652" s="30"/>
    </row>
    <row r="653" spans="1:10" x14ac:dyDescent="0.15">
      <c r="A653" s="111"/>
      <c r="B653" s="33"/>
      <c r="C653" s="33"/>
      <c r="D653" s="33"/>
      <c r="E653" s="33"/>
      <c r="F653" s="33"/>
      <c r="G653" s="33"/>
      <c r="H653" s="33"/>
      <c r="I653" s="33"/>
      <c r="J653" s="30"/>
    </row>
    <row r="654" spans="1:10" x14ac:dyDescent="0.15">
      <c r="A654" s="111"/>
      <c r="B654" s="33"/>
      <c r="C654" s="33"/>
      <c r="D654" s="33"/>
      <c r="E654" s="33"/>
      <c r="F654" s="33"/>
      <c r="G654" s="33"/>
      <c r="H654" s="33"/>
      <c r="I654" s="33"/>
      <c r="J654" s="30"/>
    </row>
    <row r="655" spans="1:10" x14ac:dyDescent="0.15">
      <c r="A655" s="111"/>
      <c r="B655" s="33"/>
      <c r="C655" s="33"/>
      <c r="D655" s="33"/>
      <c r="E655" s="33"/>
      <c r="F655" s="33"/>
      <c r="G655" s="33"/>
      <c r="H655" s="33"/>
      <c r="I655" s="33"/>
      <c r="J655" s="30"/>
    </row>
    <row r="656" spans="1:10" x14ac:dyDescent="0.15">
      <c r="A656" s="111"/>
      <c r="B656" s="33"/>
      <c r="C656" s="33"/>
      <c r="D656" s="33"/>
      <c r="E656" s="33"/>
      <c r="F656" s="33"/>
      <c r="G656" s="33"/>
      <c r="H656" s="33"/>
      <c r="I656" s="33"/>
      <c r="J656" s="30"/>
    </row>
    <row r="657" spans="1:10" x14ac:dyDescent="0.15">
      <c r="A657" s="111"/>
      <c r="B657" s="33"/>
      <c r="C657" s="33"/>
      <c r="D657" s="33"/>
      <c r="E657" s="33"/>
      <c r="F657" s="33"/>
      <c r="G657" s="33"/>
      <c r="H657" s="33"/>
      <c r="I657" s="33"/>
      <c r="J657" s="30"/>
    </row>
    <row r="658" spans="1:10" x14ac:dyDescent="0.15">
      <c r="A658" s="111"/>
      <c r="B658" s="33"/>
      <c r="C658" s="33"/>
      <c r="D658" s="33"/>
      <c r="E658" s="33"/>
      <c r="F658" s="33"/>
      <c r="G658" s="33"/>
      <c r="H658" s="33"/>
      <c r="I658" s="33"/>
      <c r="J658" s="30"/>
    </row>
    <row r="659" spans="1:10" x14ac:dyDescent="0.15">
      <c r="A659" s="111"/>
      <c r="B659" s="33"/>
      <c r="C659" s="33"/>
      <c r="D659" s="33"/>
      <c r="E659" s="33"/>
      <c r="F659" s="33"/>
      <c r="G659" s="33"/>
      <c r="H659" s="33"/>
      <c r="I659" s="33"/>
      <c r="J659" s="30"/>
    </row>
    <row r="660" spans="1:10" x14ac:dyDescent="0.15">
      <c r="A660" s="111"/>
      <c r="B660" s="33"/>
      <c r="C660" s="33"/>
      <c r="D660" s="33"/>
      <c r="E660" s="33"/>
      <c r="F660" s="33"/>
      <c r="G660" s="33"/>
      <c r="H660" s="33"/>
      <c r="I660" s="33"/>
      <c r="J660" s="30"/>
    </row>
    <row r="661" spans="1:10" x14ac:dyDescent="0.15">
      <c r="A661" s="111"/>
      <c r="B661" s="33"/>
      <c r="C661" s="33"/>
      <c r="D661" s="33"/>
      <c r="E661" s="33"/>
      <c r="F661" s="33"/>
      <c r="G661" s="33"/>
      <c r="H661" s="33"/>
      <c r="I661" s="33"/>
      <c r="J661" s="30"/>
    </row>
    <row r="662" spans="1:10" x14ac:dyDescent="0.15">
      <c r="A662" s="111"/>
      <c r="B662" s="33"/>
      <c r="C662" s="33"/>
      <c r="D662" s="33"/>
      <c r="E662" s="33"/>
      <c r="F662" s="33"/>
      <c r="G662" s="33"/>
      <c r="H662" s="33"/>
      <c r="I662" s="33"/>
      <c r="J662" s="30"/>
    </row>
    <row r="663" spans="1:10" x14ac:dyDescent="0.15">
      <c r="A663" s="111"/>
      <c r="B663" s="33"/>
      <c r="C663" s="33"/>
      <c r="D663" s="33"/>
      <c r="E663" s="33"/>
      <c r="F663" s="33"/>
      <c r="G663" s="33"/>
      <c r="H663" s="33"/>
      <c r="I663" s="33"/>
      <c r="J663" s="30"/>
    </row>
    <row r="664" spans="1:10" x14ac:dyDescent="0.15">
      <c r="A664" s="111"/>
      <c r="B664" s="33"/>
      <c r="C664" s="33"/>
      <c r="D664" s="33"/>
      <c r="E664" s="33"/>
      <c r="F664" s="33"/>
      <c r="G664" s="33"/>
      <c r="H664" s="33"/>
      <c r="I664" s="33"/>
      <c r="J664" s="30"/>
    </row>
    <row r="665" spans="1:10" x14ac:dyDescent="0.15">
      <c r="A665" s="111"/>
      <c r="B665" s="33"/>
      <c r="C665" s="33"/>
      <c r="D665" s="33"/>
      <c r="E665" s="33"/>
      <c r="F665" s="33"/>
      <c r="G665" s="33"/>
      <c r="H665" s="33"/>
      <c r="I665" s="33"/>
      <c r="J665" s="30"/>
    </row>
    <row r="666" spans="1:10" x14ac:dyDescent="0.15">
      <c r="A666" s="111"/>
      <c r="B666" s="33"/>
      <c r="C666" s="33"/>
      <c r="D666" s="33"/>
      <c r="E666" s="33"/>
      <c r="F666" s="33"/>
      <c r="G666" s="33"/>
      <c r="H666" s="33"/>
      <c r="I666" s="33"/>
      <c r="J666" s="30"/>
    </row>
    <row r="667" spans="1:10" x14ac:dyDescent="0.15">
      <c r="A667" s="111"/>
      <c r="B667" s="33"/>
      <c r="C667" s="33"/>
      <c r="D667" s="33"/>
      <c r="E667" s="33"/>
      <c r="F667" s="33"/>
      <c r="G667" s="33"/>
      <c r="H667" s="33"/>
      <c r="I667" s="33"/>
      <c r="J667" s="30"/>
    </row>
    <row r="668" spans="1:10" x14ac:dyDescent="0.15">
      <c r="A668" s="111"/>
      <c r="B668" s="33"/>
      <c r="C668" s="33"/>
      <c r="D668" s="33"/>
      <c r="E668" s="33"/>
      <c r="F668" s="33"/>
      <c r="G668" s="33"/>
      <c r="H668" s="33"/>
      <c r="I668" s="33"/>
      <c r="J668" s="30"/>
    </row>
    <row r="669" spans="1:10" x14ac:dyDescent="0.15">
      <c r="A669" s="111"/>
      <c r="B669" s="33"/>
      <c r="C669" s="33"/>
      <c r="D669" s="33"/>
      <c r="E669" s="33"/>
      <c r="F669" s="33"/>
      <c r="G669" s="33"/>
      <c r="H669" s="33"/>
      <c r="I669" s="33"/>
      <c r="J669" s="30"/>
    </row>
    <row r="670" spans="1:10" x14ac:dyDescent="0.15">
      <c r="A670" s="111"/>
      <c r="B670" s="33"/>
      <c r="C670" s="33"/>
      <c r="D670" s="33"/>
      <c r="E670" s="33"/>
      <c r="F670" s="33"/>
      <c r="G670" s="33"/>
      <c r="H670" s="33"/>
      <c r="I670" s="33"/>
      <c r="J670" s="30"/>
    </row>
    <row r="671" spans="1:10" x14ac:dyDescent="0.15">
      <c r="A671" s="111"/>
      <c r="B671" s="33"/>
      <c r="C671" s="33"/>
      <c r="D671" s="33"/>
      <c r="E671" s="33"/>
      <c r="F671" s="33"/>
      <c r="G671" s="33"/>
      <c r="H671" s="33"/>
      <c r="I671" s="33"/>
      <c r="J671" s="30"/>
    </row>
    <row r="672" spans="1:10" x14ac:dyDescent="0.15">
      <c r="A672" s="111"/>
      <c r="B672" s="33"/>
      <c r="C672" s="33"/>
      <c r="D672" s="33"/>
      <c r="E672" s="33"/>
      <c r="F672" s="33"/>
      <c r="G672" s="33"/>
      <c r="H672" s="33"/>
      <c r="I672" s="33"/>
      <c r="J672" s="30"/>
    </row>
    <row r="673" spans="1:10" x14ac:dyDescent="0.15">
      <c r="A673" s="111"/>
      <c r="B673" s="33"/>
      <c r="C673" s="33"/>
      <c r="D673" s="33"/>
      <c r="E673" s="33"/>
      <c r="F673" s="33"/>
      <c r="G673" s="33"/>
      <c r="H673" s="33"/>
      <c r="I673" s="33"/>
      <c r="J673" s="30"/>
    </row>
    <row r="674" spans="1:10" x14ac:dyDescent="0.15">
      <c r="A674" s="111"/>
      <c r="B674" s="33"/>
      <c r="C674" s="33"/>
      <c r="D674" s="33"/>
      <c r="E674" s="33"/>
      <c r="F674" s="33"/>
      <c r="G674" s="33"/>
      <c r="H674" s="33"/>
      <c r="I674" s="33"/>
      <c r="J674" s="30"/>
    </row>
    <row r="675" spans="1:10" x14ac:dyDescent="0.15">
      <c r="A675" s="111"/>
      <c r="B675" s="33"/>
      <c r="C675" s="33"/>
      <c r="D675" s="33"/>
      <c r="E675" s="33"/>
      <c r="F675" s="33"/>
      <c r="G675" s="33"/>
      <c r="H675" s="33"/>
      <c r="I675" s="33"/>
      <c r="J675" s="30"/>
    </row>
    <row r="676" spans="1:10" x14ac:dyDescent="0.15">
      <c r="A676" s="111"/>
      <c r="B676" s="33"/>
      <c r="C676" s="33"/>
      <c r="D676" s="33"/>
      <c r="E676" s="33"/>
      <c r="F676" s="33"/>
      <c r="G676" s="33"/>
      <c r="H676" s="33"/>
      <c r="I676" s="33"/>
      <c r="J676" s="30"/>
    </row>
    <row r="677" spans="1:10" x14ac:dyDescent="0.15">
      <c r="A677" s="111"/>
      <c r="B677" s="33"/>
      <c r="C677" s="33"/>
      <c r="D677" s="33"/>
      <c r="E677" s="33"/>
      <c r="F677" s="33"/>
      <c r="G677" s="33"/>
      <c r="H677" s="33"/>
      <c r="I677" s="33"/>
      <c r="J677" s="30"/>
    </row>
    <row r="678" spans="1:10" x14ac:dyDescent="0.15">
      <c r="A678" s="111"/>
      <c r="B678" s="33"/>
      <c r="C678" s="33"/>
      <c r="D678" s="33"/>
      <c r="E678" s="33"/>
      <c r="F678" s="33"/>
      <c r="G678" s="33"/>
      <c r="H678" s="33"/>
      <c r="I678" s="33"/>
      <c r="J678" s="30"/>
    </row>
    <row r="679" spans="1:10" x14ac:dyDescent="0.15">
      <c r="A679" s="111"/>
      <c r="B679" s="33"/>
      <c r="C679" s="33"/>
      <c r="D679" s="33"/>
      <c r="E679" s="33"/>
      <c r="F679" s="33"/>
      <c r="G679" s="33"/>
      <c r="H679" s="33"/>
      <c r="I679" s="33"/>
      <c r="J679" s="30"/>
    </row>
    <row r="680" spans="1:10" x14ac:dyDescent="0.15">
      <c r="A680" s="111"/>
      <c r="B680" s="33"/>
      <c r="C680" s="33"/>
      <c r="D680" s="33"/>
      <c r="E680" s="33"/>
      <c r="F680" s="33"/>
      <c r="G680" s="33"/>
      <c r="H680" s="33"/>
      <c r="I680" s="33"/>
      <c r="J680" s="30"/>
    </row>
    <row r="681" spans="1:10" x14ac:dyDescent="0.15">
      <c r="A681" s="111"/>
      <c r="B681" s="33"/>
      <c r="C681" s="33"/>
      <c r="D681" s="33"/>
      <c r="E681" s="33"/>
      <c r="F681" s="33"/>
      <c r="G681" s="33"/>
      <c r="H681" s="33"/>
      <c r="I681" s="33"/>
      <c r="J681" s="30"/>
    </row>
    <row r="682" spans="1:10" x14ac:dyDescent="0.15">
      <c r="A682" s="111"/>
      <c r="B682" s="33"/>
      <c r="C682" s="33"/>
      <c r="D682" s="33"/>
      <c r="E682" s="33"/>
      <c r="F682" s="33"/>
      <c r="G682" s="33"/>
      <c r="H682" s="33"/>
      <c r="I682" s="33"/>
      <c r="J682" s="30"/>
    </row>
    <row r="683" spans="1:10" x14ac:dyDescent="0.15">
      <c r="A683" s="111"/>
      <c r="B683" s="33"/>
      <c r="C683" s="33"/>
      <c r="D683" s="33"/>
      <c r="E683" s="33"/>
      <c r="F683" s="33"/>
      <c r="G683" s="33"/>
      <c r="H683" s="33"/>
      <c r="I683" s="33"/>
      <c r="J683" s="30"/>
    </row>
    <row r="684" spans="1:10" x14ac:dyDescent="0.15">
      <c r="A684" s="111"/>
      <c r="B684" s="33"/>
      <c r="C684" s="33"/>
      <c r="D684" s="33"/>
      <c r="E684" s="33"/>
      <c r="F684" s="33"/>
      <c r="G684" s="33"/>
      <c r="H684" s="33"/>
      <c r="I684" s="33"/>
      <c r="J684" s="30"/>
    </row>
    <row r="685" spans="1:10" x14ac:dyDescent="0.15">
      <c r="A685" s="111"/>
      <c r="B685" s="33"/>
      <c r="C685" s="33"/>
      <c r="D685" s="33"/>
      <c r="E685" s="33"/>
      <c r="F685" s="33"/>
      <c r="G685" s="33"/>
      <c r="H685" s="33"/>
      <c r="I685" s="33"/>
      <c r="J685" s="30"/>
    </row>
    <row r="686" spans="1:10" x14ac:dyDescent="0.15">
      <c r="A686" s="111"/>
      <c r="B686" s="33"/>
      <c r="C686" s="33"/>
      <c r="D686" s="33"/>
      <c r="E686" s="33"/>
      <c r="F686" s="33"/>
      <c r="G686" s="33"/>
      <c r="H686" s="33"/>
      <c r="I686" s="33"/>
      <c r="J686" s="30"/>
    </row>
    <row r="687" spans="1:10" x14ac:dyDescent="0.15">
      <c r="A687" s="111"/>
      <c r="B687" s="33"/>
      <c r="C687" s="33"/>
      <c r="D687" s="33"/>
      <c r="E687" s="33"/>
      <c r="F687" s="33"/>
      <c r="G687" s="33"/>
      <c r="H687" s="33"/>
      <c r="I687" s="33"/>
      <c r="J687" s="30"/>
    </row>
    <row r="688" spans="1:10" x14ac:dyDescent="0.15">
      <c r="A688" s="111"/>
      <c r="B688" s="33"/>
      <c r="C688" s="33"/>
      <c r="D688" s="33"/>
      <c r="E688" s="33"/>
      <c r="F688" s="33"/>
      <c r="G688" s="33"/>
      <c r="H688" s="33"/>
      <c r="I688" s="33"/>
      <c r="J688" s="30"/>
    </row>
    <row r="689" spans="1:10" x14ac:dyDescent="0.15">
      <c r="A689" s="111"/>
      <c r="B689" s="33"/>
      <c r="C689" s="33"/>
      <c r="D689" s="33"/>
      <c r="E689" s="33"/>
      <c r="F689" s="33"/>
      <c r="G689" s="33"/>
      <c r="H689" s="33"/>
      <c r="I689" s="33"/>
      <c r="J689" s="30"/>
    </row>
    <row r="690" spans="1:10" x14ac:dyDescent="0.15">
      <c r="A690" s="111"/>
      <c r="B690" s="33"/>
      <c r="C690" s="33"/>
      <c r="D690" s="33"/>
      <c r="E690" s="33"/>
      <c r="F690" s="33"/>
      <c r="G690" s="33"/>
      <c r="H690" s="33"/>
      <c r="I690" s="33"/>
      <c r="J690" s="30"/>
    </row>
    <row r="691" spans="1:10" x14ac:dyDescent="0.15">
      <c r="A691" s="111"/>
      <c r="B691" s="33"/>
      <c r="C691" s="33"/>
      <c r="D691" s="33"/>
      <c r="E691" s="33"/>
      <c r="F691" s="33"/>
      <c r="G691" s="33"/>
      <c r="H691" s="33"/>
      <c r="I691" s="33"/>
      <c r="J691" s="30"/>
    </row>
    <row r="692" spans="1:10" x14ac:dyDescent="0.15">
      <c r="A692" s="111"/>
      <c r="B692" s="33"/>
      <c r="C692" s="33"/>
      <c r="D692" s="33"/>
      <c r="E692" s="33"/>
      <c r="F692" s="33"/>
      <c r="G692" s="33"/>
      <c r="H692" s="33"/>
      <c r="I692" s="33"/>
      <c r="J692" s="30"/>
    </row>
    <row r="693" spans="1:10" x14ac:dyDescent="0.15">
      <c r="A693" s="111"/>
      <c r="B693" s="33"/>
      <c r="C693" s="33"/>
      <c r="D693" s="33"/>
      <c r="E693" s="33"/>
      <c r="F693" s="33"/>
      <c r="G693" s="33"/>
      <c r="H693" s="33"/>
      <c r="I693" s="33"/>
      <c r="J693" s="30"/>
    </row>
    <row r="694" spans="1:10" x14ac:dyDescent="0.15">
      <c r="A694" s="111"/>
      <c r="B694" s="33"/>
      <c r="C694" s="33"/>
      <c r="D694" s="33"/>
      <c r="E694" s="33"/>
      <c r="F694" s="33"/>
      <c r="G694" s="33"/>
      <c r="H694" s="33"/>
      <c r="I694" s="33"/>
      <c r="J694" s="30"/>
    </row>
    <row r="695" spans="1:10" x14ac:dyDescent="0.15">
      <c r="A695" s="111"/>
      <c r="B695" s="33"/>
      <c r="C695" s="33"/>
      <c r="D695" s="33"/>
      <c r="E695" s="33"/>
      <c r="F695" s="33"/>
      <c r="G695" s="33"/>
      <c r="H695" s="33"/>
      <c r="I695" s="33"/>
      <c r="J695" s="30"/>
    </row>
    <row r="696" spans="1:10" x14ac:dyDescent="0.15">
      <c r="A696" s="111"/>
      <c r="B696" s="33"/>
      <c r="C696" s="33"/>
      <c r="D696" s="33"/>
      <c r="E696" s="33"/>
      <c r="F696" s="33"/>
      <c r="G696" s="33"/>
      <c r="H696" s="33"/>
      <c r="I696" s="33"/>
      <c r="J696" s="30"/>
    </row>
    <row r="697" spans="1:10" x14ac:dyDescent="0.15">
      <c r="A697" s="111"/>
      <c r="B697" s="33"/>
      <c r="C697" s="33"/>
      <c r="D697" s="33"/>
      <c r="E697" s="33"/>
      <c r="F697" s="33"/>
      <c r="G697" s="33"/>
      <c r="H697" s="33"/>
      <c r="I697" s="33"/>
      <c r="J697" s="30"/>
    </row>
    <row r="698" spans="1:10" x14ac:dyDescent="0.15">
      <c r="A698" s="111"/>
      <c r="B698" s="33"/>
      <c r="C698" s="33"/>
      <c r="D698" s="33"/>
      <c r="E698" s="33"/>
      <c r="F698" s="33"/>
      <c r="G698" s="33"/>
      <c r="H698" s="33"/>
      <c r="I698" s="33"/>
      <c r="J698" s="30"/>
    </row>
    <row r="699" spans="1:10" x14ac:dyDescent="0.15">
      <c r="A699" s="111"/>
      <c r="B699" s="33"/>
      <c r="C699" s="33"/>
      <c r="D699" s="33"/>
      <c r="E699" s="33"/>
      <c r="F699" s="33"/>
      <c r="G699" s="33"/>
      <c r="H699" s="33"/>
      <c r="I699" s="33"/>
      <c r="J699" s="30"/>
    </row>
    <row r="700" spans="1:10" x14ac:dyDescent="0.15">
      <c r="A700" s="111"/>
      <c r="B700" s="33"/>
      <c r="C700" s="33"/>
      <c r="D700" s="33"/>
      <c r="E700" s="33"/>
      <c r="F700" s="33"/>
      <c r="G700" s="33"/>
      <c r="H700" s="33"/>
      <c r="I700" s="33"/>
      <c r="J700" s="30"/>
    </row>
    <row r="701" spans="1:10" x14ac:dyDescent="0.15">
      <c r="A701" s="111"/>
      <c r="B701" s="33"/>
      <c r="C701" s="33"/>
      <c r="D701" s="33"/>
      <c r="E701" s="33"/>
      <c r="F701" s="33"/>
      <c r="G701" s="33"/>
      <c r="H701" s="33"/>
      <c r="I701" s="33"/>
      <c r="J701" s="30"/>
    </row>
    <row r="702" spans="1:10" x14ac:dyDescent="0.15">
      <c r="A702" s="111"/>
      <c r="B702" s="33"/>
      <c r="C702" s="33"/>
      <c r="D702" s="33"/>
      <c r="E702" s="33"/>
      <c r="F702" s="33"/>
      <c r="G702" s="33"/>
      <c r="H702" s="33"/>
      <c r="I702" s="33"/>
      <c r="J702" s="30"/>
    </row>
    <row r="703" spans="1:10" x14ac:dyDescent="0.15">
      <c r="A703" s="111"/>
      <c r="B703" s="33"/>
      <c r="C703" s="33"/>
      <c r="D703" s="33"/>
      <c r="E703" s="33"/>
      <c r="F703" s="33"/>
      <c r="G703" s="33"/>
      <c r="H703" s="33"/>
      <c r="I703" s="33"/>
      <c r="J703" s="30"/>
    </row>
    <row r="704" spans="1:10" x14ac:dyDescent="0.15">
      <c r="A704" s="111"/>
      <c r="B704" s="33"/>
      <c r="C704" s="33"/>
      <c r="D704" s="33"/>
      <c r="E704" s="33"/>
      <c r="F704" s="33"/>
      <c r="G704" s="33"/>
      <c r="H704" s="33"/>
      <c r="I704" s="33"/>
      <c r="J704" s="30"/>
    </row>
    <row r="705" spans="1:10" x14ac:dyDescent="0.15">
      <c r="A705" s="111"/>
      <c r="B705" s="33"/>
      <c r="C705" s="33"/>
      <c r="D705" s="33"/>
      <c r="E705" s="33"/>
      <c r="F705" s="33"/>
      <c r="G705" s="33"/>
      <c r="H705" s="33"/>
      <c r="I705" s="33"/>
      <c r="J705" s="30"/>
    </row>
    <row r="706" spans="1:10" x14ac:dyDescent="0.15">
      <c r="A706" s="111"/>
      <c r="B706" s="33"/>
      <c r="C706" s="33"/>
      <c r="D706" s="33"/>
      <c r="E706" s="33"/>
      <c r="F706" s="33"/>
      <c r="G706" s="33"/>
      <c r="H706" s="33"/>
      <c r="I706" s="33"/>
      <c r="J706" s="30"/>
    </row>
    <row r="707" spans="1:10" x14ac:dyDescent="0.15">
      <c r="A707" s="111"/>
      <c r="B707" s="33"/>
      <c r="C707" s="33"/>
      <c r="D707" s="33"/>
      <c r="E707" s="33"/>
      <c r="F707" s="33"/>
      <c r="G707" s="33"/>
      <c r="H707" s="33"/>
      <c r="I707" s="33"/>
      <c r="J707" s="30"/>
    </row>
    <row r="708" spans="1:10" x14ac:dyDescent="0.15">
      <c r="A708" s="111"/>
      <c r="B708" s="33"/>
      <c r="C708" s="33"/>
      <c r="D708" s="33"/>
      <c r="E708" s="33"/>
      <c r="F708" s="33"/>
      <c r="G708" s="33"/>
      <c r="H708" s="33"/>
      <c r="I708" s="33"/>
      <c r="J708" s="30"/>
    </row>
    <row r="709" spans="1:10" x14ac:dyDescent="0.15">
      <c r="A709" s="111"/>
      <c r="B709" s="33"/>
      <c r="C709" s="33"/>
      <c r="D709" s="33"/>
      <c r="E709" s="33"/>
      <c r="F709" s="33"/>
      <c r="G709" s="33"/>
      <c r="H709" s="33"/>
      <c r="I709" s="33"/>
      <c r="J709" s="30"/>
    </row>
    <row r="710" spans="1:10" x14ac:dyDescent="0.15">
      <c r="A710" s="111"/>
      <c r="B710" s="33"/>
      <c r="C710" s="33"/>
      <c r="D710" s="33"/>
      <c r="E710" s="33"/>
      <c r="F710" s="33"/>
      <c r="G710" s="33"/>
      <c r="H710" s="33"/>
      <c r="I710" s="33"/>
      <c r="J710" s="30"/>
    </row>
    <row r="711" spans="1:10" x14ac:dyDescent="0.15">
      <c r="A711" s="111"/>
      <c r="B711" s="33"/>
      <c r="C711" s="33"/>
      <c r="D711" s="33"/>
      <c r="E711" s="33"/>
      <c r="F711" s="33"/>
      <c r="G711" s="33"/>
      <c r="H711" s="33"/>
      <c r="I711" s="33"/>
      <c r="J711" s="30"/>
    </row>
    <row r="712" spans="1:10" x14ac:dyDescent="0.15">
      <c r="A712" s="111"/>
      <c r="B712" s="33"/>
      <c r="C712" s="33"/>
      <c r="D712" s="33"/>
      <c r="E712" s="33"/>
      <c r="F712" s="33"/>
      <c r="G712" s="33"/>
      <c r="H712" s="33"/>
      <c r="I712" s="33"/>
      <c r="J712" s="30"/>
    </row>
    <row r="713" spans="1:10" x14ac:dyDescent="0.15">
      <c r="A713" s="111"/>
      <c r="B713" s="33"/>
      <c r="C713" s="33"/>
      <c r="D713" s="33"/>
      <c r="E713" s="33"/>
      <c r="F713" s="33"/>
      <c r="G713" s="33"/>
      <c r="H713" s="33"/>
      <c r="I713" s="33"/>
      <c r="J713" s="30"/>
    </row>
    <row r="714" spans="1:10" x14ac:dyDescent="0.15">
      <c r="A714" s="111"/>
      <c r="B714" s="33"/>
      <c r="C714" s="33"/>
      <c r="D714" s="33"/>
      <c r="E714" s="33"/>
      <c r="F714" s="33"/>
      <c r="G714" s="33"/>
      <c r="H714" s="33"/>
      <c r="I714" s="33"/>
      <c r="J714" s="30"/>
    </row>
    <row r="715" spans="1:10" x14ac:dyDescent="0.15">
      <c r="A715" s="111"/>
      <c r="B715" s="33"/>
      <c r="C715" s="33"/>
      <c r="D715" s="33"/>
      <c r="E715" s="33"/>
      <c r="F715" s="33"/>
      <c r="G715" s="33"/>
      <c r="H715" s="33"/>
      <c r="I715" s="33"/>
      <c r="J715" s="30"/>
    </row>
    <row r="716" spans="1:10" x14ac:dyDescent="0.15">
      <c r="A716" s="111"/>
      <c r="B716" s="33"/>
      <c r="C716" s="33"/>
      <c r="D716" s="33"/>
      <c r="E716" s="33"/>
      <c r="F716" s="33"/>
      <c r="G716" s="33"/>
      <c r="H716" s="33"/>
      <c r="I716" s="33"/>
      <c r="J716" s="30"/>
    </row>
    <row r="717" spans="1:10" x14ac:dyDescent="0.15">
      <c r="A717" s="111"/>
      <c r="B717" s="33"/>
      <c r="C717" s="33"/>
      <c r="D717" s="33"/>
      <c r="E717" s="33"/>
      <c r="F717" s="33"/>
      <c r="G717" s="33"/>
      <c r="H717" s="33"/>
      <c r="I717" s="33"/>
      <c r="J717" s="30"/>
    </row>
    <row r="718" spans="1:10" x14ac:dyDescent="0.15">
      <c r="A718" s="111"/>
      <c r="B718" s="33"/>
      <c r="C718" s="33"/>
      <c r="D718" s="33"/>
      <c r="E718" s="33"/>
      <c r="F718" s="33"/>
      <c r="G718" s="33"/>
      <c r="H718" s="33"/>
      <c r="I718" s="33"/>
      <c r="J718" s="30"/>
    </row>
    <row r="719" spans="1:10" x14ac:dyDescent="0.15">
      <c r="A719" s="111"/>
      <c r="B719" s="33"/>
      <c r="C719" s="33"/>
      <c r="D719" s="33"/>
      <c r="E719" s="33"/>
      <c r="F719" s="33"/>
      <c r="G719" s="33"/>
      <c r="H719" s="33"/>
      <c r="I719" s="33"/>
      <c r="J719" s="30"/>
    </row>
    <row r="720" spans="1:10" x14ac:dyDescent="0.15">
      <c r="A720" s="111"/>
      <c r="B720" s="33"/>
      <c r="C720" s="33"/>
      <c r="D720" s="33"/>
      <c r="E720" s="33"/>
      <c r="F720" s="33"/>
      <c r="G720" s="33"/>
      <c r="H720" s="33"/>
      <c r="I720" s="33"/>
      <c r="J720" s="30"/>
    </row>
    <row r="721" spans="1:10" x14ac:dyDescent="0.15">
      <c r="A721" s="111"/>
      <c r="B721" s="33"/>
      <c r="C721" s="33"/>
      <c r="D721" s="33"/>
      <c r="E721" s="33"/>
      <c r="F721" s="33"/>
      <c r="G721" s="33"/>
      <c r="H721" s="33"/>
      <c r="I721" s="33"/>
      <c r="J721" s="30"/>
    </row>
    <row r="722" spans="1:10" x14ac:dyDescent="0.15">
      <c r="A722" s="111"/>
      <c r="B722" s="33"/>
      <c r="C722" s="33"/>
      <c r="D722" s="33"/>
      <c r="E722" s="33"/>
      <c r="F722" s="33"/>
      <c r="G722" s="33"/>
      <c r="H722" s="33"/>
      <c r="I722" s="33"/>
      <c r="J722" s="30"/>
    </row>
    <row r="723" spans="1:10" x14ac:dyDescent="0.15">
      <c r="A723" s="111"/>
      <c r="B723" s="33"/>
      <c r="C723" s="33"/>
      <c r="D723" s="33"/>
      <c r="E723" s="33"/>
      <c r="F723" s="33"/>
      <c r="G723" s="33"/>
      <c r="H723" s="33"/>
      <c r="I723" s="33"/>
      <c r="J723" s="30"/>
    </row>
    <row r="724" spans="1:10" x14ac:dyDescent="0.15">
      <c r="A724" s="111"/>
      <c r="B724" s="33"/>
      <c r="C724" s="33"/>
      <c r="D724" s="33"/>
      <c r="E724" s="33"/>
      <c r="F724" s="33"/>
      <c r="G724" s="33"/>
      <c r="H724" s="33"/>
      <c r="I724" s="33"/>
      <c r="J724" s="30"/>
    </row>
    <row r="725" spans="1:10" x14ac:dyDescent="0.15">
      <c r="A725" s="111"/>
      <c r="B725" s="33"/>
      <c r="C725" s="33"/>
      <c r="D725" s="33"/>
      <c r="E725" s="33"/>
      <c r="F725" s="33"/>
      <c r="G725" s="33"/>
      <c r="H725" s="33"/>
      <c r="I725" s="33"/>
      <c r="J725" s="30"/>
    </row>
    <row r="726" spans="1:10" x14ac:dyDescent="0.15">
      <c r="A726" s="111"/>
      <c r="B726" s="33"/>
      <c r="C726" s="33"/>
      <c r="D726" s="33"/>
      <c r="E726" s="33"/>
      <c r="F726" s="33"/>
      <c r="G726" s="33"/>
      <c r="H726" s="33"/>
      <c r="I726" s="33"/>
      <c r="J726" s="30"/>
    </row>
    <row r="727" spans="1:10" x14ac:dyDescent="0.15">
      <c r="A727" s="111"/>
      <c r="B727" s="33"/>
      <c r="C727" s="33"/>
      <c r="D727" s="33"/>
      <c r="E727" s="33"/>
      <c r="F727" s="33"/>
      <c r="G727" s="33"/>
      <c r="H727" s="33"/>
      <c r="I727" s="33"/>
      <c r="J727" s="30"/>
    </row>
    <row r="728" spans="1:10" x14ac:dyDescent="0.15">
      <c r="A728" s="111"/>
      <c r="B728" s="33"/>
      <c r="C728" s="33"/>
      <c r="D728" s="33"/>
      <c r="E728" s="33"/>
      <c r="F728" s="33"/>
      <c r="G728" s="33"/>
      <c r="H728" s="33"/>
      <c r="I728" s="33"/>
      <c r="J728" s="30"/>
    </row>
    <row r="729" spans="1:10" x14ac:dyDescent="0.15">
      <c r="A729" s="111"/>
      <c r="B729" s="33"/>
      <c r="C729" s="33"/>
      <c r="D729" s="33"/>
      <c r="E729" s="33"/>
      <c r="F729" s="33"/>
      <c r="G729" s="33"/>
      <c r="H729" s="33"/>
      <c r="I729" s="33"/>
      <c r="J729" s="30"/>
    </row>
    <row r="730" spans="1:10" x14ac:dyDescent="0.15">
      <c r="A730" s="111"/>
      <c r="B730" s="33"/>
      <c r="C730" s="33"/>
      <c r="D730" s="33"/>
      <c r="E730" s="33"/>
      <c r="F730" s="33"/>
      <c r="G730" s="33"/>
      <c r="H730" s="33"/>
      <c r="I730" s="33"/>
      <c r="J730" s="30"/>
    </row>
    <row r="731" spans="1:10" x14ac:dyDescent="0.15">
      <c r="A731" s="111"/>
      <c r="B731" s="33"/>
      <c r="C731" s="33"/>
      <c r="D731" s="33"/>
      <c r="E731" s="33"/>
      <c r="F731" s="33"/>
      <c r="G731" s="33"/>
      <c r="H731" s="33"/>
      <c r="I731" s="33"/>
      <c r="J731" s="30"/>
    </row>
    <row r="732" spans="1:10" x14ac:dyDescent="0.15">
      <c r="A732" s="111"/>
      <c r="B732" s="33"/>
      <c r="C732" s="33"/>
      <c r="D732" s="33"/>
      <c r="E732" s="33"/>
      <c r="F732" s="33"/>
      <c r="G732" s="33"/>
      <c r="H732" s="33"/>
      <c r="I732" s="33"/>
      <c r="J732" s="30"/>
    </row>
    <row r="733" spans="1:10" x14ac:dyDescent="0.15">
      <c r="A733" s="111"/>
      <c r="B733" s="33"/>
      <c r="C733" s="33"/>
      <c r="D733" s="33"/>
      <c r="E733" s="33"/>
      <c r="F733" s="33"/>
      <c r="G733" s="33"/>
      <c r="H733" s="33"/>
      <c r="I733" s="33"/>
      <c r="J733" s="30"/>
    </row>
    <row r="734" spans="1:10" x14ac:dyDescent="0.15">
      <c r="A734" s="111"/>
      <c r="B734" s="33"/>
      <c r="C734" s="33"/>
      <c r="D734" s="33"/>
      <c r="E734" s="33"/>
      <c r="F734" s="33"/>
      <c r="G734" s="33"/>
      <c r="H734" s="33"/>
      <c r="I734" s="33"/>
      <c r="J734" s="30"/>
    </row>
    <row r="735" spans="1:10" x14ac:dyDescent="0.15">
      <c r="A735" s="111"/>
      <c r="B735" s="33"/>
      <c r="C735" s="33"/>
      <c r="D735" s="33"/>
      <c r="E735" s="33"/>
      <c r="F735" s="33"/>
      <c r="G735" s="33"/>
      <c r="H735" s="33"/>
      <c r="I735" s="33"/>
      <c r="J735" s="30"/>
    </row>
    <row r="736" spans="1:10" x14ac:dyDescent="0.15">
      <c r="A736" s="111"/>
      <c r="B736" s="33"/>
      <c r="C736" s="33"/>
      <c r="D736" s="33"/>
      <c r="E736" s="33"/>
      <c r="F736" s="33"/>
      <c r="G736" s="33"/>
      <c r="H736" s="33"/>
      <c r="I736" s="33"/>
      <c r="J736" s="30"/>
    </row>
    <row r="737" spans="1:10" x14ac:dyDescent="0.15">
      <c r="A737" s="111"/>
      <c r="B737" s="33"/>
      <c r="C737" s="33"/>
      <c r="D737" s="33"/>
      <c r="E737" s="33"/>
      <c r="F737" s="33"/>
      <c r="G737" s="33"/>
      <c r="H737" s="33"/>
      <c r="I737" s="33"/>
      <c r="J737" s="30"/>
    </row>
    <row r="738" spans="1:10" x14ac:dyDescent="0.15">
      <c r="A738" s="111"/>
      <c r="B738" s="33"/>
      <c r="C738" s="33"/>
      <c r="D738" s="33"/>
      <c r="E738" s="33"/>
      <c r="F738" s="33"/>
      <c r="G738" s="33"/>
      <c r="H738" s="33"/>
      <c r="I738" s="33"/>
      <c r="J738" s="30"/>
    </row>
    <row r="739" spans="1:10" x14ac:dyDescent="0.15">
      <c r="A739" s="111"/>
      <c r="B739" s="33"/>
      <c r="C739" s="33"/>
      <c r="D739" s="33"/>
      <c r="E739" s="33"/>
      <c r="F739" s="33"/>
      <c r="G739" s="33"/>
      <c r="H739" s="33"/>
      <c r="I739" s="33"/>
      <c r="J739" s="30"/>
    </row>
    <row r="740" spans="1:10" x14ac:dyDescent="0.15">
      <c r="A740" s="111"/>
      <c r="B740" s="33"/>
      <c r="C740" s="33"/>
      <c r="D740" s="33"/>
      <c r="E740" s="33"/>
      <c r="F740" s="33"/>
      <c r="G740" s="33"/>
      <c r="H740" s="33"/>
      <c r="I740" s="33"/>
      <c r="J740" s="30"/>
    </row>
    <row r="741" spans="1:10" x14ac:dyDescent="0.15">
      <c r="A741" s="111"/>
      <c r="B741" s="33"/>
      <c r="C741" s="33"/>
      <c r="D741" s="33"/>
      <c r="E741" s="33"/>
      <c r="F741" s="33"/>
      <c r="G741" s="33"/>
      <c r="H741" s="33"/>
      <c r="I741" s="33"/>
      <c r="J741" s="30"/>
    </row>
    <row r="742" spans="1:10" x14ac:dyDescent="0.15">
      <c r="A742" s="111"/>
      <c r="B742" s="33"/>
      <c r="C742" s="33"/>
      <c r="D742" s="33"/>
      <c r="E742" s="33"/>
      <c r="F742" s="33"/>
      <c r="G742" s="33"/>
      <c r="H742" s="33"/>
      <c r="I742" s="33"/>
      <c r="J742" s="30"/>
    </row>
    <row r="743" spans="1:10" x14ac:dyDescent="0.15">
      <c r="A743" s="111"/>
      <c r="B743" s="33"/>
      <c r="C743" s="33"/>
      <c r="D743" s="33"/>
      <c r="E743" s="33"/>
      <c r="F743" s="33"/>
      <c r="G743" s="33"/>
      <c r="H743" s="33"/>
      <c r="I743" s="33"/>
      <c r="J743" s="30"/>
    </row>
    <row r="744" spans="1:10" x14ac:dyDescent="0.15">
      <c r="A744" s="111"/>
      <c r="B744" s="33"/>
      <c r="C744" s="33"/>
      <c r="D744" s="33"/>
      <c r="E744" s="33"/>
      <c r="F744" s="33"/>
      <c r="G744" s="33"/>
      <c r="H744" s="33"/>
      <c r="I744" s="33"/>
      <c r="J744" s="30"/>
    </row>
    <row r="745" spans="1:10" x14ac:dyDescent="0.15">
      <c r="A745" s="111"/>
      <c r="B745" s="33"/>
      <c r="C745" s="33"/>
      <c r="D745" s="33"/>
      <c r="E745" s="33"/>
      <c r="F745" s="33"/>
      <c r="G745" s="33"/>
      <c r="H745" s="33"/>
      <c r="I745" s="33"/>
      <c r="J745" s="30"/>
    </row>
    <row r="746" spans="1:10" x14ac:dyDescent="0.15">
      <c r="A746" s="111"/>
      <c r="B746" s="33"/>
      <c r="C746" s="33"/>
      <c r="D746" s="33"/>
      <c r="E746" s="33"/>
      <c r="F746" s="33"/>
      <c r="G746" s="33"/>
      <c r="H746" s="33"/>
      <c r="I746" s="33"/>
      <c r="J746" s="30"/>
    </row>
    <row r="747" spans="1:10" x14ac:dyDescent="0.15">
      <c r="A747" s="111"/>
      <c r="B747" s="33"/>
      <c r="C747" s="33"/>
      <c r="D747" s="33"/>
      <c r="E747" s="33"/>
      <c r="F747" s="33"/>
      <c r="G747" s="33"/>
      <c r="H747" s="33"/>
      <c r="I747" s="33"/>
      <c r="J747" s="30"/>
    </row>
    <row r="748" spans="1:10" x14ac:dyDescent="0.15">
      <c r="A748" s="111"/>
      <c r="B748" s="33"/>
      <c r="C748" s="33"/>
      <c r="D748" s="33"/>
      <c r="E748" s="33"/>
      <c r="F748" s="33"/>
      <c r="G748" s="33"/>
      <c r="H748" s="33"/>
      <c r="I748" s="33"/>
      <c r="J748" s="30"/>
    </row>
    <row r="749" spans="1:10" x14ac:dyDescent="0.15">
      <c r="A749" s="111"/>
      <c r="B749" s="33"/>
      <c r="C749" s="33"/>
      <c r="D749" s="33"/>
      <c r="E749" s="33"/>
      <c r="F749" s="33"/>
      <c r="G749" s="33"/>
      <c r="H749" s="33"/>
      <c r="I749" s="33"/>
      <c r="J749" s="30"/>
    </row>
    <row r="750" spans="1:10" x14ac:dyDescent="0.15">
      <c r="A750" s="111"/>
      <c r="B750" s="33"/>
      <c r="C750" s="33"/>
      <c r="D750" s="33"/>
      <c r="E750" s="33"/>
      <c r="F750" s="33"/>
      <c r="G750" s="33"/>
      <c r="H750" s="33"/>
      <c r="I750" s="33"/>
      <c r="J750" s="30"/>
    </row>
    <row r="751" spans="1:10" x14ac:dyDescent="0.15">
      <c r="A751" s="111"/>
      <c r="B751" s="33"/>
      <c r="C751" s="33"/>
      <c r="D751" s="33"/>
      <c r="E751" s="33"/>
      <c r="F751" s="33"/>
      <c r="G751" s="33"/>
      <c r="H751" s="33"/>
      <c r="I751" s="33"/>
      <c r="J751" s="30"/>
    </row>
    <row r="752" spans="1:10" x14ac:dyDescent="0.15">
      <c r="A752" s="111"/>
      <c r="B752" s="33"/>
      <c r="C752" s="33"/>
      <c r="D752" s="33"/>
      <c r="E752" s="33"/>
      <c r="F752" s="33"/>
      <c r="G752" s="33"/>
      <c r="H752" s="33"/>
      <c r="I752" s="33"/>
      <c r="J752" s="30"/>
    </row>
    <row r="753" spans="1:10" x14ac:dyDescent="0.15">
      <c r="A753" s="111"/>
      <c r="B753" s="33"/>
      <c r="C753" s="33"/>
      <c r="D753" s="33"/>
      <c r="E753" s="33"/>
      <c r="F753" s="33"/>
      <c r="G753" s="33"/>
      <c r="H753" s="33"/>
      <c r="I753" s="33"/>
      <c r="J753" s="30"/>
    </row>
    <row r="754" spans="1:10" x14ac:dyDescent="0.15">
      <c r="A754" s="111"/>
      <c r="B754" s="33"/>
      <c r="C754" s="33"/>
      <c r="D754" s="33"/>
      <c r="E754" s="33"/>
      <c r="F754" s="33"/>
      <c r="G754" s="33"/>
      <c r="H754" s="33"/>
      <c r="I754" s="33"/>
      <c r="J754" s="30"/>
    </row>
    <row r="755" spans="1:10" x14ac:dyDescent="0.15">
      <c r="A755" s="111"/>
      <c r="B755" s="33"/>
      <c r="C755" s="33"/>
      <c r="D755" s="33"/>
      <c r="E755" s="33"/>
      <c r="F755" s="33"/>
      <c r="G755" s="33"/>
      <c r="H755" s="33"/>
      <c r="I755" s="33"/>
      <c r="J755" s="30"/>
    </row>
    <row r="756" spans="1:10" x14ac:dyDescent="0.15">
      <c r="A756" s="111"/>
      <c r="B756" s="33"/>
      <c r="C756" s="33"/>
      <c r="D756" s="33"/>
      <c r="E756" s="33"/>
      <c r="F756" s="33"/>
      <c r="G756" s="33"/>
      <c r="H756" s="33"/>
      <c r="I756" s="33"/>
      <c r="J756" s="30"/>
    </row>
    <row r="757" spans="1:10" x14ac:dyDescent="0.15">
      <c r="A757" s="111"/>
      <c r="B757" s="33"/>
      <c r="C757" s="33"/>
      <c r="D757" s="33"/>
      <c r="E757" s="33"/>
      <c r="F757" s="33"/>
      <c r="G757" s="33"/>
      <c r="H757" s="33"/>
      <c r="I757" s="33"/>
      <c r="J757" s="30"/>
    </row>
    <row r="758" spans="1:10" x14ac:dyDescent="0.15">
      <c r="A758" s="111"/>
      <c r="B758" s="33"/>
      <c r="C758" s="33"/>
      <c r="D758" s="33"/>
      <c r="E758" s="33"/>
      <c r="F758" s="33"/>
      <c r="G758" s="33"/>
      <c r="H758" s="33"/>
      <c r="I758" s="33"/>
      <c r="J758" s="30"/>
    </row>
    <row r="759" spans="1:10" x14ac:dyDescent="0.15">
      <c r="A759" s="111"/>
      <c r="B759" s="33"/>
      <c r="C759" s="33"/>
      <c r="D759" s="33"/>
      <c r="E759" s="33"/>
      <c r="F759" s="33"/>
      <c r="G759" s="33"/>
      <c r="H759" s="33"/>
      <c r="I759" s="33"/>
      <c r="J759" s="30"/>
    </row>
    <row r="760" spans="1:10" x14ac:dyDescent="0.15">
      <c r="A760" s="111"/>
      <c r="B760" s="33"/>
      <c r="C760" s="33"/>
      <c r="D760" s="33"/>
      <c r="E760" s="33"/>
      <c r="F760" s="33"/>
      <c r="G760" s="33"/>
      <c r="H760" s="33"/>
      <c r="I760" s="33"/>
      <c r="J760" s="30"/>
    </row>
    <row r="761" spans="1:10" x14ac:dyDescent="0.15">
      <c r="A761" s="111"/>
      <c r="B761" s="33"/>
      <c r="C761" s="33"/>
      <c r="D761" s="33"/>
      <c r="E761" s="33"/>
      <c r="F761" s="33"/>
      <c r="G761" s="33"/>
      <c r="H761" s="33"/>
      <c r="I761" s="33"/>
      <c r="J761" s="30"/>
    </row>
    <row r="762" spans="1:10" x14ac:dyDescent="0.15">
      <c r="A762" s="111"/>
      <c r="B762" s="33"/>
      <c r="C762" s="33"/>
      <c r="D762" s="33"/>
      <c r="E762" s="33"/>
      <c r="F762" s="33"/>
      <c r="G762" s="33"/>
      <c r="H762" s="33"/>
      <c r="I762" s="33"/>
      <c r="J762" s="30"/>
    </row>
    <row r="763" spans="1:10" x14ac:dyDescent="0.15">
      <c r="A763" s="111"/>
      <c r="B763" s="33"/>
      <c r="C763" s="33"/>
      <c r="D763" s="33"/>
      <c r="E763" s="33"/>
      <c r="F763" s="33"/>
      <c r="G763" s="33"/>
      <c r="H763" s="33"/>
      <c r="I763" s="33"/>
      <c r="J763" s="30"/>
    </row>
    <row r="764" spans="1:10" x14ac:dyDescent="0.15">
      <c r="A764" s="111"/>
      <c r="B764" s="33"/>
      <c r="C764" s="33"/>
      <c r="D764" s="33"/>
      <c r="E764" s="33"/>
      <c r="F764" s="33"/>
      <c r="G764" s="33"/>
      <c r="H764" s="33"/>
      <c r="I764" s="33"/>
      <c r="J764" s="30"/>
    </row>
    <row r="765" spans="1:10" x14ac:dyDescent="0.15">
      <c r="A765" s="111"/>
      <c r="B765" s="33"/>
      <c r="C765" s="33"/>
      <c r="D765" s="33"/>
      <c r="E765" s="33"/>
      <c r="F765" s="33"/>
      <c r="G765" s="33"/>
      <c r="H765" s="33"/>
      <c r="I765" s="33"/>
      <c r="J765" s="30"/>
    </row>
    <row r="766" spans="1:10" x14ac:dyDescent="0.15">
      <c r="A766" s="111"/>
      <c r="B766" s="33"/>
      <c r="C766" s="33"/>
      <c r="D766" s="33"/>
      <c r="E766" s="33"/>
      <c r="F766" s="33"/>
      <c r="G766" s="33"/>
      <c r="H766" s="33"/>
      <c r="I766" s="33"/>
      <c r="J766" s="30"/>
    </row>
    <row r="767" spans="1:10" x14ac:dyDescent="0.15">
      <c r="A767" s="111"/>
      <c r="B767" s="33"/>
      <c r="C767" s="33"/>
      <c r="D767" s="33"/>
      <c r="E767" s="33"/>
      <c r="F767" s="33"/>
      <c r="G767" s="33"/>
      <c r="H767" s="33"/>
      <c r="I767" s="33"/>
      <c r="J767" s="30"/>
    </row>
    <row r="768" spans="1:10" x14ac:dyDescent="0.15">
      <c r="A768" s="111"/>
      <c r="B768" s="33"/>
      <c r="C768" s="33"/>
      <c r="D768" s="33"/>
      <c r="E768" s="33"/>
      <c r="F768" s="33"/>
      <c r="G768" s="33"/>
      <c r="H768" s="33"/>
      <c r="I768" s="33"/>
      <c r="J768" s="30"/>
    </row>
    <row r="769" spans="1:10" x14ac:dyDescent="0.15">
      <c r="A769" s="111"/>
      <c r="B769" s="33"/>
      <c r="C769" s="33"/>
      <c r="D769" s="33"/>
      <c r="E769" s="33"/>
      <c r="F769" s="33"/>
      <c r="G769" s="33"/>
      <c r="H769" s="33"/>
      <c r="I769" s="33"/>
      <c r="J769" s="30"/>
    </row>
    <row r="770" spans="1:10" x14ac:dyDescent="0.15">
      <c r="A770" s="111"/>
      <c r="B770" s="33"/>
      <c r="C770" s="33"/>
      <c r="D770" s="33"/>
      <c r="E770" s="33"/>
      <c r="F770" s="33"/>
      <c r="G770" s="33"/>
      <c r="H770" s="33"/>
      <c r="I770" s="33"/>
      <c r="J770" s="30"/>
    </row>
    <row r="771" spans="1:10" x14ac:dyDescent="0.15">
      <c r="A771" s="111"/>
      <c r="B771" s="33"/>
      <c r="C771" s="33"/>
      <c r="D771" s="33"/>
      <c r="E771" s="33"/>
      <c r="F771" s="33"/>
      <c r="G771" s="33"/>
      <c r="H771" s="33"/>
      <c r="I771" s="33"/>
      <c r="J771" s="30"/>
    </row>
    <row r="772" spans="1:10" x14ac:dyDescent="0.15">
      <c r="A772" s="111"/>
      <c r="B772" s="33"/>
      <c r="C772" s="33"/>
      <c r="D772" s="33"/>
      <c r="E772" s="33"/>
      <c r="F772" s="33"/>
      <c r="G772" s="33"/>
      <c r="H772" s="33"/>
      <c r="I772" s="33"/>
      <c r="J772" s="30"/>
    </row>
    <row r="773" spans="1:10" x14ac:dyDescent="0.15">
      <c r="A773" s="111"/>
      <c r="B773" s="33"/>
      <c r="C773" s="33"/>
      <c r="D773" s="33"/>
      <c r="E773" s="33"/>
      <c r="F773" s="33"/>
      <c r="G773" s="33"/>
      <c r="H773" s="33"/>
      <c r="I773" s="33"/>
      <c r="J773" s="30"/>
    </row>
    <row r="774" spans="1:10" x14ac:dyDescent="0.15">
      <c r="A774" s="111"/>
      <c r="B774" s="33"/>
      <c r="C774" s="33"/>
      <c r="D774" s="33"/>
      <c r="E774" s="33"/>
      <c r="F774" s="33"/>
      <c r="G774" s="33"/>
      <c r="H774" s="33"/>
      <c r="I774" s="33"/>
      <c r="J774" s="30"/>
    </row>
    <row r="775" spans="1:10" x14ac:dyDescent="0.15">
      <c r="A775" s="111"/>
      <c r="B775" s="33"/>
      <c r="C775" s="33"/>
      <c r="D775" s="33"/>
      <c r="E775" s="33"/>
      <c r="F775" s="33"/>
      <c r="G775" s="33"/>
      <c r="H775" s="33"/>
      <c r="I775" s="33"/>
      <c r="J775" s="30"/>
    </row>
    <row r="776" spans="1:10" x14ac:dyDescent="0.15">
      <c r="A776" s="111"/>
      <c r="B776" s="33"/>
      <c r="C776" s="33"/>
      <c r="D776" s="33"/>
      <c r="E776" s="33"/>
      <c r="F776" s="33"/>
      <c r="G776" s="33"/>
      <c r="H776" s="33"/>
      <c r="I776" s="33"/>
      <c r="J776" s="30"/>
    </row>
    <row r="777" spans="1:10" x14ac:dyDescent="0.15">
      <c r="A777" s="111"/>
      <c r="B777" s="33"/>
      <c r="C777" s="33"/>
      <c r="D777" s="33"/>
      <c r="E777" s="33"/>
      <c r="F777" s="33"/>
      <c r="G777" s="33"/>
      <c r="H777" s="33"/>
      <c r="I777" s="33"/>
      <c r="J777" s="30"/>
    </row>
    <row r="778" spans="1:10" x14ac:dyDescent="0.15">
      <c r="A778" s="111"/>
      <c r="B778" s="33"/>
      <c r="C778" s="33"/>
      <c r="D778" s="33"/>
      <c r="E778" s="33"/>
      <c r="F778" s="33"/>
      <c r="G778" s="33"/>
      <c r="H778" s="33"/>
      <c r="I778" s="33"/>
      <c r="J778" s="30"/>
    </row>
    <row r="779" spans="1:10" x14ac:dyDescent="0.15">
      <c r="A779" s="111"/>
      <c r="B779" s="33"/>
      <c r="C779" s="33"/>
      <c r="D779" s="33"/>
      <c r="E779" s="33"/>
      <c r="F779" s="33"/>
      <c r="G779" s="33"/>
      <c r="H779" s="33"/>
      <c r="I779" s="33"/>
      <c r="J779" s="30"/>
    </row>
    <row r="780" spans="1:10" x14ac:dyDescent="0.15">
      <c r="A780" s="111"/>
      <c r="B780" s="33"/>
      <c r="C780" s="33"/>
      <c r="D780" s="33"/>
      <c r="E780" s="33"/>
      <c r="F780" s="33"/>
      <c r="G780" s="33"/>
      <c r="H780" s="33"/>
      <c r="I780" s="33"/>
      <c r="J780" s="30"/>
    </row>
    <row r="781" spans="1:10" x14ac:dyDescent="0.15">
      <c r="A781" s="111"/>
      <c r="B781" s="33"/>
      <c r="C781" s="33"/>
      <c r="D781" s="33"/>
      <c r="E781" s="33"/>
      <c r="F781" s="33"/>
      <c r="G781" s="33"/>
      <c r="H781" s="33"/>
      <c r="I781" s="33"/>
      <c r="J781" s="30"/>
    </row>
    <row r="782" spans="1:10" x14ac:dyDescent="0.15">
      <c r="A782" s="111"/>
      <c r="B782" s="33"/>
      <c r="C782" s="33"/>
      <c r="D782" s="33"/>
      <c r="E782" s="33"/>
      <c r="F782" s="33"/>
      <c r="G782" s="33"/>
      <c r="H782" s="33"/>
      <c r="I782" s="33"/>
      <c r="J782" s="30"/>
    </row>
    <row r="783" spans="1:10" x14ac:dyDescent="0.15">
      <c r="A783" s="111"/>
      <c r="B783" s="33"/>
      <c r="C783" s="33"/>
      <c r="D783" s="33"/>
      <c r="E783" s="33"/>
      <c r="F783" s="33"/>
      <c r="G783" s="33"/>
      <c r="H783" s="33"/>
      <c r="I783" s="33"/>
      <c r="J783" s="30"/>
    </row>
    <row r="784" spans="1:10" x14ac:dyDescent="0.15">
      <c r="A784" s="111"/>
      <c r="B784" s="33"/>
      <c r="C784" s="33"/>
      <c r="D784" s="33"/>
      <c r="E784" s="33"/>
      <c r="F784" s="33"/>
      <c r="G784" s="33"/>
      <c r="H784" s="33"/>
      <c r="I784" s="33"/>
      <c r="J784" s="30"/>
    </row>
    <row r="785" spans="1:10" x14ac:dyDescent="0.15">
      <c r="A785" s="111"/>
      <c r="B785" s="33"/>
      <c r="C785" s="33"/>
      <c r="D785" s="33"/>
      <c r="E785" s="33"/>
      <c r="F785" s="33"/>
      <c r="G785" s="33"/>
      <c r="H785" s="33"/>
      <c r="I785" s="33"/>
      <c r="J785" s="30"/>
    </row>
    <row r="786" spans="1:10" x14ac:dyDescent="0.15">
      <c r="A786" s="111"/>
      <c r="B786" s="33"/>
      <c r="C786" s="33"/>
      <c r="D786" s="33"/>
      <c r="E786" s="33"/>
      <c r="F786" s="33"/>
      <c r="G786" s="33"/>
      <c r="H786" s="33"/>
      <c r="I786" s="33"/>
      <c r="J786" s="30"/>
    </row>
    <row r="787" spans="1:10" x14ac:dyDescent="0.15">
      <c r="A787" s="111"/>
      <c r="B787" s="33"/>
      <c r="C787" s="33"/>
      <c r="D787" s="33"/>
      <c r="E787" s="33"/>
      <c r="F787" s="33"/>
      <c r="G787" s="33"/>
      <c r="H787" s="33"/>
      <c r="I787" s="33"/>
      <c r="J787" s="30"/>
    </row>
    <row r="788" spans="1:10" x14ac:dyDescent="0.15">
      <c r="A788" s="111"/>
      <c r="B788" s="33"/>
      <c r="C788" s="33"/>
      <c r="D788" s="33"/>
      <c r="E788" s="33"/>
      <c r="F788" s="33"/>
      <c r="G788" s="33"/>
      <c r="H788" s="33"/>
      <c r="I788" s="33"/>
      <c r="J788" s="30"/>
    </row>
    <row r="789" spans="1:10" x14ac:dyDescent="0.15">
      <c r="A789" s="111"/>
      <c r="B789" s="33"/>
      <c r="C789" s="33"/>
      <c r="D789" s="33"/>
      <c r="E789" s="33"/>
      <c r="F789" s="33"/>
      <c r="G789" s="33"/>
      <c r="H789" s="33"/>
      <c r="I789" s="33"/>
      <c r="J789" s="30"/>
    </row>
    <row r="790" spans="1:10" x14ac:dyDescent="0.15">
      <c r="A790" s="111"/>
      <c r="B790" s="33"/>
      <c r="C790" s="33"/>
      <c r="D790" s="33"/>
      <c r="E790" s="33"/>
      <c r="F790" s="33"/>
      <c r="G790" s="33"/>
      <c r="H790" s="33"/>
      <c r="I790" s="33"/>
      <c r="J790" s="30"/>
    </row>
    <row r="791" spans="1:10" x14ac:dyDescent="0.15">
      <c r="A791" s="111"/>
      <c r="B791" s="33"/>
      <c r="C791" s="33"/>
      <c r="D791" s="33"/>
      <c r="E791" s="33"/>
      <c r="F791" s="33"/>
      <c r="G791" s="33"/>
      <c r="H791" s="33"/>
      <c r="I791" s="33"/>
      <c r="J791" s="30"/>
    </row>
    <row r="792" spans="1:10" x14ac:dyDescent="0.15">
      <c r="A792" s="111"/>
      <c r="B792" s="33"/>
      <c r="C792" s="33"/>
      <c r="D792" s="33"/>
      <c r="E792" s="33"/>
      <c r="F792" s="33"/>
      <c r="G792" s="33"/>
      <c r="H792" s="33"/>
      <c r="I792" s="33"/>
      <c r="J792" s="30"/>
    </row>
    <row r="793" spans="1:10" x14ac:dyDescent="0.15">
      <c r="A793" s="111"/>
      <c r="B793" s="33"/>
      <c r="C793" s="33"/>
      <c r="D793" s="33"/>
      <c r="E793" s="33"/>
      <c r="F793" s="33"/>
      <c r="G793" s="33"/>
      <c r="H793" s="33"/>
      <c r="I793" s="33"/>
      <c r="J793" s="30"/>
    </row>
    <row r="794" spans="1:10" x14ac:dyDescent="0.15">
      <c r="A794" s="111"/>
      <c r="B794" s="33"/>
      <c r="C794" s="33"/>
      <c r="D794" s="33"/>
      <c r="E794" s="33"/>
      <c r="F794" s="33"/>
      <c r="G794" s="33"/>
      <c r="H794" s="33"/>
      <c r="I794" s="33"/>
      <c r="J794" s="30"/>
    </row>
    <row r="795" spans="1:10" x14ac:dyDescent="0.15">
      <c r="A795" s="111"/>
      <c r="B795" s="33"/>
      <c r="C795" s="33"/>
      <c r="D795" s="33"/>
      <c r="E795" s="33"/>
      <c r="F795" s="33"/>
      <c r="G795" s="33"/>
      <c r="H795" s="33"/>
      <c r="I795" s="33"/>
      <c r="J795" s="30"/>
    </row>
    <row r="796" spans="1:10" x14ac:dyDescent="0.15">
      <c r="A796" s="111"/>
      <c r="B796" s="33"/>
      <c r="C796" s="33"/>
      <c r="D796" s="33"/>
      <c r="E796" s="33"/>
      <c r="F796" s="33"/>
      <c r="G796" s="33"/>
      <c r="H796" s="33"/>
      <c r="I796" s="33"/>
      <c r="J796" s="30"/>
    </row>
    <row r="797" spans="1:10" x14ac:dyDescent="0.15">
      <c r="A797" s="111"/>
      <c r="B797" s="33"/>
      <c r="C797" s="33"/>
      <c r="D797" s="33"/>
      <c r="E797" s="33"/>
      <c r="F797" s="33"/>
      <c r="G797" s="33"/>
      <c r="H797" s="33"/>
      <c r="I797" s="33"/>
      <c r="J797" s="30"/>
    </row>
    <row r="798" spans="1:10" x14ac:dyDescent="0.15">
      <c r="A798" s="111"/>
      <c r="B798" s="33"/>
      <c r="C798" s="33"/>
      <c r="D798" s="33"/>
      <c r="E798" s="33"/>
      <c r="F798" s="33"/>
      <c r="G798" s="33"/>
      <c r="H798" s="33"/>
      <c r="I798" s="33"/>
      <c r="J798" s="30"/>
    </row>
    <row r="799" spans="1:10" x14ac:dyDescent="0.15">
      <c r="A799" s="111"/>
      <c r="B799" s="33"/>
      <c r="C799" s="33"/>
      <c r="D799" s="33"/>
      <c r="E799" s="33"/>
      <c r="F799" s="33"/>
      <c r="G799" s="33"/>
      <c r="H799" s="33"/>
      <c r="I799" s="33"/>
      <c r="J799" s="30"/>
    </row>
    <row r="800" spans="1:10" x14ac:dyDescent="0.15">
      <c r="A800" s="111"/>
      <c r="B800" s="33"/>
      <c r="C800" s="33"/>
      <c r="D800" s="33"/>
      <c r="E800" s="33"/>
      <c r="F800" s="33"/>
      <c r="G800" s="33"/>
      <c r="H800" s="33"/>
      <c r="I800" s="33"/>
      <c r="J800" s="30"/>
    </row>
    <row r="801" spans="1:10" x14ac:dyDescent="0.15">
      <c r="A801" s="111"/>
      <c r="B801" s="33"/>
      <c r="C801" s="33"/>
      <c r="D801" s="33"/>
      <c r="E801" s="33"/>
      <c r="F801" s="33"/>
      <c r="G801" s="33"/>
      <c r="H801" s="33"/>
      <c r="I801" s="33"/>
      <c r="J801" s="30"/>
    </row>
    <row r="802" spans="1:10" x14ac:dyDescent="0.15">
      <c r="A802" s="111"/>
      <c r="B802" s="33"/>
      <c r="C802" s="33"/>
      <c r="D802" s="33"/>
      <c r="E802" s="33"/>
      <c r="F802" s="33"/>
      <c r="G802" s="33"/>
      <c r="H802" s="33"/>
      <c r="I802" s="33"/>
      <c r="J802" s="30"/>
    </row>
    <row r="803" spans="1:10" x14ac:dyDescent="0.15">
      <c r="A803" s="111"/>
      <c r="B803" s="33"/>
      <c r="C803" s="33"/>
      <c r="D803" s="33"/>
      <c r="E803" s="33"/>
      <c r="F803" s="33"/>
      <c r="G803" s="33"/>
      <c r="H803" s="33"/>
      <c r="I803" s="33"/>
      <c r="J803" s="30"/>
    </row>
    <row r="804" spans="1:10" x14ac:dyDescent="0.15">
      <c r="A804" s="111"/>
      <c r="B804" s="33"/>
      <c r="C804" s="33"/>
      <c r="D804" s="33"/>
      <c r="E804" s="33"/>
      <c r="F804" s="33"/>
      <c r="G804" s="33"/>
      <c r="H804" s="33"/>
      <c r="I804" s="33"/>
      <c r="J804" s="30"/>
    </row>
    <row r="805" spans="1:10" x14ac:dyDescent="0.15">
      <c r="A805" s="111"/>
      <c r="B805" s="33"/>
      <c r="C805" s="33"/>
      <c r="D805" s="33"/>
      <c r="E805" s="33"/>
      <c r="F805" s="33"/>
      <c r="G805" s="33"/>
      <c r="H805" s="33"/>
      <c r="I805" s="33"/>
      <c r="J805" s="30"/>
    </row>
    <row r="806" spans="1:10" x14ac:dyDescent="0.15">
      <c r="A806" s="111"/>
      <c r="B806" s="33"/>
      <c r="C806" s="33"/>
      <c r="D806" s="33"/>
      <c r="E806" s="33"/>
      <c r="F806" s="33"/>
      <c r="G806" s="33"/>
      <c r="H806" s="33"/>
      <c r="I806" s="33"/>
      <c r="J806" s="30"/>
    </row>
    <row r="807" spans="1:10" x14ac:dyDescent="0.15">
      <c r="A807" s="111"/>
      <c r="B807" s="33"/>
      <c r="C807" s="33"/>
      <c r="D807" s="33"/>
      <c r="E807" s="33"/>
      <c r="F807" s="33"/>
      <c r="G807" s="33"/>
      <c r="H807" s="33"/>
      <c r="I807" s="33"/>
      <c r="J807" s="30"/>
    </row>
    <row r="808" spans="1:10" x14ac:dyDescent="0.15">
      <c r="A808" s="111"/>
      <c r="B808" s="33"/>
      <c r="C808" s="33"/>
      <c r="D808" s="33"/>
      <c r="E808" s="33"/>
      <c r="F808" s="33"/>
      <c r="G808" s="33"/>
      <c r="H808" s="33"/>
      <c r="I808" s="33"/>
      <c r="J808" s="30"/>
    </row>
    <row r="809" spans="1:10" x14ac:dyDescent="0.15">
      <c r="A809" s="111"/>
      <c r="B809" s="33"/>
      <c r="C809" s="33"/>
      <c r="D809" s="33"/>
      <c r="E809" s="33"/>
      <c r="F809" s="33"/>
      <c r="G809" s="33"/>
      <c r="H809" s="33"/>
      <c r="I809" s="33"/>
      <c r="J809" s="30"/>
    </row>
    <row r="810" spans="1:10" x14ac:dyDescent="0.15">
      <c r="A810" s="111"/>
      <c r="B810" s="33"/>
      <c r="C810" s="33"/>
      <c r="D810" s="33"/>
      <c r="E810" s="33"/>
      <c r="F810" s="33"/>
      <c r="G810" s="33"/>
      <c r="H810" s="33"/>
      <c r="I810" s="33"/>
      <c r="J810" s="30"/>
    </row>
    <row r="811" spans="1:10" x14ac:dyDescent="0.15">
      <c r="A811" s="111"/>
      <c r="B811" s="33"/>
      <c r="C811" s="33"/>
      <c r="D811" s="33"/>
      <c r="E811" s="33"/>
      <c r="F811" s="33"/>
      <c r="G811" s="33"/>
      <c r="H811" s="33"/>
      <c r="I811" s="33"/>
      <c r="J811" s="30"/>
    </row>
    <row r="812" spans="1:10" x14ac:dyDescent="0.15">
      <c r="A812" s="111"/>
      <c r="B812" s="33"/>
      <c r="C812" s="33"/>
      <c r="D812" s="33"/>
      <c r="E812" s="33"/>
      <c r="F812" s="33"/>
      <c r="G812" s="33"/>
      <c r="H812" s="33"/>
      <c r="I812" s="33"/>
      <c r="J812" s="30"/>
    </row>
    <row r="813" spans="1:10" x14ac:dyDescent="0.15">
      <c r="A813" s="111"/>
      <c r="B813" s="33"/>
      <c r="C813" s="33"/>
      <c r="D813" s="33"/>
      <c r="E813" s="33"/>
      <c r="F813" s="33"/>
      <c r="G813" s="33"/>
      <c r="H813" s="33"/>
      <c r="I813" s="33"/>
      <c r="J813" s="30"/>
    </row>
    <row r="814" spans="1:10" x14ac:dyDescent="0.15">
      <c r="A814" s="111"/>
      <c r="B814" s="33"/>
      <c r="C814" s="33"/>
      <c r="D814" s="33"/>
      <c r="E814" s="33"/>
      <c r="F814" s="33"/>
      <c r="G814" s="33"/>
      <c r="H814" s="33"/>
      <c r="I814" s="33"/>
      <c r="J814" s="30"/>
    </row>
    <row r="815" spans="1:10" x14ac:dyDescent="0.15">
      <c r="A815" s="111"/>
      <c r="B815" s="33"/>
      <c r="C815" s="33"/>
      <c r="D815" s="33"/>
      <c r="E815" s="33"/>
      <c r="F815" s="33"/>
      <c r="G815" s="33"/>
      <c r="H815" s="33"/>
      <c r="I815" s="33"/>
      <c r="J815" s="30"/>
    </row>
    <row r="816" spans="1:10" x14ac:dyDescent="0.15">
      <c r="A816" s="111"/>
      <c r="B816" s="33"/>
      <c r="C816" s="33"/>
      <c r="D816" s="33"/>
      <c r="E816" s="33"/>
      <c r="F816" s="33"/>
      <c r="G816" s="33"/>
      <c r="H816" s="33"/>
      <c r="I816" s="33"/>
      <c r="J816" s="30"/>
    </row>
    <row r="817" spans="1:10" x14ac:dyDescent="0.15">
      <c r="A817" s="111"/>
      <c r="B817" s="33"/>
      <c r="C817" s="33"/>
      <c r="D817" s="33"/>
      <c r="E817" s="33"/>
      <c r="F817" s="33"/>
      <c r="G817" s="33"/>
      <c r="H817" s="33"/>
      <c r="I817" s="33"/>
      <c r="J817" s="30"/>
    </row>
    <row r="818" spans="1:10" x14ac:dyDescent="0.15">
      <c r="A818" s="111"/>
      <c r="B818" s="33"/>
      <c r="C818" s="33"/>
      <c r="D818" s="33"/>
      <c r="E818" s="33"/>
      <c r="F818" s="33"/>
      <c r="G818" s="33"/>
      <c r="H818" s="33"/>
      <c r="I818" s="33"/>
      <c r="J818" s="30"/>
    </row>
    <row r="819" spans="1:10" x14ac:dyDescent="0.15">
      <c r="A819" s="111"/>
      <c r="B819" s="33"/>
      <c r="C819" s="33"/>
      <c r="D819" s="33"/>
      <c r="E819" s="33"/>
      <c r="F819" s="33"/>
      <c r="G819" s="33"/>
      <c r="H819" s="33"/>
      <c r="I819" s="33"/>
      <c r="J819" s="30"/>
    </row>
    <row r="820" spans="1:10" x14ac:dyDescent="0.15">
      <c r="A820" s="111"/>
      <c r="B820" s="33"/>
      <c r="C820" s="33"/>
      <c r="D820" s="33"/>
      <c r="E820" s="33"/>
      <c r="F820" s="33"/>
      <c r="G820" s="33"/>
      <c r="H820" s="33"/>
      <c r="I820" s="33"/>
      <c r="J820" s="30"/>
    </row>
    <row r="821" spans="1:10" x14ac:dyDescent="0.15">
      <c r="A821" s="111"/>
      <c r="B821" s="33"/>
      <c r="C821" s="33"/>
      <c r="D821" s="33"/>
      <c r="E821" s="33"/>
      <c r="F821" s="33"/>
      <c r="G821" s="33"/>
      <c r="H821" s="33"/>
      <c r="I821" s="33"/>
      <c r="J821" s="30"/>
    </row>
    <row r="822" spans="1:10" x14ac:dyDescent="0.15">
      <c r="A822" s="111"/>
      <c r="B822" s="33"/>
      <c r="C822" s="33"/>
      <c r="D822" s="33"/>
      <c r="E822" s="33"/>
      <c r="F822" s="33"/>
      <c r="G822" s="33"/>
      <c r="H822" s="33"/>
      <c r="I822" s="33"/>
      <c r="J822" s="30"/>
    </row>
    <row r="823" spans="1:10" x14ac:dyDescent="0.15">
      <c r="A823" s="111"/>
      <c r="B823" s="33"/>
      <c r="C823" s="33"/>
      <c r="D823" s="33"/>
      <c r="E823" s="33"/>
      <c r="F823" s="33"/>
      <c r="G823" s="33"/>
      <c r="H823" s="33"/>
      <c r="I823" s="33"/>
      <c r="J823" s="30"/>
    </row>
    <row r="824" spans="1:10" x14ac:dyDescent="0.15">
      <c r="A824" s="111"/>
      <c r="B824" s="33"/>
      <c r="C824" s="33"/>
      <c r="D824" s="33"/>
      <c r="E824" s="33"/>
      <c r="F824" s="33"/>
      <c r="G824" s="33"/>
      <c r="H824" s="33"/>
      <c r="I824" s="33"/>
      <c r="J824" s="30"/>
    </row>
    <row r="825" spans="1:10" x14ac:dyDescent="0.15">
      <c r="A825" s="111"/>
      <c r="B825" s="33"/>
      <c r="C825" s="33"/>
      <c r="D825" s="33"/>
      <c r="E825" s="33"/>
      <c r="F825" s="33"/>
      <c r="G825" s="33"/>
      <c r="H825" s="33"/>
      <c r="I825" s="33"/>
      <c r="J825" s="30"/>
    </row>
    <row r="826" spans="1:10" x14ac:dyDescent="0.15">
      <c r="A826" s="111"/>
      <c r="B826" s="33"/>
      <c r="C826" s="33"/>
      <c r="D826" s="33"/>
      <c r="E826" s="33"/>
      <c r="F826" s="33"/>
      <c r="G826" s="33"/>
      <c r="H826" s="33"/>
      <c r="I826" s="33"/>
      <c r="J826" s="30"/>
    </row>
    <row r="827" spans="1:10" x14ac:dyDescent="0.15">
      <c r="A827" s="111"/>
      <c r="B827" s="33"/>
      <c r="C827" s="33"/>
      <c r="D827" s="33"/>
      <c r="E827" s="33"/>
      <c r="F827" s="33"/>
      <c r="G827" s="33"/>
      <c r="H827" s="33"/>
      <c r="I827" s="33"/>
      <c r="J827" s="30"/>
    </row>
    <row r="828" spans="1:10" x14ac:dyDescent="0.15">
      <c r="A828" s="111"/>
      <c r="B828" s="33"/>
      <c r="C828" s="33"/>
      <c r="D828" s="33"/>
      <c r="E828" s="33"/>
      <c r="F828" s="33"/>
      <c r="G828" s="33"/>
      <c r="H828" s="33"/>
      <c r="I828" s="33"/>
      <c r="J828" s="30"/>
    </row>
    <row r="829" spans="1:10" x14ac:dyDescent="0.15">
      <c r="A829" s="111"/>
      <c r="B829" s="33"/>
      <c r="C829" s="33"/>
      <c r="D829" s="33"/>
      <c r="E829" s="33"/>
      <c r="F829" s="33"/>
      <c r="G829" s="33"/>
      <c r="H829" s="33"/>
      <c r="I829" s="33"/>
      <c r="J829" s="30"/>
    </row>
    <row r="830" spans="1:10" x14ac:dyDescent="0.15">
      <c r="A830" s="111"/>
      <c r="B830" s="33"/>
      <c r="C830" s="33"/>
      <c r="D830" s="33"/>
      <c r="E830" s="33"/>
      <c r="F830" s="33"/>
      <c r="G830" s="33"/>
      <c r="H830" s="33"/>
      <c r="I830" s="33"/>
      <c r="J830" s="30"/>
    </row>
    <row r="831" spans="1:10" x14ac:dyDescent="0.15">
      <c r="A831" s="111"/>
      <c r="B831" s="33"/>
      <c r="C831" s="33"/>
      <c r="D831" s="33"/>
      <c r="E831" s="33"/>
      <c r="F831" s="33"/>
      <c r="G831" s="33"/>
      <c r="H831" s="33"/>
      <c r="I831" s="33"/>
      <c r="J831" s="30"/>
    </row>
    <row r="832" spans="1:10" x14ac:dyDescent="0.15">
      <c r="A832" s="111"/>
      <c r="B832" s="33"/>
      <c r="C832" s="33"/>
      <c r="D832" s="33"/>
      <c r="E832" s="33"/>
      <c r="F832" s="33"/>
      <c r="G832" s="33"/>
      <c r="H832" s="33"/>
      <c r="I832" s="33"/>
      <c r="J832" s="30"/>
    </row>
    <row r="833" spans="1:10" x14ac:dyDescent="0.15">
      <c r="A833" s="111"/>
      <c r="B833" s="33"/>
      <c r="C833" s="33"/>
      <c r="D833" s="33"/>
      <c r="E833" s="33"/>
      <c r="F833" s="33"/>
      <c r="G833" s="33"/>
      <c r="H833" s="33"/>
      <c r="I833" s="33"/>
      <c r="J833" s="30"/>
    </row>
    <row r="834" spans="1:10" x14ac:dyDescent="0.15">
      <c r="A834" s="111"/>
      <c r="B834" s="33"/>
      <c r="C834" s="33"/>
      <c r="D834" s="33"/>
      <c r="E834" s="33"/>
      <c r="F834" s="33"/>
      <c r="G834" s="33"/>
      <c r="H834" s="33"/>
      <c r="I834" s="33"/>
      <c r="J834" s="30"/>
    </row>
    <row r="835" spans="1:10" x14ac:dyDescent="0.15">
      <c r="A835" s="111"/>
      <c r="B835" s="33"/>
      <c r="C835" s="33"/>
      <c r="D835" s="33"/>
      <c r="E835" s="33"/>
      <c r="F835" s="33"/>
      <c r="G835" s="33"/>
      <c r="H835" s="33"/>
      <c r="I835" s="33"/>
      <c r="J835" s="30"/>
    </row>
    <row r="836" spans="1:10" x14ac:dyDescent="0.15">
      <c r="A836" s="111"/>
      <c r="B836" s="33"/>
      <c r="C836" s="33"/>
      <c r="D836" s="33"/>
      <c r="E836" s="33"/>
      <c r="F836" s="33"/>
      <c r="G836" s="33"/>
      <c r="H836" s="33"/>
      <c r="I836" s="33"/>
      <c r="J836" s="30"/>
    </row>
    <row r="837" spans="1:10" x14ac:dyDescent="0.15">
      <c r="A837" s="111"/>
      <c r="B837" s="33"/>
      <c r="C837" s="33"/>
      <c r="D837" s="33"/>
      <c r="E837" s="33"/>
      <c r="F837" s="33"/>
      <c r="G837" s="33"/>
      <c r="H837" s="33"/>
      <c r="I837" s="33"/>
      <c r="J837" s="30"/>
    </row>
    <row r="838" spans="1:10" x14ac:dyDescent="0.15">
      <c r="A838" s="111"/>
      <c r="B838" s="33"/>
      <c r="C838" s="33"/>
      <c r="D838" s="33"/>
      <c r="E838" s="33"/>
      <c r="F838" s="33"/>
      <c r="G838" s="33"/>
      <c r="H838" s="33"/>
      <c r="I838" s="33"/>
      <c r="J838" s="30"/>
    </row>
    <row r="839" spans="1:10" x14ac:dyDescent="0.15">
      <c r="A839" s="111"/>
      <c r="B839" s="33"/>
      <c r="C839" s="33"/>
      <c r="D839" s="33"/>
      <c r="E839" s="33"/>
      <c r="F839" s="33"/>
      <c r="G839" s="33"/>
      <c r="H839" s="33"/>
      <c r="I839" s="33"/>
      <c r="J839" s="30"/>
    </row>
    <row r="840" spans="1:10" x14ac:dyDescent="0.15">
      <c r="A840" s="111"/>
      <c r="B840" s="33"/>
      <c r="C840" s="33"/>
      <c r="D840" s="33"/>
      <c r="E840" s="33"/>
      <c r="F840" s="33"/>
      <c r="G840" s="33"/>
      <c r="H840" s="33"/>
      <c r="I840" s="33"/>
      <c r="J840" s="30"/>
    </row>
    <row r="841" spans="1:10" x14ac:dyDescent="0.15">
      <c r="A841" s="111"/>
      <c r="B841" s="33"/>
      <c r="C841" s="33"/>
      <c r="D841" s="33"/>
      <c r="E841" s="33"/>
      <c r="F841" s="33"/>
      <c r="G841" s="33"/>
      <c r="H841" s="33"/>
      <c r="I841" s="33"/>
      <c r="J841" s="30"/>
    </row>
    <row r="842" spans="1:10" x14ac:dyDescent="0.15">
      <c r="A842" s="111"/>
      <c r="B842" s="33"/>
      <c r="C842" s="33"/>
      <c r="D842" s="33"/>
      <c r="E842" s="33"/>
      <c r="F842" s="33"/>
      <c r="G842" s="33"/>
      <c r="H842" s="33"/>
      <c r="I842" s="33"/>
      <c r="J842" s="30"/>
    </row>
    <row r="843" spans="1:10" x14ac:dyDescent="0.15">
      <c r="A843" s="111"/>
      <c r="B843" s="33"/>
      <c r="C843" s="33"/>
      <c r="D843" s="33"/>
      <c r="E843" s="33"/>
      <c r="F843" s="33"/>
      <c r="G843" s="33"/>
      <c r="H843" s="33"/>
      <c r="I843" s="33"/>
      <c r="J843" s="30"/>
    </row>
    <row r="844" spans="1:10" x14ac:dyDescent="0.15">
      <c r="A844" s="111"/>
      <c r="B844" s="33"/>
      <c r="C844" s="33"/>
      <c r="D844" s="33"/>
      <c r="E844" s="33"/>
      <c r="F844" s="33"/>
      <c r="G844" s="33"/>
      <c r="H844" s="33"/>
      <c r="I844" s="33"/>
      <c r="J844" s="30"/>
    </row>
    <row r="845" spans="1:10" x14ac:dyDescent="0.15">
      <c r="A845" s="111"/>
      <c r="B845" s="33"/>
      <c r="C845" s="33"/>
      <c r="D845" s="33"/>
      <c r="E845" s="33"/>
      <c r="F845" s="33"/>
      <c r="G845" s="33"/>
      <c r="H845" s="33"/>
      <c r="I845" s="33"/>
      <c r="J845" s="30"/>
    </row>
    <row r="846" spans="1:10" x14ac:dyDescent="0.15">
      <c r="A846" s="111"/>
      <c r="B846" s="33"/>
      <c r="C846" s="33"/>
      <c r="D846" s="33"/>
      <c r="E846" s="33"/>
      <c r="F846" s="33"/>
      <c r="G846" s="33"/>
      <c r="H846" s="33"/>
      <c r="I846" s="33"/>
      <c r="J846" s="30"/>
    </row>
    <row r="847" spans="1:10" x14ac:dyDescent="0.15">
      <c r="A847" s="111"/>
      <c r="B847" s="33"/>
      <c r="C847" s="33"/>
      <c r="D847" s="33"/>
      <c r="E847" s="33"/>
      <c r="F847" s="33"/>
      <c r="G847" s="33"/>
      <c r="H847" s="33"/>
      <c r="I847" s="33"/>
      <c r="J847" s="30"/>
    </row>
    <row r="848" spans="1:10" x14ac:dyDescent="0.15">
      <c r="A848" s="111"/>
      <c r="B848" s="33"/>
      <c r="C848" s="33"/>
      <c r="D848" s="33"/>
      <c r="E848" s="33"/>
      <c r="F848" s="33"/>
      <c r="G848" s="33"/>
      <c r="H848" s="33"/>
      <c r="I848" s="33"/>
      <c r="J848" s="30"/>
    </row>
    <row r="849" spans="1:10" x14ac:dyDescent="0.15">
      <c r="A849" s="111"/>
      <c r="B849" s="33"/>
      <c r="C849" s="33"/>
      <c r="D849" s="33"/>
      <c r="E849" s="33"/>
      <c r="F849" s="33"/>
      <c r="G849" s="33"/>
      <c r="H849" s="33"/>
      <c r="I849" s="33"/>
      <c r="J849" s="30"/>
    </row>
    <row r="850" spans="1:10" x14ac:dyDescent="0.15">
      <c r="A850" s="111"/>
      <c r="B850" s="33"/>
      <c r="C850" s="33"/>
      <c r="D850" s="33"/>
      <c r="E850" s="33"/>
      <c r="F850" s="33"/>
      <c r="G850" s="33"/>
      <c r="H850" s="33"/>
      <c r="I850" s="33"/>
      <c r="J850" s="30"/>
    </row>
    <row r="851" spans="1:10" x14ac:dyDescent="0.15">
      <c r="A851" s="111"/>
      <c r="B851" s="33"/>
      <c r="C851" s="33"/>
      <c r="D851" s="33"/>
      <c r="E851" s="33"/>
      <c r="F851" s="33"/>
      <c r="G851" s="33"/>
      <c r="H851" s="33"/>
      <c r="I851" s="33"/>
      <c r="J851" s="30"/>
    </row>
    <row r="852" spans="1:10" x14ac:dyDescent="0.15">
      <c r="A852" s="111"/>
      <c r="B852" s="33"/>
      <c r="C852" s="33"/>
      <c r="D852" s="33"/>
      <c r="E852" s="33"/>
      <c r="F852" s="33"/>
      <c r="G852" s="33"/>
      <c r="H852" s="33"/>
      <c r="I852" s="33"/>
      <c r="J852" s="30"/>
    </row>
    <row r="853" spans="1:10" x14ac:dyDescent="0.15">
      <c r="A853" s="111"/>
      <c r="B853" s="33"/>
      <c r="C853" s="33"/>
      <c r="D853" s="33"/>
      <c r="E853" s="33"/>
      <c r="F853" s="33"/>
      <c r="G853" s="33"/>
      <c r="H853" s="33"/>
      <c r="I853" s="33"/>
      <c r="J853" s="30"/>
    </row>
    <row r="854" spans="1:10" x14ac:dyDescent="0.15">
      <c r="A854" s="111"/>
      <c r="B854" s="33"/>
      <c r="C854" s="33"/>
      <c r="D854" s="33"/>
      <c r="E854" s="33"/>
      <c r="F854" s="33"/>
      <c r="G854" s="33"/>
      <c r="H854" s="33"/>
      <c r="I854" s="33"/>
      <c r="J854" s="30"/>
    </row>
    <row r="855" spans="1:10" x14ac:dyDescent="0.15">
      <c r="A855" s="111"/>
      <c r="B855" s="33"/>
      <c r="C855" s="33"/>
      <c r="D855" s="33"/>
      <c r="E855" s="33"/>
      <c r="F855" s="33"/>
      <c r="G855" s="33"/>
      <c r="H855" s="33"/>
      <c r="I855" s="33"/>
      <c r="J855" s="30"/>
    </row>
    <row r="856" spans="1:10" x14ac:dyDescent="0.15">
      <c r="A856" s="111"/>
      <c r="B856" s="33"/>
      <c r="C856" s="33"/>
      <c r="D856" s="33"/>
      <c r="E856" s="33"/>
      <c r="F856" s="33"/>
      <c r="G856" s="33"/>
      <c r="H856" s="33"/>
      <c r="I856" s="33"/>
      <c r="J856" s="30"/>
    </row>
    <row r="857" spans="1:10" x14ac:dyDescent="0.15">
      <c r="A857" s="111"/>
      <c r="B857" s="33"/>
      <c r="C857" s="33"/>
      <c r="D857" s="33"/>
      <c r="E857" s="33"/>
      <c r="F857" s="33"/>
      <c r="G857" s="33"/>
      <c r="H857" s="33"/>
      <c r="I857" s="33"/>
      <c r="J857" s="30"/>
    </row>
    <row r="858" spans="1:10" x14ac:dyDescent="0.15">
      <c r="A858" s="111"/>
      <c r="B858" s="33"/>
      <c r="C858" s="33"/>
      <c r="D858" s="33"/>
      <c r="E858" s="33"/>
      <c r="F858" s="33"/>
      <c r="G858" s="33"/>
      <c r="H858" s="33"/>
      <c r="I858" s="33"/>
      <c r="J858" s="30"/>
    </row>
    <row r="859" spans="1:10" x14ac:dyDescent="0.15">
      <c r="A859" s="111"/>
      <c r="B859" s="33"/>
      <c r="C859" s="33"/>
      <c r="D859" s="33"/>
      <c r="E859" s="33"/>
      <c r="F859" s="33"/>
      <c r="G859" s="33"/>
      <c r="H859" s="33"/>
      <c r="I859" s="33"/>
      <c r="J859" s="30"/>
    </row>
    <row r="860" spans="1:10" x14ac:dyDescent="0.15">
      <c r="A860" s="111"/>
      <c r="B860" s="33"/>
      <c r="C860" s="33"/>
      <c r="D860" s="33"/>
      <c r="E860" s="33"/>
      <c r="F860" s="33"/>
      <c r="G860" s="33"/>
      <c r="H860" s="33"/>
      <c r="I860" s="33"/>
      <c r="J860" s="30"/>
    </row>
    <row r="861" spans="1:10" x14ac:dyDescent="0.15">
      <c r="A861" s="111"/>
      <c r="B861" s="33"/>
      <c r="C861" s="33"/>
      <c r="D861" s="33"/>
      <c r="E861" s="33"/>
      <c r="F861" s="33"/>
      <c r="G861" s="33"/>
      <c r="H861" s="33"/>
      <c r="I861" s="33"/>
      <c r="J861" s="30"/>
    </row>
    <row r="862" spans="1:10" x14ac:dyDescent="0.15">
      <c r="A862" s="111"/>
      <c r="B862" s="33"/>
      <c r="C862" s="33"/>
      <c r="D862" s="33"/>
      <c r="E862" s="33"/>
      <c r="F862" s="33"/>
      <c r="G862" s="33"/>
      <c r="H862" s="33"/>
      <c r="I862" s="33"/>
      <c r="J862" s="30"/>
    </row>
    <row r="863" spans="1:10" x14ac:dyDescent="0.15">
      <c r="A863" s="111"/>
      <c r="B863" s="33"/>
      <c r="C863" s="33"/>
      <c r="D863" s="33"/>
      <c r="E863" s="33"/>
      <c r="F863" s="33"/>
      <c r="G863" s="33"/>
      <c r="H863" s="33"/>
      <c r="I863" s="33"/>
      <c r="J863" s="30"/>
    </row>
    <row r="864" spans="1:10" x14ac:dyDescent="0.15">
      <c r="A864" s="111"/>
      <c r="B864" s="33"/>
      <c r="C864" s="33"/>
      <c r="D864" s="33"/>
      <c r="E864" s="33"/>
      <c r="F864" s="33"/>
      <c r="G864" s="33"/>
      <c r="H864" s="33"/>
      <c r="I864" s="33"/>
      <c r="J864" s="30"/>
    </row>
    <row r="865" spans="1:10" x14ac:dyDescent="0.15">
      <c r="A865" s="111"/>
      <c r="B865" s="33"/>
      <c r="C865" s="33"/>
      <c r="D865" s="33"/>
      <c r="E865" s="33"/>
      <c r="F865" s="33"/>
      <c r="G865" s="33"/>
      <c r="H865" s="33"/>
      <c r="I865" s="33"/>
      <c r="J865" s="30"/>
    </row>
    <row r="866" spans="1:10" x14ac:dyDescent="0.15">
      <c r="A866" s="111"/>
      <c r="B866" s="33"/>
      <c r="C866" s="33"/>
      <c r="D866" s="33"/>
      <c r="E866" s="33"/>
      <c r="F866" s="33"/>
      <c r="G866" s="33"/>
      <c r="H866" s="33"/>
      <c r="I866" s="33"/>
      <c r="J866" s="30"/>
    </row>
    <row r="867" spans="1:10" x14ac:dyDescent="0.15">
      <c r="A867" s="111"/>
      <c r="B867" s="33"/>
      <c r="C867" s="33"/>
      <c r="D867" s="33"/>
      <c r="E867" s="33"/>
      <c r="F867" s="33"/>
      <c r="G867" s="33"/>
      <c r="H867" s="33"/>
      <c r="I867" s="33"/>
      <c r="J867" s="30"/>
    </row>
    <row r="868" spans="1:10" x14ac:dyDescent="0.15">
      <c r="A868" s="111"/>
      <c r="B868" s="33"/>
      <c r="C868" s="33"/>
      <c r="D868" s="33"/>
      <c r="E868" s="33"/>
      <c r="F868" s="33"/>
      <c r="G868" s="33"/>
      <c r="H868" s="33"/>
      <c r="I868" s="33"/>
      <c r="J868" s="30"/>
    </row>
    <row r="869" spans="1:10" x14ac:dyDescent="0.15">
      <c r="A869" s="111"/>
      <c r="B869" s="33"/>
      <c r="C869" s="33"/>
      <c r="D869" s="33"/>
      <c r="E869" s="33"/>
      <c r="F869" s="33"/>
      <c r="G869" s="33"/>
      <c r="H869" s="33"/>
      <c r="I869" s="33"/>
      <c r="J869" s="30"/>
    </row>
    <row r="870" spans="1:10" x14ac:dyDescent="0.15">
      <c r="A870" s="111"/>
      <c r="B870" s="33"/>
      <c r="C870" s="33"/>
      <c r="D870" s="33"/>
      <c r="E870" s="33"/>
      <c r="F870" s="33"/>
      <c r="G870" s="33"/>
      <c r="H870" s="33"/>
      <c r="I870" s="33"/>
      <c r="J870" s="30"/>
    </row>
    <row r="871" spans="1:10" x14ac:dyDescent="0.15">
      <c r="A871" s="111"/>
      <c r="B871" s="33"/>
      <c r="C871" s="33"/>
      <c r="D871" s="33"/>
      <c r="E871" s="33"/>
      <c r="F871" s="33"/>
      <c r="G871" s="33"/>
      <c r="H871" s="33"/>
      <c r="I871" s="33"/>
      <c r="J871" s="30"/>
    </row>
    <row r="872" spans="1:10" x14ac:dyDescent="0.15">
      <c r="A872" s="111"/>
      <c r="B872" s="33"/>
      <c r="C872" s="33"/>
      <c r="D872" s="33"/>
      <c r="E872" s="33"/>
      <c r="F872" s="33"/>
      <c r="G872" s="33"/>
      <c r="H872" s="33"/>
      <c r="I872" s="33"/>
      <c r="J872" s="30"/>
    </row>
    <row r="873" spans="1:10" x14ac:dyDescent="0.15">
      <c r="A873" s="111"/>
      <c r="B873" s="33"/>
      <c r="C873" s="33"/>
      <c r="D873" s="33"/>
      <c r="E873" s="33"/>
      <c r="F873" s="33"/>
      <c r="G873" s="33"/>
      <c r="H873" s="33"/>
      <c r="I873" s="33"/>
      <c r="J873" s="30"/>
    </row>
    <row r="874" spans="1:10" x14ac:dyDescent="0.15">
      <c r="A874" s="111"/>
      <c r="B874" s="33"/>
      <c r="C874" s="33"/>
      <c r="D874" s="33"/>
      <c r="E874" s="33"/>
      <c r="F874" s="33"/>
      <c r="G874" s="33"/>
      <c r="H874" s="33"/>
      <c r="I874" s="33"/>
      <c r="J874" s="30"/>
    </row>
    <row r="875" spans="1:10" x14ac:dyDescent="0.15">
      <c r="A875" s="111"/>
      <c r="B875" s="33"/>
      <c r="C875" s="33"/>
      <c r="D875" s="33"/>
      <c r="E875" s="33"/>
      <c r="F875" s="33"/>
      <c r="G875" s="33"/>
      <c r="H875" s="33"/>
      <c r="I875" s="33"/>
      <c r="J875" s="30"/>
    </row>
    <row r="876" spans="1:10" x14ac:dyDescent="0.15">
      <c r="A876" s="111"/>
      <c r="B876" s="33"/>
      <c r="C876" s="33"/>
      <c r="D876" s="33"/>
      <c r="E876" s="33"/>
      <c r="F876" s="33"/>
      <c r="G876" s="33"/>
      <c r="H876" s="33"/>
      <c r="I876" s="33"/>
      <c r="J876" s="30"/>
    </row>
    <row r="877" spans="1:10" x14ac:dyDescent="0.15">
      <c r="A877" s="111"/>
      <c r="B877" s="33"/>
      <c r="C877" s="33"/>
      <c r="D877" s="33"/>
      <c r="E877" s="33"/>
      <c r="F877" s="33"/>
      <c r="G877" s="33"/>
      <c r="H877" s="33"/>
      <c r="I877" s="33"/>
      <c r="J877" s="30"/>
    </row>
    <row r="878" spans="1:10" x14ac:dyDescent="0.15">
      <c r="A878" s="111"/>
      <c r="B878" s="33"/>
      <c r="C878" s="33"/>
      <c r="D878" s="33"/>
      <c r="E878" s="33"/>
      <c r="F878" s="33"/>
      <c r="G878" s="33"/>
      <c r="H878" s="33"/>
      <c r="I878" s="33"/>
      <c r="J878" s="30"/>
    </row>
    <row r="879" spans="1:10" x14ac:dyDescent="0.15">
      <c r="A879" s="111"/>
      <c r="B879" s="33"/>
      <c r="C879" s="33"/>
      <c r="D879" s="33"/>
      <c r="E879" s="33"/>
      <c r="F879" s="33"/>
      <c r="G879" s="33"/>
      <c r="H879" s="33"/>
      <c r="I879" s="33"/>
      <c r="J879" s="30"/>
    </row>
    <row r="880" spans="1:10" x14ac:dyDescent="0.15">
      <c r="A880" s="111"/>
      <c r="B880" s="33"/>
      <c r="C880" s="33"/>
      <c r="D880" s="33"/>
      <c r="E880" s="33"/>
      <c r="F880" s="33"/>
      <c r="G880" s="33"/>
      <c r="H880" s="33"/>
      <c r="I880" s="33"/>
      <c r="J880" s="30"/>
    </row>
    <row r="881" spans="1:10" x14ac:dyDescent="0.15">
      <c r="A881" s="111"/>
      <c r="B881" s="33"/>
      <c r="C881" s="33"/>
      <c r="D881" s="33"/>
      <c r="E881" s="33"/>
      <c r="F881" s="33"/>
      <c r="G881" s="33"/>
      <c r="H881" s="33"/>
      <c r="I881" s="33"/>
      <c r="J881" s="30"/>
    </row>
    <row r="882" spans="1:10" x14ac:dyDescent="0.15">
      <c r="A882" s="111"/>
      <c r="B882" s="33"/>
      <c r="C882" s="33"/>
      <c r="D882" s="33"/>
      <c r="E882" s="33"/>
      <c r="F882" s="33"/>
      <c r="G882" s="33"/>
      <c r="H882" s="33"/>
      <c r="I882" s="33"/>
      <c r="J882" s="30"/>
    </row>
    <row r="883" spans="1:10" x14ac:dyDescent="0.15">
      <c r="A883" s="111"/>
      <c r="B883" s="33"/>
      <c r="C883" s="33"/>
      <c r="D883" s="33"/>
      <c r="E883" s="33"/>
      <c r="F883" s="33"/>
      <c r="G883" s="33"/>
      <c r="H883" s="33"/>
      <c r="I883" s="33"/>
      <c r="J883" s="30"/>
    </row>
    <row r="884" spans="1:10" x14ac:dyDescent="0.15">
      <c r="A884" s="111"/>
      <c r="B884" s="33"/>
      <c r="C884" s="33"/>
      <c r="D884" s="33"/>
      <c r="E884" s="33"/>
      <c r="F884" s="33"/>
      <c r="G884" s="33"/>
      <c r="H884" s="33"/>
      <c r="I884" s="33"/>
      <c r="J884" s="30"/>
    </row>
    <row r="885" spans="1:10" x14ac:dyDescent="0.15">
      <c r="A885" s="111"/>
      <c r="B885" s="33"/>
      <c r="C885" s="33"/>
      <c r="D885" s="33"/>
      <c r="E885" s="33"/>
      <c r="F885" s="33"/>
      <c r="G885" s="33"/>
      <c r="H885" s="33"/>
      <c r="I885" s="33"/>
      <c r="J885" s="30"/>
    </row>
    <row r="886" spans="1:10" x14ac:dyDescent="0.15">
      <c r="A886" s="111"/>
      <c r="B886" s="33"/>
      <c r="C886" s="33"/>
      <c r="D886" s="33"/>
      <c r="E886" s="33"/>
      <c r="F886" s="33"/>
      <c r="G886" s="33"/>
      <c r="H886" s="33"/>
      <c r="I886" s="33"/>
      <c r="J886" s="30"/>
    </row>
    <row r="887" spans="1:10" x14ac:dyDescent="0.15">
      <c r="A887" s="111"/>
      <c r="B887" s="33"/>
      <c r="C887" s="33"/>
      <c r="D887" s="33"/>
      <c r="E887" s="33"/>
      <c r="F887" s="33"/>
      <c r="G887" s="33"/>
      <c r="H887" s="33"/>
      <c r="I887" s="33"/>
      <c r="J887" s="30"/>
    </row>
    <row r="888" spans="1:10" x14ac:dyDescent="0.15">
      <c r="A888" s="111"/>
      <c r="B888" s="33"/>
      <c r="C888" s="33"/>
      <c r="D888" s="33"/>
      <c r="E888" s="33"/>
      <c r="F888" s="33"/>
      <c r="G888" s="33"/>
      <c r="H888" s="33"/>
      <c r="I888" s="33"/>
      <c r="J888" s="30"/>
    </row>
    <row r="889" spans="1:10" x14ac:dyDescent="0.15">
      <c r="A889" s="111"/>
      <c r="B889" s="33"/>
      <c r="C889" s="33"/>
      <c r="D889" s="33"/>
      <c r="E889" s="33"/>
      <c r="F889" s="33"/>
      <c r="G889" s="33"/>
      <c r="H889" s="33"/>
      <c r="I889" s="33"/>
      <c r="J889" s="30"/>
    </row>
    <row r="890" spans="1:10" x14ac:dyDescent="0.15">
      <c r="A890" s="111"/>
      <c r="B890" s="33"/>
      <c r="C890" s="33"/>
      <c r="D890" s="33"/>
      <c r="E890" s="33"/>
      <c r="F890" s="33"/>
      <c r="G890" s="33"/>
      <c r="H890" s="33"/>
      <c r="I890" s="33"/>
      <c r="J890" s="30"/>
    </row>
    <row r="891" spans="1:10" x14ac:dyDescent="0.15">
      <c r="A891" s="111"/>
      <c r="B891" s="33"/>
      <c r="C891" s="33"/>
      <c r="D891" s="33"/>
      <c r="E891" s="33"/>
      <c r="F891" s="33"/>
      <c r="G891" s="33"/>
      <c r="H891" s="33"/>
      <c r="I891" s="33"/>
      <c r="J891" s="30"/>
    </row>
    <row r="892" spans="1:10" x14ac:dyDescent="0.15">
      <c r="A892" s="111"/>
      <c r="B892" s="33"/>
      <c r="C892" s="33"/>
      <c r="D892" s="33"/>
      <c r="E892" s="33"/>
      <c r="F892" s="33"/>
      <c r="G892" s="33"/>
      <c r="H892" s="33"/>
      <c r="I892" s="33"/>
      <c r="J892" s="30"/>
    </row>
    <row r="893" spans="1:10" x14ac:dyDescent="0.15">
      <c r="A893" s="111"/>
      <c r="B893" s="33"/>
      <c r="C893" s="33"/>
      <c r="D893" s="33"/>
      <c r="E893" s="33"/>
      <c r="F893" s="33"/>
      <c r="G893" s="33"/>
      <c r="H893" s="33"/>
      <c r="I893" s="33"/>
      <c r="J893" s="30"/>
    </row>
    <row r="894" spans="1:10" x14ac:dyDescent="0.15">
      <c r="A894" s="111"/>
      <c r="B894" s="33"/>
      <c r="C894" s="33"/>
      <c r="D894" s="33"/>
      <c r="E894" s="33"/>
      <c r="F894" s="33"/>
      <c r="G894" s="33"/>
      <c r="H894" s="33"/>
      <c r="I894" s="33"/>
      <c r="J894" s="30"/>
    </row>
    <row r="895" spans="1:10" x14ac:dyDescent="0.15">
      <c r="A895" s="111"/>
      <c r="B895" s="33"/>
      <c r="C895" s="33"/>
      <c r="D895" s="33"/>
      <c r="E895" s="33"/>
      <c r="F895" s="33"/>
      <c r="G895" s="33"/>
      <c r="H895" s="33"/>
      <c r="I895" s="33"/>
      <c r="J895" s="30"/>
    </row>
    <row r="896" spans="1:10" x14ac:dyDescent="0.15">
      <c r="A896" s="111"/>
      <c r="B896" s="33"/>
      <c r="C896" s="33"/>
      <c r="D896" s="33"/>
      <c r="E896" s="33"/>
      <c r="F896" s="33"/>
      <c r="G896" s="33"/>
      <c r="H896" s="33"/>
      <c r="I896" s="33"/>
      <c r="J896" s="30"/>
    </row>
    <row r="897" spans="1:10" x14ac:dyDescent="0.15">
      <c r="A897" s="111"/>
      <c r="B897" s="33"/>
      <c r="C897" s="33"/>
      <c r="D897" s="33"/>
      <c r="E897" s="33"/>
      <c r="F897" s="33"/>
      <c r="G897" s="33"/>
      <c r="H897" s="33"/>
      <c r="I897" s="33"/>
      <c r="J897" s="30"/>
    </row>
    <row r="898" spans="1:10" x14ac:dyDescent="0.15">
      <c r="A898" s="111"/>
      <c r="B898" s="33"/>
      <c r="C898" s="33"/>
      <c r="D898" s="33"/>
      <c r="E898" s="33"/>
      <c r="F898" s="33"/>
      <c r="G898" s="33"/>
      <c r="H898" s="33"/>
      <c r="I898" s="33"/>
      <c r="J898" s="30"/>
    </row>
    <row r="899" spans="1:10" x14ac:dyDescent="0.15">
      <c r="A899" s="111"/>
      <c r="B899" s="33"/>
      <c r="C899" s="33"/>
      <c r="D899" s="33"/>
      <c r="E899" s="33"/>
      <c r="F899" s="33"/>
      <c r="G899" s="33"/>
      <c r="H899" s="33"/>
      <c r="I899" s="33"/>
      <c r="J899" s="30"/>
    </row>
    <row r="900" spans="1:10" x14ac:dyDescent="0.15">
      <c r="A900" s="111"/>
      <c r="B900" s="33"/>
      <c r="C900" s="33"/>
      <c r="D900" s="33"/>
      <c r="E900" s="33"/>
      <c r="F900" s="33"/>
      <c r="G900" s="33"/>
      <c r="H900" s="33"/>
      <c r="I900" s="33"/>
      <c r="J900" s="30"/>
    </row>
    <row r="901" spans="1:10" x14ac:dyDescent="0.15">
      <c r="A901" s="111"/>
      <c r="B901" s="33"/>
      <c r="C901" s="33"/>
      <c r="D901" s="33"/>
      <c r="E901" s="33"/>
      <c r="F901" s="33"/>
      <c r="G901" s="33"/>
      <c r="H901" s="33"/>
      <c r="I901" s="33"/>
      <c r="J901" s="30"/>
    </row>
    <row r="902" spans="1:10" x14ac:dyDescent="0.15">
      <c r="A902" s="111"/>
      <c r="B902" s="33"/>
      <c r="C902" s="33"/>
      <c r="D902" s="33"/>
      <c r="E902" s="33"/>
      <c r="F902" s="33"/>
      <c r="G902" s="33"/>
      <c r="H902" s="33"/>
      <c r="I902" s="33"/>
      <c r="J902" s="30"/>
    </row>
    <row r="903" spans="1:10" x14ac:dyDescent="0.15">
      <c r="A903" s="111"/>
      <c r="B903" s="33"/>
      <c r="C903" s="33"/>
      <c r="D903" s="33"/>
      <c r="E903" s="33"/>
      <c r="F903" s="33"/>
      <c r="G903" s="33"/>
      <c r="H903" s="33"/>
      <c r="I903" s="33"/>
      <c r="J903" s="30"/>
    </row>
    <row r="904" spans="1:10" x14ac:dyDescent="0.15">
      <c r="A904" s="111"/>
      <c r="B904" s="33"/>
      <c r="C904" s="33"/>
      <c r="D904" s="33"/>
      <c r="E904" s="33"/>
      <c r="F904" s="33"/>
      <c r="G904" s="33"/>
      <c r="H904" s="33"/>
      <c r="I904" s="33"/>
      <c r="J904" s="30"/>
    </row>
    <row r="905" spans="1:10" x14ac:dyDescent="0.15">
      <c r="A905" s="111"/>
      <c r="B905" s="33"/>
      <c r="C905" s="33"/>
      <c r="D905" s="33"/>
      <c r="E905" s="33"/>
      <c r="F905" s="33"/>
      <c r="G905" s="33"/>
      <c r="H905" s="33"/>
      <c r="I905" s="33"/>
      <c r="J905" s="30"/>
    </row>
    <row r="906" spans="1:10" x14ac:dyDescent="0.15">
      <c r="A906" s="111"/>
      <c r="B906" s="33"/>
      <c r="C906" s="33"/>
      <c r="D906" s="33"/>
      <c r="E906" s="33"/>
      <c r="F906" s="33"/>
      <c r="G906" s="33"/>
      <c r="H906" s="33"/>
      <c r="I906" s="33"/>
      <c r="J906" s="30"/>
    </row>
    <row r="907" spans="1:10" x14ac:dyDescent="0.15">
      <c r="A907" s="111"/>
      <c r="B907" s="33"/>
      <c r="C907" s="33"/>
      <c r="D907" s="33"/>
      <c r="E907" s="33"/>
      <c r="F907" s="33"/>
      <c r="G907" s="33"/>
      <c r="H907" s="33"/>
      <c r="I907" s="33"/>
      <c r="J907" s="30"/>
    </row>
    <row r="908" spans="1:10" x14ac:dyDescent="0.15">
      <c r="A908" s="111"/>
      <c r="B908" s="33"/>
      <c r="C908" s="33"/>
      <c r="D908" s="33"/>
      <c r="E908" s="33"/>
      <c r="F908" s="33"/>
      <c r="G908" s="33"/>
      <c r="H908" s="33"/>
      <c r="I908" s="33"/>
      <c r="J908" s="30"/>
    </row>
    <row r="909" spans="1:10" x14ac:dyDescent="0.15">
      <c r="A909" s="111"/>
      <c r="B909" s="33"/>
      <c r="C909" s="33"/>
      <c r="D909" s="33"/>
      <c r="E909" s="33"/>
      <c r="F909" s="33"/>
      <c r="G909" s="33"/>
      <c r="H909" s="33"/>
      <c r="I909" s="33"/>
      <c r="J909" s="30"/>
    </row>
    <row r="910" spans="1:10" x14ac:dyDescent="0.15">
      <c r="A910" s="111"/>
      <c r="B910" s="33"/>
      <c r="C910" s="33"/>
      <c r="D910" s="33"/>
      <c r="E910" s="33"/>
      <c r="F910" s="33"/>
      <c r="G910" s="33"/>
      <c r="H910" s="33"/>
      <c r="I910" s="33"/>
      <c r="J910" s="30"/>
    </row>
    <row r="911" spans="1:10" x14ac:dyDescent="0.15">
      <c r="A911" s="111"/>
      <c r="B911" s="33"/>
      <c r="C911" s="33"/>
      <c r="D911" s="33"/>
      <c r="E911" s="33"/>
      <c r="F911" s="33"/>
      <c r="G911" s="33"/>
      <c r="H911" s="33"/>
      <c r="I911" s="33"/>
      <c r="J911" s="30"/>
    </row>
    <row r="912" spans="1:10" x14ac:dyDescent="0.15">
      <c r="A912" s="111"/>
      <c r="B912" s="33"/>
      <c r="C912" s="33"/>
      <c r="D912" s="33"/>
      <c r="E912" s="33"/>
      <c r="F912" s="33"/>
      <c r="G912" s="33"/>
      <c r="H912" s="33"/>
      <c r="I912" s="33"/>
      <c r="J912" s="30"/>
    </row>
    <row r="913" spans="1:10" x14ac:dyDescent="0.15">
      <c r="A913" s="111"/>
      <c r="B913" s="33"/>
      <c r="C913" s="33"/>
      <c r="D913" s="33"/>
      <c r="E913" s="33"/>
      <c r="F913" s="33"/>
      <c r="G913" s="33"/>
      <c r="H913" s="33"/>
      <c r="I913" s="33"/>
      <c r="J913" s="30"/>
    </row>
    <row r="914" spans="1:10" x14ac:dyDescent="0.15">
      <c r="A914" s="111"/>
      <c r="B914" s="33"/>
      <c r="C914" s="33"/>
      <c r="D914" s="33"/>
      <c r="E914" s="33"/>
      <c r="F914" s="33"/>
      <c r="G914" s="33"/>
      <c r="H914" s="33"/>
      <c r="I914" s="33"/>
      <c r="J914" s="30"/>
    </row>
    <row r="915" spans="1:10" x14ac:dyDescent="0.15">
      <c r="A915" s="111"/>
      <c r="B915" s="33"/>
      <c r="C915" s="33"/>
      <c r="D915" s="33"/>
      <c r="E915" s="33"/>
      <c r="F915" s="33"/>
      <c r="G915" s="33"/>
      <c r="H915" s="33"/>
      <c r="I915" s="33"/>
      <c r="J915" s="30"/>
    </row>
    <row r="916" spans="1:10" x14ac:dyDescent="0.15">
      <c r="A916" s="111"/>
      <c r="B916" s="33"/>
      <c r="C916" s="33"/>
      <c r="D916" s="33"/>
      <c r="E916" s="33"/>
      <c r="F916" s="33"/>
      <c r="G916" s="33"/>
      <c r="H916" s="33"/>
      <c r="I916" s="33"/>
      <c r="J916" s="30"/>
    </row>
    <row r="917" spans="1:10" x14ac:dyDescent="0.15">
      <c r="A917" s="111"/>
      <c r="B917" s="33"/>
      <c r="C917" s="33"/>
      <c r="D917" s="33"/>
      <c r="E917" s="33"/>
      <c r="F917" s="33"/>
      <c r="G917" s="33"/>
      <c r="H917" s="33"/>
      <c r="I917" s="33"/>
      <c r="J917" s="30"/>
    </row>
    <row r="918" spans="1:10" x14ac:dyDescent="0.15">
      <c r="A918" s="111"/>
      <c r="B918" s="33"/>
      <c r="C918" s="33"/>
      <c r="D918" s="33"/>
      <c r="E918" s="33"/>
      <c r="F918" s="33"/>
      <c r="G918" s="33"/>
      <c r="H918" s="33"/>
      <c r="I918" s="33"/>
      <c r="J918" s="30"/>
    </row>
    <row r="919" spans="1:10" x14ac:dyDescent="0.15">
      <c r="A919" s="111"/>
      <c r="B919" s="33"/>
      <c r="C919" s="33"/>
      <c r="D919" s="33"/>
      <c r="E919" s="33"/>
      <c r="F919" s="33"/>
      <c r="G919" s="33"/>
      <c r="H919" s="33"/>
      <c r="I919" s="33"/>
      <c r="J919" s="30"/>
    </row>
    <row r="920" spans="1:10" x14ac:dyDescent="0.15">
      <c r="A920" s="111"/>
      <c r="B920" s="33"/>
      <c r="C920" s="33"/>
      <c r="D920" s="33"/>
      <c r="E920" s="33"/>
      <c r="F920" s="33"/>
      <c r="G920" s="33"/>
      <c r="H920" s="33"/>
      <c r="I920" s="33"/>
      <c r="J920" s="30"/>
    </row>
    <row r="921" spans="1:10" x14ac:dyDescent="0.15">
      <c r="A921" s="111"/>
      <c r="B921" s="33"/>
      <c r="C921" s="33"/>
      <c r="D921" s="33"/>
      <c r="E921" s="33"/>
      <c r="F921" s="33"/>
      <c r="G921" s="33"/>
      <c r="H921" s="33"/>
      <c r="I921" s="33"/>
      <c r="J921" s="30"/>
    </row>
    <row r="922" spans="1:10" x14ac:dyDescent="0.15">
      <c r="A922" s="111"/>
      <c r="B922" s="33"/>
      <c r="C922" s="33"/>
      <c r="D922" s="33"/>
      <c r="E922" s="33"/>
      <c r="F922" s="33"/>
      <c r="G922" s="33"/>
      <c r="H922" s="33"/>
      <c r="I922" s="33"/>
      <c r="J922" s="30"/>
    </row>
    <row r="923" spans="1:10" x14ac:dyDescent="0.15">
      <c r="A923" s="111"/>
      <c r="B923" s="33"/>
      <c r="C923" s="33"/>
      <c r="D923" s="33"/>
      <c r="E923" s="33"/>
      <c r="F923" s="33"/>
      <c r="G923" s="33"/>
      <c r="H923" s="33"/>
      <c r="I923" s="33"/>
      <c r="J923" s="30"/>
    </row>
    <row r="924" spans="1:10" x14ac:dyDescent="0.15">
      <c r="A924" s="111"/>
      <c r="B924" s="33"/>
      <c r="C924" s="33"/>
      <c r="D924" s="33"/>
      <c r="E924" s="33"/>
      <c r="F924" s="33"/>
      <c r="G924" s="33"/>
      <c r="H924" s="33"/>
      <c r="I924" s="33"/>
      <c r="J924" s="30"/>
    </row>
    <row r="925" spans="1:10" x14ac:dyDescent="0.15">
      <c r="A925" s="111"/>
      <c r="B925" s="33"/>
      <c r="C925" s="33"/>
      <c r="D925" s="33"/>
      <c r="E925" s="33"/>
      <c r="F925" s="33"/>
      <c r="G925" s="33"/>
      <c r="H925" s="33"/>
      <c r="I925" s="33"/>
      <c r="J925" s="30"/>
    </row>
    <row r="926" spans="1:10" x14ac:dyDescent="0.15">
      <c r="A926" s="111"/>
      <c r="B926" s="33"/>
      <c r="C926" s="33"/>
      <c r="D926" s="33"/>
      <c r="E926" s="33"/>
      <c r="F926" s="33"/>
      <c r="G926" s="33"/>
      <c r="H926" s="33"/>
      <c r="I926" s="33"/>
      <c r="J926" s="30"/>
    </row>
    <row r="927" spans="1:10" x14ac:dyDescent="0.15">
      <c r="A927" s="111"/>
      <c r="B927" s="33"/>
      <c r="C927" s="33"/>
      <c r="D927" s="33"/>
      <c r="E927" s="33"/>
      <c r="F927" s="33"/>
      <c r="G927" s="33"/>
      <c r="H927" s="33"/>
      <c r="I927" s="33"/>
      <c r="J927" s="30"/>
    </row>
    <row r="928" spans="1:10" x14ac:dyDescent="0.15">
      <c r="A928" s="111"/>
      <c r="B928" s="33"/>
      <c r="C928" s="33"/>
      <c r="D928" s="33"/>
      <c r="E928" s="33"/>
      <c r="F928" s="33"/>
      <c r="G928" s="33"/>
      <c r="H928" s="33"/>
      <c r="I928" s="33"/>
      <c r="J928" s="30"/>
    </row>
    <row r="929" spans="1:10" x14ac:dyDescent="0.15">
      <c r="A929" s="111"/>
      <c r="B929" s="33"/>
      <c r="C929" s="33"/>
      <c r="D929" s="33"/>
      <c r="E929" s="33"/>
      <c r="F929" s="33"/>
      <c r="G929" s="33"/>
      <c r="H929" s="33"/>
      <c r="I929" s="33"/>
      <c r="J929" s="30"/>
    </row>
    <row r="930" spans="1:10" x14ac:dyDescent="0.15">
      <c r="A930" s="111"/>
      <c r="B930" s="33"/>
      <c r="C930" s="33"/>
      <c r="D930" s="33"/>
      <c r="E930" s="33"/>
      <c r="F930" s="33"/>
      <c r="G930" s="33"/>
      <c r="H930" s="33"/>
      <c r="I930" s="33"/>
      <c r="J930" s="30"/>
    </row>
    <row r="931" spans="1:10" x14ac:dyDescent="0.15">
      <c r="A931" s="111"/>
      <c r="B931" s="33"/>
      <c r="C931" s="33"/>
      <c r="D931" s="33"/>
      <c r="E931" s="33"/>
      <c r="F931" s="33"/>
      <c r="G931" s="33"/>
      <c r="H931" s="33"/>
      <c r="I931" s="33"/>
      <c r="J931" s="30"/>
    </row>
    <row r="932" spans="1:10" x14ac:dyDescent="0.15">
      <c r="A932" s="111"/>
      <c r="B932" s="33"/>
      <c r="C932" s="33"/>
      <c r="D932" s="33"/>
      <c r="E932" s="33"/>
      <c r="F932" s="33"/>
      <c r="G932" s="33"/>
      <c r="H932" s="33"/>
      <c r="I932" s="33"/>
      <c r="J932" s="30"/>
    </row>
    <row r="933" spans="1:10" x14ac:dyDescent="0.15">
      <c r="A933" s="111"/>
      <c r="B933" s="33"/>
      <c r="C933" s="33"/>
      <c r="D933" s="33"/>
      <c r="E933" s="33"/>
      <c r="F933" s="33"/>
      <c r="G933" s="33"/>
      <c r="H933" s="33"/>
      <c r="I933" s="33"/>
      <c r="J933" s="30"/>
    </row>
    <row r="934" spans="1:10" x14ac:dyDescent="0.15">
      <c r="A934" s="111"/>
      <c r="B934" s="33"/>
      <c r="C934" s="33"/>
      <c r="D934" s="33"/>
      <c r="E934" s="33"/>
      <c r="F934" s="33"/>
      <c r="G934" s="33"/>
      <c r="H934" s="33"/>
      <c r="I934" s="33"/>
      <c r="J934" s="30"/>
    </row>
    <row r="935" spans="1:10" x14ac:dyDescent="0.15">
      <c r="A935" s="111"/>
      <c r="B935" s="33"/>
      <c r="C935" s="33"/>
      <c r="D935" s="33"/>
      <c r="E935" s="33"/>
      <c r="F935" s="33"/>
      <c r="G935" s="33"/>
      <c r="H935" s="33"/>
      <c r="I935" s="33"/>
      <c r="J935" s="30"/>
    </row>
    <row r="936" spans="1:10" x14ac:dyDescent="0.15">
      <c r="A936" s="111"/>
      <c r="B936" s="33"/>
      <c r="C936" s="33"/>
      <c r="D936" s="33"/>
      <c r="E936" s="33"/>
      <c r="F936" s="33"/>
      <c r="G936" s="33"/>
      <c r="H936" s="33"/>
      <c r="I936" s="33"/>
      <c r="J936" s="30"/>
    </row>
    <row r="937" spans="1:10" x14ac:dyDescent="0.15">
      <c r="A937" s="111"/>
      <c r="B937" s="33"/>
      <c r="C937" s="33"/>
      <c r="D937" s="33"/>
      <c r="E937" s="33"/>
      <c r="F937" s="33"/>
      <c r="G937" s="33"/>
      <c r="H937" s="33"/>
      <c r="I937" s="33"/>
      <c r="J937" s="30"/>
    </row>
    <row r="938" spans="1:10" x14ac:dyDescent="0.15">
      <c r="A938" s="111"/>
      <c r="B938" s="33"/>
      <c r="C938" s="33"/>
      <c r="D938" s="33"/>
      <c r="E938" s="33"/>
      <c r="F938" s="33"/>
      <c r="G938" s="33"/>
      <c r="H938" s="33"/>
      <c r="I938" s="33"/>
      <c r="J938" s="30"/>
    </row>
    <row r="939" spans="1:10" x14ac:dyDescent="0.15">
      <c r="A939" s="111"/>
      <c r="B939" s="33"/>
      <c r="C939" s="33"/>
      <c r="D939" s="33"/>
      <c r="E939" s="33"/>
      <c r="F939" s="33"/>
      <c r="G939" s="33"/>
      <c r="H939" s="33"/>
      <c r="I939" s="33"/>
      <c r="J939" s="30"/>
    </row>
    <row r="940" spans="1:10" x14ac:dyDescent="0.15">
      <c r="A940" s="111"/>
      <c r="B940" s="33"/>
      <c r="C940" s="33"/>
      <c r="D940" s="33"/>
      <c r="E940" s="33"/>
      <c r="F940" s="33"/>
      <c r="G940" s="33"/>
      <c r="H940" s="33"/>
      <c r="I940" s="33"/>
      <c r="J940" s="30"/>
    </row>
    <row r="941" spans="1:10" x14ac:dyDescent="0.15">
      <c r="A941" s="111"/>
      <c r="B941" s="33"/>
      <c r="C941" s="33"/>
      <c r="D941" s="33"/>
      <c r="E941" s="33"/>
      <c r="F941" s="33"/>
      <c r="G941" s="33"/>
      <c r="H941" s="33"/>
      <c r="I941" s="33"/>
      <c r="J941" s="30"/>
    </row>
    <row r="942" spans="1:10" x14ac:dyDescent="0.15">
      <c r="A942" s="111"/>
      <c r="B942" s="33"/>
      <c r="C942" s="33"/>
      <c r="D942" s="33"/>
      <c r="E942" s="33"/>
      <c r="F942" s="33"/>
      <c r="G942" s="33"/>
      <c r="H942" s="33"/>
      <c r="I942" s="33"/>
      <c r="J942" s="30"/>
    </row>
    <row r="943" spans="1:10" x14ac:dyDescent="0.15">
      <c r="A943" s="111"/>
      <c r="B943" s="33"/>
      <c r="C943" s="33"/>
      <c r="D943" s="33"/>
      <c r="E943" s="33"/>
      <c r="F943" s="33"/>
      <c r="G943" s="33"/>
      <c r="H943" s="33"/>
      <c r="I943" s="33"/>
      <c r="J943" s="30"/>
    </row>
    <row r="944" spans="1:10" x14ac:dyDescent="0.15">
      <c r="A944" s="111"/>
      <c r="B944" s="33"/>
      <c r="C944" s="33"/>
      <c r="D944" s="33"/>
      <c r="E944" s="33"/>
      <c r="F944" s="33"/>
      <c r="G944" s="33"/>
      <c r="H944" s="33"/>
      <c r="I944" s="33"/>
      <c r="J944" s="30"/>
    </row>
    <row r="945" spans="1:10" x14ac:dyDescent="0.15">
      <c r="A945" s="111"/>
      <c r="B945" s="33"/>
      <c r="C945" s="33"/>
      <c r="D945" s="33"/>
      <c r="E945" s="33"/>
      <c r="F945" s="33"/>
      <c r="G945" s="33"/>
      <c r="H945" s="33"/>
      <c r="I945" s="33"/>
      <c r="J945" s="30"/>
    </row>
    <row r="946" spans="1:10" x14ac:dyDescent="0.15">
      <c r="A946" s="111"/>
      <c r="B946" s="33"/>
      <c r="C946" s="33"/>
      <c r="D946" s="33"/>
      <c r="E946" s="33"/>
      <c r="F946" s="33"/>
      <c r="G946" s="33"/>
      <c r="H946" s="33"/>
      <c r="I946" s="33"/>
      <c r="J946" s="30"/>
    </row>
    <row r="947" spans="1:10" x14ac:dyDescent="0.15">
      <c r="A947" s="111"/>
      <c r="B947" s="33"/>
      <c r="C947" s="33"/>
      <c r="D947" s="33"/>
      <c r="E947" s="33"/>
      <c r="F947" s="33"/>
      <c r="G947" s="33"/>
      <c r="H947" s="33"/>
      <c r="I947" s="33"/>
      <c r="J947" s="30"/>
    </row>
    <row r="948" spans="1:10" x14ac:dyDescent="0.15">
      <c r="A948" s="111"/>
      <c r="B948" s="33"/>
      <c r="C948" s="33"/>
      <c r="D948" s="33"/>
      <c r="E948" s="33"/>
      <c r="F948" s="33"/>
      <c r="G948" s="33"/>
      <c r="H948" s="33"/>
      <c r="I948" s="33"/>
      <c r="J948" s="30"/>
    </row>
    <row r="949" spans="1:10" x14ac:dyDescent="0.15">
      <c r="A949" s="111"/>
      <c r="B949" s="33"/>
      <c r="C949" s="33"/>
      <c r="D949" s="33"/>
      <c r="E949" s="33"/>
      <c r="F949" s="33"/>
      <c r="G949" s="33"/>
      <c r="H949" s="33"/>
      <c r="I949" s="33"/>
      <c r="J949" s="30"/>
    </row>
    <row r="950" spans="1:10" x14ac:dyDescent="0.15">
      <c r="A950" s="111"/>
      <c r="B950" s="33"/>
      <c r="C950" s="33"/>
      <c r="D950" s="33"/>
      <c r="E950" s="33"/>
      <c r="F950" s="33"/>
      <c r="G950" s="33"/>
      <c r="H950" s="33"/>
      <c r="I950" s="33"/>
      <c r="J950" s="30"/>
    </row>
    <row r="951" spans="1:10" x14ac:dyDescent="0.15">
      <c r="A951" s="111"/>
      <c r="B951" s="33"/>
      <c r="C951" s="33"/>
      <c r="D951" s="33"/>
      <c r="E951" s="33"/>
      <c r="F951" s="33"/>
      <c r="G951" s="33"/>
      <c r="H951" s="33"/>
      <c r="I951" s="33"/>
      <c r="J951" s="30"/>
    </row>
    <row r="952" spans="1:10" x14ac:dyDescent="0.15">
      <c r="A952" s="111"/>
      <c r="B952" s="33"/>
      <c r="C952" s="33"/>
      <c r="D952" s="33"/>
      <c r="E952" s="33"/>
      <c r="F952" s="33"/>
      <c r="G952" s="33"/>
      <c r="H952" s="33"/>
      <c r="I952" s="33"/>
      <c r="J952" s="30"/>
    </row>
    <row r="953" spans="1:10" x14ac:dyDescent="0.15">
      <c r="A953" s="111"/>
      <c r="B953" s="33"/>
      <c r="C953" s="33"/>
      <c r="D953" s="33"/>
      <c r="E953" s="33"/>
      <c r="F953" s="33"/>
      <c r="G953" s="33"/>
      <c r="H953" s="33"/>
      <c r="I953" s="33"/>
      <c r="J953" s="30"/>
    </row>
    <row r="954" spans="1:10" x14ac:dyDescent="0.15">
      <c r="A954" s="111"/>
      <c r="B954" s="33"/>
      <c r="C954" s="33"/>
      <c r="D954" s="33"/>
      <c r="E954" s="33"/>
      <c r="F954" s="33"/>
      <c r="G954" s="33"/>
      <c r="H954" s="33"/>
      <c r="I954" s="33"/>
      <c r="J954" s="30"/>
    </row>
    <row r="955" spans="1:10" x14ac:dyDescent="0.15">
      <c r="A955" s="111"/>
      <c r="B955" s="33"/>
      <c r="C955" s="33"/>
      <c r="D955" s="33"/>
      <c r="E955" s="33"/>
      <c r="F955" s="33"/>
      <c r="G955" s="33"/>
      <c r="H955" s="33"/>
      <c r="I955" s="33"/>
      <c r="J955" s="30"/>
    </row>
    <row r="956" spans="1:10" x14ac:dyDescent="0.15">
      <c r="A956" s="111"/>
      <c r="B956" s="33"/>
      <c r="C956" s="33"/>
      <c r="D956" s="33"/>
      <c r="E956" s="33"/>
      <c r="F956" s="33"/>
      <c r="G956" s="33"/>
      <c r="H956" s="33"/>
      <c r="I956" s="33"/>
      <c r="J956" s="30"/>
    </row>
    <row r="957" spans="1:10" x14ac:dyDescent="0.15">
      <c r="A957" s="111"/>
      <c r="B957" s="33"/>
      <c r="C957" s="33"/>
      <c r="D957" s="33"/>
      <c r="E957" s="33"/>
      <c r="F957" s="33"/>
      <c r="G957" s="33"/>
      <c r="H957" s="33"/>
      <c r="I957" s="33"/>
      <c r="J957" s="30"/>
    </row>
    <row r="958" spans="1:10" x14ac:dyDescent="0.15">
      <c r="A958" s="111"/>
      <c r="B958" s="33"/>
      <c r="C958" s="33"/>
      <c r="D958" s="33"/>
      <c r="E958" s="33"/>
      <c r="F958" s="33"/>
      <c r="G958" s="33"/>
      <c r="H958" s="33"/>
      <c r="I958" s="33"/>
      <c r="J958" s="30"/>
    </row>
    <row r="959" spans="1:10" x14ac:dyDescent="0.15">
      <c r="A959" s="111"/>
      <c r="B959" s="33"/>
      <c r="C959" s="33"/>
      <c r="D959" s="33"/>
      <c r="E959" s="33"/>
      <c r="F959" s="33"/>
      <c r="G959" s="33"/>
      <c r="H959" s="33"/>
      <c r="I959" s="33"/>
      <c r="J959" s="30"/>
    </row>
    <row r="960" spans="1:10" x14ac:dyDescent="0.15">
      <c r="A960" s="111"/>
      <c r="B960" s="33"/>
      <c r="C960" s="33"/>
      <c r="D960" s="33"/>
      <c r="E960" s="33"/>
      <c r="F960" s="33"/>
      <c r="G960" s="33"/>
      <c r="H960" s="33"/>
      <c r="I960" s="33"/>
      <c r="J960" s="30"/>
    </row>
    <row r="961" spans="1:10" x14ac:dyDescent="0.15">
      <c r="A961" s="111"/>
      <c r="B961" s="33"/>
      <c r="C961" s="33"/>
      <c r="D961" s="33"/>
      <c r="E961" s="33"/>
      <c r="F961" s="33"/>
      <c r="G961" s="33"/>
      <c r="H961" s="33"/>
      <c r="I961" s="33"/>
      <c r="J961" s="30"/>
    </row>
    <row r="962" spans="1:10" x14ac:dyDescent="0.15">
      <c r="A962" s="111"/>
      <c r="B962" s="33"/>
      <c r="C962" s="33"/>
      <c r="D962" s="33"/>
      <c r="E962" s="33"/>
      <c r="F962" s="33"/>
      <c r="G962" s="33"/>
      <c r="H962" s="33"/>
      <c r="I962" s="33"/>
      <c r="J962" s="30"/>
    </row>
    <row r="963" spans="1:10" x14ac:dyDescent="0.15">
      <c r="A963" s="111"/>
      <c r="B963" s="33"/>
      <c r="C963" s="33"/>
      <c r="D963" s="33"/>
      <c r="E963" s="33"/>
      <c r="F963" s="33"/>
      <c r="G963" s="33"/>
      <c r="H963" s="33"/>
      <c r="I963" s="33"/>
      <c r="J963" s="30"/>
    </row>
    <row r="964" spans="1:10" x14ac:dyDescent="0.15">
      <c r="A964" s="111"/>
      <c r="B964" s="33"/>
      <c r="C964" s="33"/>
      <c r="D964" s="33"/>
      <c r="E964" s="33"/>
      <c r="F964" s="33"/>
      <c r="G964" s="33"/>
      <c r="H964" s="33"/>
      <c r="I964" s="33"/>
      <c r="J964" s="30"/>
    </row>
    <row r="965" spans="1:10" x14ac:dyDescent="0.15">
      <c r="A965" s="111"/>
      <c r="B965" s="33"/>
      <c r="C965" s="33"/>
      <c r="D965" s="33"/>
      <c r="E965" s="33"/>
      <c r="F965" s="33"/>
      <c r="G965" s="33"/>
      <c r="H965" s="33"/>
      <c r="I965" s="33"/>
      <c r="J965" s="30"/>
    </row>
    <row r="966" spans="1:10" x14ac:dyDescent="0.15">
      <c r="A966" s="111"/>
      <c r="B966" s="33"/>
      <c r="C966" s="33"/>
      <c r="D966" s="33"/>
      <c r="E966" s="33"/>
      <c r="F966" s="33"/>
      <c r="G966" s="33"/>
      <c r="H966" s="33"/>
      <c r="I966" s="33"/>
      <c r="J966" s="30"/>
    </row>
    <row r="967" spans="1:10" x14ac:dyDescent="0.15">
      <c r="A967" s="111"/>
      <c r="B967" s="33"/>
      <c r="C967" s="33"/>
      <c r="D967" s="33"/>
      <c r="E967" s="33"/>
      <c r="F967" s="33"/>
      <c r="G967" s="33"/>
      <c r="H967" s="33"/>
      <c r="I967" s="33"/>
      <c r="J967" s="30"/>
    </row>
    <row r="968" spans="1:10" x14ac:dyDescent="0.15">
      <c r="A968" s="111"/>
      <c r="B968" s="33"/>
      <c r="C968" s="33"/>
      <c r="D968" s="33"/>
      <c r="E968" s="33"/>
      <c r="F968" s="33"/>
      <c r="G968" s="33"/>
      <c r="H968" s="33"/>
      <c r="I968" s="33"/>
      <c r="J968" s="30"/>
    </row>
    <row r="969" spans="1:10" x14ac:dyDescent="0.15">
      <c r="A969" s="111"/>
      <c r="B969" s="33"/>
      <c r="C969" s="33"/>
      <c r="D969" s="33"/>
      <c r="E969" s="33"/>
      <c r="F969" s="33"/>
      <c r="G969" s="33"/>
      <c r="H969" s="33"/>
      <c r="I969" s="33"/>
      <c r="J969" s="30"/>
    </row>
    <row r="970" spans="1:10" x14ac:dyDescent="0.15">
      <c r="A970" s="111"/>
      <c r="B970" s="33"/>
      <c r="C970" s="33"/>
      <c r="D970" s="33"/>
      <c r="E970" s="33"/>
      <c r="F970" s="33"/>
      <c r="G970" s="33"/>
      <c r="H970" s="33"/>
      <c r="I970" s="33"/>
      <c r="J970" s="30"/>
    </row>
    <row r="971" spans="1:10" x14ac:dyDescent="0.15">
      <c r="A971" s="111"/>
      <c r="B971" s="33"/>
      <c r="C971" s="33"/>
      <c r="D971" s="33"/>
      <c r="E971" s="33"/>
      <c r="F971" s="33"/>
      <c r="G971" s="33"/>
      <c r="H971" s="33"/>
      <c r="I971" s="33"/>
      <c r="J971" s="30"/>
    </row>
    <row r="972" spans="1:10" x14ac:dyDescent="0.15">
      <c r="A972" s="111"/>
      <c r="B972" s="33"/>
      <c r="C972" s="33"/>
      <c r="D972" s="33"/>
      <c r="E972" s="33"/>
      <c r="F972" s="33"/>
      <c r="G972" s="33"/>
      <c r="H972" s="33"/>
      <c r="I972" s="33"/>
      <c r="J972" s="30"/>
    </row>
    <row r="973" spans="1:10" x14ac:dyDescent="0.15">
      <c r="A973" s="111"/>
      <c r="B973" s="33"/>
      <c r="C973" s="33"/>
      <c r="D973" s="33"/>
      <c r="E973" s="33"/>
      <c r="F973" s="33"/>
      <c r="G973" s="33"/>
      <c r="H973" s="33"/>
      <c r="I973" s="33"/>
      <c r="J973" s="30"/>
    </row>
    <row r="974" spans="1:10" x14ac:dyDescent="0.15">
      <c r="A974" s="111"/>
      <c r="B974" s="33"/>
      <c r="C974" s="33"/>
      <c r="D974" s="33"/>
      <c r="E974" s="33"/>
      <c r="F974" s="33"/>
      <c r="G974" s="33"/>
      <c r="H974" s="33"/>
      <c r="I974" s="33"/>
      <c r="J974" s="30"/>
    </row>
    <row r="975" spans="1:10" x14ac:dyDescent="0.15">
      <c r="A975" s="111"/>
      <c r="B975" s="33"/>
      <c r="C975" s="33"/>
      <c r="D975" s="33"/>
      <c r="E975" s="33"/>
      <c r="F975" s="33"/>
      <c r="G975" s="33"/>
      <c r="H975" s="33"/>
      <c r="I975" s="33"/>
      <c r="J975" s="30"/>
    </row>
    <row r="976" spans="1:10" x14ac:dyDescent="0.15">
      <c r="A976" s="111"/>
      <c r="B976" s="33"/>
      <c r="C976" s="33"/>
      <c r="D976" s="33"/>
      <c r="E976" s="33"/>
      <c r="F976" s="33"/>
      <c r="G976" s="33"/>
      <c r="H976" s="33"/>
      <c r="I976" s="33"/>
      <c r="J976" s="30"/>
    </row>
    <row r="977" spans="1:10" x14ac:dyDescent="0.15">
      <c r="A977" s="111"/>
      <c r="B977" s="33"/>
      <c r="C977" s="33"/>
      <c r="D977" s="33"/>
      <c r="E977" s="33"/>
      <c r="F977" s="33"/>
      <c r="G977" s="33"/>
      <c r="H977" s="33"/>
      <c r="I977" s="33"/>
      <c r="J977" s="30"/>
    </row>
    <row r="978" spans="1:10" x14ac:dyDescent="0.15">
      <c r="A978" s="111"/>
      <c r="B978" s="33"/>
      <c r="C978" s="33"/>
      <c r="D978" s="33"/>
      <c r="E978" s="33"/>
      <c r="F978" s="33"/>
      <c r="G978" s="33"/>
      <c r="H978" s="33"/>
      <c r="I978" s="33"/>
      <c r="J978" s="30"/>
    </row>
    <row r="979" spans="1:10" x14ac:dyDescent="0.15">
      <c r="A979" s="111"/>
      <c r="B979" s="33"/>
      <c r="C979" s="33"/>
      <c r="D979" s="33"/>
      <c r="E979" s="33"/>
      <c r="F979" s="33"/>
      <c r="G979" s="33"/>
      <c r="H979" s="33"/>
      <c r="I979" s="33"/>
      <c r="J979" s="30"/>
    </row>
    <row r="980" spans="1:10" x14ac:dyDescent="0.15">
      <c r="A980" s="111"/>
      <c r="B980" s="33"/>
      <c r="C980" s="33"/>
      <c r="D980" s="33"/>
      <c r="E980" s="33"/>
      <c r="F980" s="33"/>
      <c r="G980" s="33"/>
      <c r="H980" s="33"/>
      <c r="I980" s="33"/>
      <c r="J980" s="30"/>
    </row>
    <row r="981" spans="1:10" x14ac:dyDescent="0.15">
      <c r="A981" s="111"/>
      <c r="B981" s="33"/>
      <c r="C981" s="33"/>
      <c r="D981" s="33"/>
      <c r="E981" s="33"/>
      <c r="F981" s="33"/>
      <c r="G981" s="33"/>
      <c r="H981" s="33"/>
      <c r="I981" s="33"/>
      <c r="J981" s="30"/>
    </row>
    <row r="982" spans="1:10" x14ac:dyDescent="0.15">
      <c r="A982" s="111"/>
      <c r="B982" s="33"/>
      <c r="C982" s="33"/>
      <c r="D982" s="33"/>
      <c r="E982" s="33"/>
      <c r="F982" s="33"/>
      <c r="G982" s="33"/>
      <c r="H982" s="33"/>
      <c r="I982" s="33"/>
      <c r="J982" s="30"/>
    </row>
    <row r="983" spans="1:10" x14ac:dyDescent="0.15">
      <c r="A983" s="111"/>
      <c r="B983" s="33"/>
      <c r="C983" s="33"/>
      <c r="D983" s="33"/>
      <c r="E983" s="33"/>
      <c r="F983" s="33"/>
      <c r="G983" s="33"/>
      <c r="H983" s="33"/>
      <c r="I983" s="33"/>
      <c r="J983" s="30"/>
    </row>
    <row r="984" spans="1:10" x14ac:dyDescent="0.15">
      <c r="A984" s="111"/>
      <c r="B984" s="33"/>
      <c r="C984" s="33"/>
      <c r="D984" s="33"/>
      <c r="E984" s="33"/>
      <c r="F984" s="33"/>
      <c r="G984" s="33"/>
      <c r="H984" s="33"/>
      <c r="I984" s="33"/>
      <c r="J984" s="30"/>
    </row>
    <row r="985" spans="1:10" x14ac:dyDescent="0.15">
      <c r="A985" s="111"/>
      <c r="B985" s="33"/>
      <c r="C985" s="33"/>
      <c r="D985" s="33"/>
      <c r="E985" s="33"/>
      <c r="F985" s="33"/>
      <c r="G985" s="33"/>
      <c r="H985" s="33"/>
      <c r="I985" s="33"/>
      <c r="J985" s="30"/>
    </row>
    <row r="986" spans="1:10" x14ac:dyDescent="0.15">
      <c r="A986" s="111"/>
      <c r="B986" s="33"/>
      <c r="C986" s="33"/>
      <c r="D986" s="33"/>
      <c r="E986" s="33"/>
      <c r="F986" s="33"/>
      <c r="G986" s="33"/>
      <c r="H986" s="33"/>
      <c r="I986" s="33"/>
      <c r="J986" s="30"/>
    </row>
    <row r="987" spans="1:10" x14ac:dyDescent="0.15">
      <c r="A987" s="111"/>
      <c r="B987" s="33"/>
      <c r="C987" s="33"/>
      <c r="D987" s="33"/>
      <c r="E987" s="33"/>
      <c r="F987" s="33"/>
      <c r="G987" s="33"/>
      <c r="H987" s="33"/>
      <c r="I987" s="33"/>
      <c r="J987" s="30"/>
    </row>
    <row r="988" spans="1:10" x14ac:dyDescent="0.15">
      <c r="A988" s="111"/>
      <c r="B988" s="33"/>
      <c r="C988" s="33"/>
      <c r="D988" s="33"/>
      <c r="E988" s="33"/>
      <c r="F988" s="33"/>
      <c r="G988" s="33"/>
      <c r="H988" s="33"/>
      <c r="I988" s="33"/>
      <c r="J988" s="30"/>
    </row>
    <row r="989" spans="1:10" x14ac:dyDescent="0.15">
      <c r="A989" s="111"/>
      <c r="B989" s="33"/>
      <c r="C989" s="33"/>
      <c r="D989" s="33"/>
      <c r="E989" s="33"/>
      <c r="F989" s="33"/>
      <c r="G989" s="33"/>
      <c r="H989" s="33"/>
      <c r="I989" s="33"/>
      <c r="J989" s="30"/>
    </row>
    <row r="990" spans="1:10" x14ac:dyDescent="0.15">
      <c r="A990" s="111"/>
      <c r="B990" s="33"/>
      <c r="C990" s="33"/>
      <c r="D990" s="33"/>
      <c r="E990" s="33"/>
      <c r="F990" s="33"/>
      <c r="G990" s="33"/>
      <c r="H990" s="33"/>
      <c r="I990" s="33"/>
      <c r="J990" s="30"/>
    </row>
    <row r="991" spans="1:10" x14ac:dyDescent="0.15">
      <c r="A991" s="111"/>
      <c r="B991" s="33"/>
      <c r="C991" s="33"/>
      <c r="D991" s="33"/>
      <c r="E991" s="33"/>
      <c r="F991" s="33"/>
      <c r="G991" s="33"/>
      <c r="H991" s="33"/>
      <c r="I991" s="33"/>
      <c r="J991" s="30"/>
    </row>
    <row r="992" spans="1:10" x14ac:dyDescent="0.15">
      <c r="A992" s="111"/>
      <c r="B992" s="33"/>
      <c r="C992" s="33"/>
      <c r="D992" s="33"/>
      <c r="E992" s="33"/>
      <c r="F992" s="33"/>
      <c r="G992" s="33"/>
      <c r="H992" s="33"/>
      <c r="I992" s="33"/>
      <c r="J992" s="30"/>
    </row>
    <row r="993" spans="1:10" x14ac:dyDescent="0.15">
      <c r="A993" s="111"/>
      <c r="B993" s="33"/>
      <c r="C993" s="33"/>
      <c r="D993" s="33"/>
      <c r="E993" s="33"/>
      <c r="F993" s="33"/>
      <c r="G993" s="33"/>
      <c r="H993" s="33"/>
      <c r="I993" s="33"/>
      <c r="J993" s="30"/>
    </row>
    <row r="994" spans="1:10" x14ac:dyDescent="0.15">
      <c r="A994" s="111"/>
      <c r="B994" s="33"/>
      <c r="C994" s="33"/>
      <c r="D994" s="33"/>
      <c r="E994" s="33"/>
      <c r="F994" s="33"/>
      <c r="G994" s="33"/>
      <c r="H994" s="33"/>
      <c r="I994" s="33"/>
      <c r="J994" s="30"/>
    </row>
    <row r="995" spans="1:10" x14ac:dyDescent="0.15">
      <c r="A995" s="111"/>
      <c r="B995" s="33"/>
      <c r="C995" s="33"/>
      <c r="D995" s="33"/>
      <c r="E995" s="33"/>
      <c r="F995" s="33"/>
      <c r="G995" s="33"/>
      <c r="H995" s="33"/>
      <c r="I995" s="33"/>
      <c r="J995" s="30"/>
    </row>
    <row r="996" spans="1:10" x14ac:dyDescent="0.15">
      <c r="A996" s="111"/>
      <c r="B996" s="33"/>
      <c r="C996" s="33"/>
      <c r="D996" s="33"/>
      <c r="E996" s="33"/>
      <c r="F996" s="33"/>
      <c r="G996" s="33"/>
      <c r="H996" s="33"/>
      <c r="I996" s="33"/>
      <c r="J996" s="30"/>
    </row>
    <row r="997" spans="1:10" x14ac:dyDescent="0.15">
      <c r="A997" s="111"/>
      <c r="B997" s="33"/>
      <c r="C997" s="33"/>
      <c r="D997" s="33"/>
      <c r="E997" s="33"/>
      <c r="F997" s="33"/>
      <c r="G997" s="33"/>
      <c r="H997" s="33"/>
      <c r="I997" s="33"/>
      <c r="J997" s="30"/>
    </row>
    <row r="998" spans="1:10" x14ac:dyDescent="0.15">
      <c r="A998" s="111"/>
      <c r="B998" s="33"/>
      <c r="C998" s="33"/>
      <c r="D998" s="33"/>
      <c r="E998" s="33"/>
      <c r="F998" s="33"/>
      <c r="G998" s="33"/>
      <c r="H998" s="33"/>
      <c r="I998" s="33"/>
      <c r="J998" s="30"/>
    </row>
    <row r="999" spans="1:10" x14ac:dyDescent="0.15">
      <c r="A999" s="111"/>
      <c r="B999" s="33"/>
      <c r="C999" s="33"/>
      <c r="D999" s="33"/>
      <c r="E999" s="33"/>
      <c r="F999" s="33"/>
      <c r="G999" s="33"/>
      <c r="H999" s="33"/>
      <c r="I999" s="33"/>
      <c r="J999" s="30"/>
    </row>
    <row r="1000" spans="1:10" x14ac:dyDescent="0.15">
      <c r="A1000" s="111"/>
      <c r="B1000" s="33"/>
      <c r="C1000" s="33"/>
      <c r="D1000" s="33"/>
      <c r="E1000" s="33"/>
      <c r="F1000" s="33"/>
      <c r="G1000" s="33"/>
      <c r="H1000" s="33"/>
      <c r="I1000" s="33"/>
      <c r="J1000" s="30"/>
    </row>
    <row r="1001" spans="1:10" x14ac:dyDescent="0.15">
      <c r="A1001" s="111"/>
      <c r="B1001" s="33"/>
      <c r="C1001" s="33"/>
      <c r="D1001" s="33"/>
      <c r="E1001" s="33"/>
      <c r="F1001" s="33"/>
      <c r="G1001" s="33"/>
      <c r="H1001" s="33"/>
      <c r="I1001" s="33"/>
      <c r="J1001" s="30"/>
    </row>
    <row r="1002" spans="1:10" x14ac:dyDescent="0.15">
      <c r="A1002" s="111"/>
      <c r="B1002" s="33"/>
      <c r="C1002" s="33"/>
      <c r="D1002" s="33"/>
      <c r="E1002" s="33"/>
      <c r="F1002" s="33"/>
      <c r="G1002" s="33"/>
      <c r="H1002" s="33"/>
      <c r="I1002" s="33"/>
      <c r="J1002" s="30"/>
    </row>
    <row r="1003" spans="1:10" x14ac:dyDescent="0.15">
      <c r="A1003" s="111"/>
      <c r="B1003" s="33"/>
      <c r="C1003" s="33"/>
      <c r="D1003" s="33"/>
      <c r="E1003" s="33"/>
      <c r="F1003" s="33"/>
      <c r="G1003" s="33"/>
      <c r="H1003" s="33"/>
      <c r="I1003" s="33"/>
      <c r="J1003" s="30"/>
    </row>
    <row r="1004" spans="1:10" x14ac:dyDescent="0.15">
      <c r="A1004" s="111"/>
      <c r="B1004" s="33"/>
      <c r="C1004" s="33"/>
      <c r="D1004" s="33"/>
      <c r="E1004" s="33"/>
      <c r="F1004" s="33"/>
      <c r="G1004" s="33"/>
      <c r="H1004" s="33"/>
      <c r="I1004" s="33"/>
      <c r="J1004" s="30"/>
    </row>
    <row r="1005" spans="1:10" x14ac:dyDescent="0.15">
      <c r="A1005" s="111"/>
      <c r="B1005" s="33"/>
      <c r="C1005" s="33"/>
      <c r="D1005" s="33"/>
      <c r="E1005" s="33"/>
      <c r="F1005" s="33"/>
      <c r="G1005" s="33"/>
      <c r="H1005" s="33"/>
      <c r="I1005" s="33"/>
      <c r="J1005" s="30"/>
    </row>
    <row r="1006" spans="1:10" x14ac:dyDescent="0.15">
      <c r="A1006" s="111"/>
      <c r="B1006" s="33"/>
      <c r="C1006" s="33"/>
      <c r="D1006" s="33"/>
      <c r="E1006" s="33"/>
      <c r="F1006" s="33"/>
      <c r="G1006" s="33"/>
      <c r="H1006" s="33"/>
      <c r="I1006" s="33"/>
      <c r="J1006" s="30"/>
    </row>
    <row r="1007" spans="1:10" x14ac:dyDescent="0.15">
      <c r="A1007" s="111"/>
      <c r="B1007" s="33"/>
      <c r="C1007" s="33"/>
      <c r="D1007" s="33"/>
      <c r="E1007" s="33"/>
      <c r="F1007" s="33"/>
      <c r="G1007" s="33"/>
      <c r="H1007" s="33"/>
      <c r="I1007" s="33"/>
      <c r="J1007" s="30"/>
    </row>
    <row r="1008" spans="1:10" x14ac:dyDescent="0.15">
      <c r="A1008" s="111"/>
      <c r="B1008" s="33"/>
      <c r="C1008" s="33"/>
      <c r="D1008" s="33"/>
      <c r="E1008" s="33"/>
      <c r="F1008" s="33"/>
      <c r="G1008" s="33"/>
      <c r="H1008" s="33"/>
      <c r="I1008" s="33"/>
      <c r="J1008" s="30"/>
    </row>
    <row r="1009" spans="1:10" x14ac:dyDescent="0.15">
      <c r="A1009" s="111"/>
      <c r="B1009" s="33"/>
      <c r="C1009" s="33"/>
      <c r="D1009" s="33"/>
      <c r="E1009" s="33"/>
      <c r="F1009" s="33"/>
      <c r="G1009" s="33"/>
      <c r="H1009" s="33"/>
      <c r="I1009" s="33"/>
      <c r="J1009" s="30"/>
    </row>
    <row r="1010" spans="1:10" x14ac:dyDescent="0.15">
      <c r="A1010" s="111"/>
      <c r="B1010" s="33"/>
      <c r="C1010" s="33"/>
      <c r="D1010" s="33"/>
      <c r="E1010" s="33"/>
      <c r="F1010" s="33"/>
      <c r="G1010" s="33"/>
      <c r="H1010" s="33"/>
      <c r="I1010" s="33"/>
      <c r="J1010" s="30"/>
    </row>
    <row r="1011" spans="1:10" x14ac:dyDescent="0.15">
      <c r="A1011" s="111"/>
      <c r="B1011" s="33"/>
      <c r="C1011" s="33"/>
      <c r="D1011" s="33"/>
      <c r="E1011" s="33"/>
      <c r="F1011" s="33"/>
      <c r="G1011" s="33"/>
      <c r="H1011" s="33"/>
      <c r="I1011" s="33"/>
      <c r="J1011" s="30"/>
    </row>
    <row r="1012" spans="1:10" x14ac:dyDescent="0.15">
      <c r="A1012" s="111"/>
      <c r="B1012" s="33"/>
      <c r="C1012" s="33"/>
      <c r="D1012" s="33"/>
      <c r="E1012" s="33"/>
      <c r="F1012" s="33"/>
      <c r="G1012" s="33"/>
      <c r="H1012" s="33"/>
      <c r="I1012" s="33"/>
      <c r="J1012" s="30"/>
    </row>
    <row r="1013" spans="1:10" x14ac:dyDescent="0.15">
      <c r="A1013" s="111"/>
      <c r="B1013" s="33"/>
      <c r="C1013" s="33"/>
      <c r="D1013" s="33"/>
      <c r="E1013" s="33"/>
      <c r="F1013" s="33"/>
      <c r="G1013" s="33"/>
      <c r="H1013" s="33"/>
      <c r="I1013" s="33"/>
      <c r="J1013" s="30"/>
    </row>
    <row r="1014" spans="1:10" x14ac:dyDescent="0.15">
      <c r="A1014" s="111"/>
      <c r="B1014" s="33"/>
      <c r="C1014" s="33"/>
      <c r="D1014" s="33"/>
      <c r="E1014" s="33"/>
      <c r="F1014" s="33"/>
      <c r="G1014" s="33"/>
      <c r="H1014" s="33"/>
      <c r="I1014" s="33"/>
      <c r="J1014" s="30"/>
    </row>
    <row r="1015" spans="1:10" x14ac:dyDescent="0.15">
      <c r="A1015" s="111"/>
      <c r="B1015" s="33"/>
      <c r="C1015" s="33"/>
      <c r="D1015" s="33"/>
      <c r="E1015" s="33"/>
      <c r="F1015" s="33"/>
      <c r="G1015" s="33"/>
      <c r="H1015" s="33"/>
      <c r="I1015" s="33"/>
      <c r="J1015" s="30"/>
    </row>
    <row r="1016" spans="1:10" x14ac:dyDescent="0.15">
      <c r="A1016" s="111"/>
      <c r="B1016" s="33"/>
      <c r="C1016" s="33"/>
      <c r="D1016" s="33"/>
      <c r="E1016" s="33"/>
      <c r="F1016" s="33"/>
      <c r="G1016" s="33"/>
      <c r="H1016" s="33"/>
      <c r="I1016" s="33"/>
      <c r="J1016" s="30"/>
    </row>
    <row r="1017" spans="1:10" x14ac:dyDescent="0.15">
      <c r="A1017" s="111"/>
      <c r="B1017" s="33"/>
      <c r="C1017" s="33"/>
      <c r="D1017" s="33"/>
      <c r="E1017" s="33"/>
      <c r="F1017" s="33"/>
      <c r="G1017" s="33"/>
      <c r="H1017" s="33"/>
      <c r="I1017" s="33"/>
      <c r="J1017" s="30"/>
    </row>
    <row r="1018" spans="1:10" x14ac:dyDescent="0.15">
      <c r="A1018" s="111"/>
      <c r="B1018" s="33"/>
      <c r="C1018" s="33"/>
      <c r="D1018" s="33"/>
      <c r="E1018" s="33"/>
      <c r="F1018" s="33"/>
      <c r="G1018" s="33"/>
      <c r="H1018" s="33"/>
      <c r="I1018" s="33"/>
      <c r="J1018" s="30"/>
    </row>
    <row r="1019" spans="1:10" x14ac:dyDescent="0.15">
      <c r="A1019" s="111"/>
      <c r="B1019" s="33"/>
      <c r="C1019" s="33"/>
      <c r="D1019" s="33"/>
      <c r="E1019" s="33"/>
      <c r="F1019" s="33"/>
      <c r="G1019" s="33"/>
      <c r="H1019" s="33"/>
      <c r="I1019" s="33"/>
      <c r="J1019" s="30"/>
    </row>
    <row r="1020" spans="1:10" x14ac:dyDescent="0.15">
      <c r="A1020" s="111"/>
      <c r="B1020" s="33"/>
      <c r="C1020" s="33"/>
      <c r="D1020" s="33"/>
      <c r="E1020" s="33"/>
      <c r="F1020" s="33"/>
      <c r="G1020" s="33"/>
      <c r="H1020" s="33"/>
      <c r="I1020" s="33"/>
      <c r="J1020" s="30"/>
    </row>
    <row r="1021" spans="1:10" x14ac:dyDescent="0.15">
      <c r="A1021" s="111"/>
      <c r="B1021" s="33"/>
      <c r="C1021" s="33"/>
      <c r="D1021" s="33"/>
      <c r="E1021" s="33"/>
      <c r="F1021" s="33"/>
      <c r="G1021" s="33"/>
      <c r="H1021" s="33"/>
      <c r="I1021" s="33"/>
      <c r="J1021" s="30"/>
    </row>
    <row r="1022" spans="1:10" x14ac:dyDescent="0.15">
      <c r="A1022" s="111"/>
      <c r="B1022" s="33"/>
      <c r="C1022" s="33"/>
      <c r="D1022" s="33"/>
      <c r="E1022" s="33"/>
      <c r="F1022" s="33"/>
      <c r="G1022" s="33"/>
      <c r="H1022" s="33"/>
      <c r="I1022" s="33"/>
      <c r="J1022" s="30"/>
    </row>
    <row r="1023" spans="1:10" x14ac:dyDescent="0.15">
      <c r="A1023" s="111"/>
      <c r="B1023" s="33"/>
      <c r="C1023" s="33"/>
      <c r="D1023" s="33"/>
      <c r="E1023" s="33"/>
      <c r="F1023" s="33"/>
      <c r="G1023" s="33"/>
      <c r="H1023" s="33"/>
      <c r="I1023" s="33"/>
      <c r="J1023" s="30"/>
    </row>
    <row r="1024" spans="1:10" x14ac:dyDescent="0.15">
      <c r="A1024" s="111"/>
      <c r="B1024" s="33"/>
      <c r="C1024" s="33"/>
      <c r="D1024" s="33"/>
      <c r="E1024" s="33"/>
      <c r="F1024" s="33"/>
      <c r="G1024" s="33"/>
      <c r="H1024" s="33"/>
      <c r="I1024" s="33"/>
      <c r="J1024" s="30"/>
    </row>
    <row r="1025" spans="1:10" x14ac:dyDescent="0.15">
      <c r="A1025" s="111"/>
      <c r="B1025" s="33"/>
      <c r="C1025" s="33"/>
      <c r="D1025" s="33"/>
      <c r="E1025" s="33"/>
      <c r="F1025" s="33"/>
      <c r="G1025" s="33"/>
      <c r="H1025" s="33"/>
      <c r="I1025" s="33"/>
      <c r="J1025" s="30"/>
    </row>
    <row r="1026" spans="1:10" x14ac:dyDescent="0.15">
      <c r="A1026" s="111"/>
      <c r="B1026" s="33"/>
      <c r="C1026" s="33"/>
      <c r="D1026" s="33"/>
      <c r="E1026" s="33"/>
      <c r="F1026" s="33"/>
      <c r="G1026" s="33"/>
      <c r="H1026" s="33"/>
      <c r="I1026" s="33"/>
      <c r="J1026" s="30"/>
    </row>
    <row r="1027" spans="1:10" x14ac:dyDescent="0.15">
      <c r="A1027" s="111"/>
      <c r="B1027" s="33"/>
      <c r="C1027" s="33"/>
      <c r="D1027" s="33"/>
      <c r="E1027" s="33"/>
      <c r="F1027" s="33"/>
      <c r="G1027" s="33"/>
      <c r="H1027" s="33"/>
      <c r="I1027" s="33"/>
      <c r="J1027" s="30"/>
    </row>
    <row r="1028" spans="1:10" x14ac:dyDescent="0.15">
      <c r="A1028" s="111"/>
      <c r="B1028" s="33"/>
      <c r="C1028" s="33"/>
      <c r="D1028" s="33"/>
      <c r="E1028" s="33"/>
      <c r="F1028" s="33"/>
      <c r="G1028" s="33"/>
      <c r="H1028" s="33"/>
      <c r="I1028" s="33"/>
      <c r="J1028" s="30"/>
    </row>
    <row r="1029" spans="1:10" x14ac:dyDescent="0.15">
      <c r="A1029" s="111"/>
      <c r="B1029" s="33"/>
      <c r="C1029" s="33"/>
      <c r="D1029" s="33"/>
      <c r="E1029" s="33"/>
      <c r="F1029" s="33"/>
      <c r="G1029" s="33"/>
      <c r="H1029" s="33"/>
      <c r="I1029" s="33"/>
      <c r="J1029" s="30"/>
    </row>
    <row r="1030" spans="1:10" x14ac:dyDescent="0.15">
      <c r="A1030" s="111"/>
      <c r="B1030" s="33"/>
      <c r="C1030" s="33"/>
      <c r="D1030" s="33"/>
      <c r="E1030" s="33"/>
      <c r="F1030" s="33"/>
      <c r="G1030" s="33"/>
      <c r="H1030" s="33"/>
      <c r="I1030" s="33"/>
      <c r="J1030" s="30"/>
    </row>
    <row r="1031" spans="1:10" x14ac:dyDescent="0.15">
      <c r="A1031" s="111"/>
      <c r="B1031" s="33"/>
      <c r="C1031" s="33"/>
      <c r="D1031" s="33"/>
      <c r="E1031" s="33"/>
      <c r="F1031" s="33"/>
      <c r="G1031" s="33"/>
      <c r="H1031" s="33"/>
      <c r="I1031" s="33"/>
      <c r="J1031" s="30"/>
    </row>
    <row r="1032" spans="1:10" x14ac:dyDescent="0.15">
      <c r="A1032" s="111"/>
      <c r="B1032" s="33"/>
      <c r="C1032" s="33"/>
      <c r="D1032" s="33"/>
      <c r="E1032" s="33"/>
      <c r="F1032" s="33"/>
      <c r="G1032" s="33"/>
      <c r="H1032" s="33"/>
      <c r="I1032" s="33"/>
      <c r="J1032" s="30"/>
    </row>
    <row r="1033" spans="1:10" x14ac:dyDescent="0.15">
      <c r="A1033" s="111"/>
      <c r="B1033" s="33"/>
      <c r="C1033" s="33"/>
      <c r="D1033" s="33"/>
      <c r="E1033" s="33"/>
      <c r="F1033" s="33"/>
      <c r="G1033" s="33"/>
      <c r="H1033" s="33"/>
      <c r="I1033" s="33"/>
      <c r="J1033" s="30"/>
    </row>
    <row r="1034" spans="1:10" x14ac:dyDescent="0.15">
      <c r="A1034" s="111"/>
      <c r="B1034" s="33"/>
      <c r="C1034" s="33"/>
      <c r="D1034" s="33"/>
      <c r="E1034" s="33"/>
      <c r="F1034" s="33"/>
      <c r="G1034" s="33"/>
      <c r="H1034" s="33"/>
      <c r="I1034" s="33"/>
      <c r="J1034" s="30"/>
    </row>
    <row r="1035" spans="1:10" x14ac:dyDescent="0.15">
      <c r="A1035" s="111"/>
      <c r="B1035" s="33"/>
      <c r="C1035" s="33"/>
      <c r="D1035" s="33"/>
      <c r="E1035" s="33"/>
      <c r="F1035" s="33"/>
      <c r="G1035" s="33"/>
      <c r="H1035" s="33"/>
      <c r="I1035" s="33"/>
      <c r="J1035" s="30"/>
    </row>
    <row r="1036" spans="1:10" x14ac:dyDescent="0.15">
      <c r="A1036" s="111"/>
      <c r="B1036" s="33"/>
      <c r="C1036" s="33"/>
      <c r="D1036" s="33"/>
      <c r="E1036" s="33"/>
      <c r="F1036" s="33"/>
      <c r="G1036" s="33"/>
      <c r="H1036" s="33"/>
      <c r="I1036" s="33"/>
      <c r="J1036" s="30"/>
    </row>
    <row r="1037" spans="1:10" x14ac:dyDescent="0.15">
      <c r="A1037" s="111"/>
      <c r="B1037" s="33"/>
      <c r="C1037" s="33"/>
      <c r="D1037" s="33"/>
      <c r="E1037" s="33"/>
      <c r="F1037" s="33"/>
      <c r="G1037" s="33"/>
      <c r="H1037" s="33"/>
      <c r="I1037" s="33"/>
      <c r="J1037" s="30"/>
    </row>
    <row r="1038" spans="1:10" x14ac:dyDescent="0.15">
      <c r="A1038" s="111"/>
      <c r="B1038" s="33"/>
      <c r="C1038" s="33"/>
      <c r="D1038" s="33"/>
      <c r="E1038" s="33"/>
      <c r="F1038" s="33"/>
      <c r="G1038" s="33"/>
      <c r="H1038" s="33"/>
      <c r="I1038" s="33"/>
      <c r="J1038" s="30"/>
    </row>
    <row r="1039" spans="1:10" x14ac:dyDescent="0.15">
      <c r="A1039" s="111"/>
      <c r="B1039" s="33"/>
      <c r="C1039" s="33"/>
      <c r="D1039" s="33"/>
      <c r="E1039" s="33"/>
      <c r="F1039" s="33"/>
      <c r="G1039" s="33"/>
      <c r="H1039" s="33"/>
      <c r="I1039" s="33"/>
      <c r="J1039" s="30"/>
    </row>
    <row r="1040" spans="1:10" x14ac:dyDescent="0.15">
      <c r="A1040" s="111"/>
      <c r="B1040" s="33"/>
      <c r="C1040" s="33"/>
      <c r="D1040" s="33"/>
      <c r="E1040" s="33"/>
      <c r="F1040" s="33"/>
      <c r="G1040" s="33"/>
      <c r="H1040" s="33"/>
      <c r="I1040" s="33"/>
      <c r="J1040" s="30"/>
    </row>
    <row r="1041" spans="1:10" x14ac:dyDescent="0.15">
      <c r="A1041" s="111"/>
      <c r="B1041" s="33"/>
      <c r="C1041" s="33"/>
      <c r="D1041" s="33"/>
      <c r="E1041" s="33"/>
      <c r="F1041" s="33"/>
      <c r="G1041" s="33"/>
      <c r="H1041" s="33"/>
      <c r="I1041" s="33"/>
      <c r="J1041" s="30"/>
    </row>
    <row r="1042" spans="1:10" x14ac:dyDescent="0.15">
      <c r="A1042" s="111"/>
      <c r="B1042" s="33"/>
      <c r="C1042" s="33"/>
      <c r="D1042" s="33"/>
      <c r="E1042" s="33"/>
      <c r="F1042" s="33"/>
      <c r="G1042" s="33"/>
      <c r="H1042" s="33"/>
      <c r="I1042" s="33"/>
      <c r="J1042" s="30"/>
    </row>
    <row r="1043" spans="1:10" x14ac:dyDescent="0.15">
      <c r="A1043" s="111"/>
      <c r="B1043" s="33"/>
      <c r="C1043" s="33"/>
      <c r="D1043" s="33"/>
      <c r="E1043" s="33"/>
      <c r="F1043" s="33"/>
      <c r="G1043" s="33"/>
      <c r="H1043" s="33"/>
      <c r="I1043" s="33"/>
      <c r="J1043" s="30"/>
    </row>
    <row r="1044" spans="1:10" x14ac:dyDescent="0.15">
      <c r="A1044" s="111"/>
      <c r="B1044" s="33"/>
      <c r="C1044" s="33"/>
      <c r="D1044" s="33"/>
      <c r="E1044" s="33"/>
      <c r="F1044" s="33"/>
      <c r="G1044" s="33"/>
      <c r="H1044" s="33"/>
      <c r="I1044" s="33"/>
      <c r="J1044" s="30"/>
    </row>
    <row r="1045" spans="1:10" x14ac:dyDescent="0.15">
      <c r="A1045" s="111"/>
      <c r="B1045" s="33"/>
      <c r="C1045" s="33"/>
      <c r="D1045" s="33"/>
      <c r="E1045" s="33"/>
      <c r="F1045" s="33"/>
      <c r="G1045" s="33"/>
      <c r="H1045" s="33"/>
      <c r="I1045" s="33"/>
      <c r="J1045" s="30"/>
    </row>
    <row r="1046" spans="1:10" x14ac:dyDescent="0.15">
      <c r="A1046" s="111"/>
      <c r="B1046" s="33"/>
      <c r="C1046" s="33"/>
      <c r="D1046" s="33"/>
      <c r="E1046" s="33"/>
      <c r="F1046" s="33"/>
      <c r="G1046" s="33"/>
      <c r="H1046" s="33"/>
      <c r="I1046" s="33"/>
      <c r="J1046" s="30"/>
    </row>
    <row r="1047" spans="1:10" x14ac:dyDescent="0.15">
      <c r="A1047" s="111"/>
      <c r="B1047" s="33"/>
      <c r="C1047" s="33"/>
      <c r="D1047" s="33"/>
      <c r="E1047" s="33"/>
      <c r="F1047" s="33"/>
      <c r="G1047" s="33"/>
      <c r="H1047" s="33"/>
      <c r="I1047" s="33"/>
      <c r="J1047" s="30"/>
    </row>
    <row r="1048" spans="1:10" x14ac:dyDescent="0.15">
      <c r="A1048" s="111"/>
      <c r="B1048" s="33"/>
      <c r="C1048" s="33"/>
      <c r="D1048" s="33"/>
      <c r="E1048" s="33"/>
      <c r="F1048" s="33"/>
      <c r="G1048" s="33"/>
      <c r="H1048" s="33"/>
      <c r="I1048" s="33"/>
      <c r="J1048" s="30"/>
    </row>
    <row r="1049" spans="1:10" x14ac:dyDescent="0.15">
      <c r="A1049" s="111"/>
      <c r="B1049" s="33"/>
      <c r="C1049" s="33"/>
      <c r="D1049" s="33"/>
      <c r="E1049" s="33"/>
      <c r="F1049" s="33"/>
      <c r="G1049" s="33"/>
      <c r="H1049" s="33"/>
      <c r="I1049" s="33"/>
      <c r="J1049" s="30"/>
    </row>
    <row r="1050" spans="1:10" x14ac:dyDescent="0.15">
      <c r="A1050" s="111"/>
      <c r="B1050" s="33"/>
      <c r="C1050" s="33"/>
      <c r="D1050" s="33"/>
      <c r="E1050" s="33"/>
      <c r="F1050" s="33"/>
      <c r="G1050" s="33"/>
      <c r="H1050" s="33"/>
      <c r="I1050" s="33"/>
      <c r="J1050" s="30"/>
    </row>
    <row r="1051" spans="1:10" x14ac:dyDescent="0.15">
      <c r="A1051" s="111"/>
      <c r="B1051" s="33"/>
      <c r="C1051" s="33"/>
      <c r="D1051" s="33"/>
      <c r="E1051" s="33"/>
      <c r="F1051" s="33"/>
      <c r="G1051" s="33"/>
      <c r="H1051" s="33"/>
      <c r="I1051" s="33"/>
      <c r="J1051" s="30"/>
    </row>
    <row r="1052" spans="1:10" x14ac:dyDescent="0.15">
      <c r="A1052" s="111"/>
      <c r="B1052" s="33"/>
      <c r="C1052" s="33"/>
      <c r="D1052" s="33"/>
      <c r="E1052" s="33"/>
      <c r="F1052" s="33"/>
      <c r="G1052" s="33"/>
      <c r="H1052" s="33"/>
      <c r="I1052" s="33"/>
      <c r="J1052" s="30"/>
    </row>
    <row r="1053" spans="1:10" x14ac:dyDescent="0.15">
      <c r="A1053" s="111"/>
      <c r="B1053" s="33"/>
      <c r="C1053" s="33"/>
      <c r="D1053" s="33"/>
      <c r="E1053" s="33"/>
      <c r="F1053" s="33"/>
      <c r="G1053" s="33"/>
      <c r="H1053" s="33"/>
      <c r="I1053" s="33"/>
      <c r="J1053" s="30"/>
    </row>
    <row r="1054" spans="1:10" x14ac:dyDescent="0.15">
      <c r="A1054" s="111"/>
      <c r="B1054" s="33"/>
      <c r="C1054" s="33"/>
      <c r="D1054" s="33"/>
      <c r="E1054" s="33"/>
      <c r="F1054" s="33"/>
      <c r="G1054" s="33"/>
      <c r="H1054" s="33"/>
      <c r="I1054" s="33"/>
      <c r="J1054" s="30"/>
    </row>
    <row r="1055" spans="1:10" x14ac:dyDescent="0.15">
      <c r="A1055" s="111"/>
      <c r="B1055" s="33"/>
      <c r="C1055" s="33"/>
      <c r="D1055" s="33"/>
      <c r="E1055" s="33"/>
      <c r="F1055" s="33"/>
      <c r="G1055" s="33"/>
      <c r="H1055" s="33"/>
      <c r="I1055" s="33"/>
      <c r="J1055" s="30"/>
    </row>
    <row r="1056" spans="1:10" x14ac:dyDescent="0.15">
      <c r="A1056" s="111"/>
      <c r="B1056" s="33"/>
      <c r="C1056" s="33"/>
      <c r="D1056" s="33"/>
      <c r="E1056" s="33"/>
      <c r="F1056" s="33"/>
      <c r="G1056" s="33"/>
      <c r="H1056" s="33"/>
      <c r="I1056" s="33"/>
      <c r="J1056" s="30"/>
    </row>
    <row r="1057" spans="1:10" x14ac:dyDescent="0.15">
      <c r="A1057" s="111"/>
      <c r="B1057" s="33"/>
      <c r="C1057" s="33"/>
      <c r="D1057" s="33"/>
      <c r="E1057" s="33"/>
      <c r="F1057" s="33"/>
      <c r="G1057" s="33"/>
      <c r="H1057" s="33"/>
      <c r="I1057" s="33"/>
      <c r="J1057" s="30"/>
    </row>
    <row r="1058" spans="1:10" x14ac:dyDescent="0.15">
      <c r="A1058" s="111"/>
      <c r="B1058" s="33"/>
      <c r="C1058" s="33"/>
      <c r="D1058" s="33"/>
      <c r="E1058" s="33"/>
      <c r="F1058" s="33"/>
      <c r="G1058" s="33"/>
      <c r="H1058" s="33"/>
      <c r="I1058" s="33"/>
      <c r="J1058" s="30"/>
    </row>
    <row r="1059" spans="1:10" x14ac:dyDescent="0.15">
      <c r="A1059" s="111"/>
      <c r="B1059" s="33"/>
      <c r="C1059" s="33"/>
      <c r="D1059" s="33"/>
      <c r="E1059" s="33"/>
      <c r="F1059" s="33"/>
      <c r="G1059" s="33"/>
      <c r="H1059" s="33"/>
      <c r="I1059" s="33"/>
      <c r="J1059" s="30"/>
    </row>
    <row r="1060" spans="1:10" x14ac:dyDescent="0.15">
      <c r="A1060" s="111"/>
      <c r="B1060" s="33"/>
      <c r="C1060" s="33"/>
      <c r="D1060" s="33"/>
      <c r="E1060" s="33"/>
      <c r="F1060" s="33"/>
      <c r="G1060" s="33"/>
      <c r="H1060" s="33"/>
      <c r="I1060" s="33"/>
      <c r="J1060" s="30"/>
    </row>
    <row r="1061" spans="1:10" x14ac:dyDescent="0.15">
      <c r="A1061" s="111"/>
      <c r="B1061" s="33"/>
      <c r="C1061" s="33"/>
      <c r="D1061" s="33"/>
      <c r="E1061" s="33"/>
      <c r="F1061" s="33"/>
      <c r="G1061" s="33"/>
      <c r="H1061" s="33"/>
      <c r="I1061" s="33"/>
      <c r="J1061" s="30"/>
    </row>
    <row r="1062" spans="1:10" x14ac:dyDescent="0.15">
      <c r="A1062" s="111"/>
      <c r="B1062" s="33"/>
      <c r="C1062" s="33"/>
      <c r="D1062" s="33"/>
      <c r="E1062" s="33"/>
      <c r="F1062" s="33"/>
      <c r="G1062" s="33"/>
      <c r="H1062" s="33"/>
      <c r="I1062" s="33"/>
      <c r="J1062" s="30"/>
    </row>
    <row r="1063" spans="1:10" x14ac:dyDescent="0.15">
      <c r="A1063" s="111"/>
      <c r="B1063" s="33"/>
      <c r="C1063" s="33"/>
      <c r="D1063" s="33"/>
      <c r="E1063" s="33"/>
      <c r="F1063" s="33"/>
      <c r="G1063" s="33"/>
      <c r="H1063" s="33"/>
      <c r="I1063" s="33"/>
      <c r="J1063" s="30"/>
    </row>
    <row r="1064" spans="1:10" x14ac:dyDescent="0.15">
      <c r="A1064" s="111"/>
      <c r="B1064" s="33"/>
      <c r="C1064" s="33"/>
      <c r="D1064" s="33"/>
      <c r="E1064" s="33"/>
      <c r="F1064" s="33"/>
      <c r="G1064" s="33"/>
      <c r="H1064" s="33"/>
      <c r="I1064" s="33"/>
      <c r="J1064" s="30"/>
    </row>
    <row r="1065" spans="1:10" x14ac:dyDescent="0.15">
      <c r="A1065" s="111"/>
      <c r="B1065" s="33"/>
      <c r="C1065" s="33"/>
      <c r="D1065" s="33"/>
      <c r="E1065" s="33"/>
      <c r="F1065" s="33"/>
      <c r="G1065" s="33"/>
      <c r="H1065" s="33"/>
      <c r="I1065" s="33"/>
      <c r="J1065" s="30"/>
    </row>
    <row r="1066" spans="1:10" x14ac:dyDescent="0.15">
      <c r="A1066" s="111"/>
      <c r="B1066" s="33"/>
      <c r="C1066" s="33"/>
      <c r="D1066" s="33"/>
      <c r="E1066" s="33"/>
      <c r="F1066" s="33"/>
      <c r="G1066" s="33"/>
      <c r="H1066" s="33"/>
      <c r="I1066" s="33"/>
      <c r="J1066" s="30"/>
    </row>
    <row r="1067" spans="1:10" x14ac:dyDescent="0.15">
      <c r="A1067" s="111"/>
      <c r="B1067" s="33"/>
      <c r="C1067" s="33"/>
      <c r="D1067" s="33"/>
      <c r="E1067" s="33"/>
      <c r="F1067" s="33"/>
      <c r="G1067" s="33"/>
      <c r="H1067" s="33"/>
      <c r="I1067" s="33"/>
      <c r="J1067" s="30"/>
    </row>
    <row r="1068" spans="1:10" x14ac:dyDescent="0.15">
      <c r="A1068" s="111"/>
      <c r="B1068" s="33"/>
      <c r="C1068" s="33"/>
      <c r="D1068" s="33"/>
      <c r="E1068" s="33"/>
      <c r="F1068" s="33"/>
      <c r="G1068" s="33"/>
      <c r="H1068" s="33"/>
      <c r="I1068" s="33"/>
      <c r="J1068" s="30"/>
    </row>
    <row r="1069" spans="1:10" x14ac:dyDescent="0.15">
      <c r="A1069" s="111"/>
      <c r="B1069" s="33"/>
      <c r="C1069" s="33"/>
      <c r="D1069" s="33"/>
      <c r="E1069" s="33"/>
      <c r="F1069" s="33"/>
      <c r="G1069" s="33"/>
      <c r="H1069" s="33"/>
      <c r="I1069" s="33"/>
      <c r="J1069" s="30"/>
    </row>
    <row r="1070" spans="1:10" x14ac:dyDescent="0.15">
      <c r="A1070" s="111"/>
      <c r="B1070" s="33"/>
      <c r="C1070" s="33"/>
      <c r="D1070" s="33"/>
      <c r="E1070" s="33"/>
      <c r="F1070" s="33"/>
      <c r="G1070" s="33"/>
      <c r="H1070" s="33"/>
      <c r="I1070" s="33"/>
      <c r="J1070" s="30"/>
    </row>
    <row r="1071" spans="1:10" x14ac:dyDescent="0.15">
      <c r="A1071" s="111"/>
      <c r="B1071" s="33"/>
      <c r="C1071" s="33"/>
      <c r="D1071" s="33"/>
      <c r="E1071" s="33"/>
      <c r="F1071" s="33"/>
      <c r="G1071" s="33"/>
      <c r="H1071" s="33"/>
      <c r="I1071" s="33"/>
      <c r="J1071" s="30"/>
    </row>
    <row r="1072" spans="1:10" x14ac:dyDescent="0.15">
      <c r="A1072" s="111"/>
      <c r="B1072" s="33"/>
      <c r="C1072" s="33"/>
      <c r="D1072" s="33"/>
      <c r="E1072" s="33"/>
      <c r="F1072" s="33"/>
      <c r="G1072" s="33"/>
      <c r="H1072" s="33"/>
      <c r="I1072" s="33"/>
      <c r="J1072" s="30"/>
    </row>
    <row r="1073" spans="1:10" x14ac:dyDescent="0.15">
      <c r="A1073" s="111"/>
      <c r="B1073" s="33"/>
      <c r="C1073" s="33"/>
      <c r="D1073" s="33"/>
      <c r="E1073" s="33"/>
      <c r="F1073" s="33"/>
      <c r="G1073" s="33"/>
      <c r="H1073" s="33"/>
      <c r="I1073" s="33"/>
      <c r="J1073" s="30"/>
    </row>
    <row r="1074" spans="1:10" x14ac:dyDescent="0.15">
      <c r="A1074" s="111"/>
      <c r="B1074" s="33"/>
      <c r="C1074" s="33"/>
      <c r="D1074" s="33"/>
      <c r="E1074" s="33"/>
      <c r="F1074" s="33"/>
      <c r="G1074" s="33"/>
      <c r="H1074" s="33"/>
      <c r="I1074" s="33"/>
      <c r="J1074" s="30"/>
    </row>
    <row r="1075" spans="1:10" x14ac:dyDescent="0.15">
      <c r="A1075" s="111"/>
      <c r="B1075" s="33"/>
      <c r="C1075" s="33"/>
      <c r="D1075" s="33"/>
      <c r="E1075" s="33"/>
      <c r="F1075" s="33"/>
      <c r="G1075" s="33"/>
      <c r="H1075" s="33"/>
      <c r="I1075" s="33"/>
      <c r="J1075" s="30"/>
    </row>
    <row r="1076" spans="1:10" x14ac:dyDescent="0.15">
      <c r="A1076" s="111"/>
      <c r="B1076" s="33"/>
      <c r="C1076" s="33"/>
      <c r="D1076" s="33"/>
      <c r="E1076" s="33"/>
      <c r="F1076" s="33"/>
      <c r="G1076" s="33"/>
      <c r="H1076" s="33"/>
      <c r="I1076" s="33"/>
      <c r="J1076" s="30"/>
    </row>
    <row r="1077" spans="1:10" x14ac:dyDescent="0.15">
      <c r="A1077" s="111"/>
      <c r="B1077" s="33"/>
      <c r="C1077" s="33"/>
      <c r="D1077" s="33"/>
      <c r="E1077" s="33"/>
      <c r="F1077" s="33"/>
      <c r="G1077" s="33"/>
      <c r="H1077" s="33"/>
      <c r="I1077" s="33"/>
      <c r="J1077" s="30"/>
    </row>
    <row r="1078" spans="1:10" x14ac:dyDescent="0.15">
      <c r="A1078" s="111"/>
      <c r="B1078" s="33"/>
      <c r="C1078" s="33"/>
      <c r="D1078" s="33"/>
      <c r="E1078" s="33"/>
      <c r="F1078" s="33"/>
      <c r="G1078" s="33"/>
      <c r="H1078" s="33"/>
      <c r="I1078" s="33"/>
      <c r="J1078" s="30"/>
    </row>
    <row r="1079" spans="1:10" x14ac:dyDescent="0.15">
      <c r="A1079" s="111"/>
      <c r="B1079" s="33"/>
      <c r="C1079" s="33"/>
      <c r="D1079" s="33"/>
      <c r="E1079" s="33"/>
      <c r="F1079" s="33"/>
      <c r="G1079" s="33"/>
      <c r="H1079" s="33"/>
      <c r="I1079" s="33"/>
      <c r="J1079" s="30"/>
    </row>
    <row r="1080" spans="1:10" x14ac:dyDescent="0.15">
      <c r="A1080" s="111"/>
      <c r="B1080" s="33"/>
      <c r="C1080" s="33"/>
      <c r="D1080" s="33"/>
      <c r="E1080" s="33"/>
      <c r="F1080" s="33"/>
      <c r="G1080" s="33"/>
      <c r="H1080" s="33"/>
      <c r="I1080" s="33"/>
      <c r="J1080" s="30"/>
    </row>
    <row r="1081" spans="1:10" x14ac:dyDescent="0.15">
      <c r="A1081" s="111"/>
      <c r="B1081" s="33"/>
      <c r="C1081" s="33"/>
      <c r="D1081" s="33"/>
      <c r="E1081" s="33"/>
      <c r="F1081" s="33"/>
      <c r="G1081" s="33"/>
      <c r="H1081" s="33"/>
      <c r="I1081" s="33"/>
      <c r="J1081" s="30"/>
    </row>
    <row r="1082" spans="1:10" x14ac:dyDescent="0.15">
      <c r="A1082" s="111"/>
      <c r="B1082" s="33"/>
      <c r="C1082" s="33"/>
      <c r="D1082" s="33"/>
      <c r="E1082" s="33"/>
      <c r="F1082" s="33"/>
      <c r="G1082" s="33"/>
      <c r="H1082" s="33"/>
      <c r="I1082" s="33"/>
      <c r="J1082" s="30"/>
    </row>
    <row r="1083" spans="1:10" x14ac:dyDescent="0.15">
      <c r="A1083" s="111"/>
      <c r="B1083" s="33"/>
      <c r="C1083" s="33"/>
      <c r="D1083" s="33"/>
      <c r="E1083" s="33"/>
      <c r="F1083" s="33"/>
      <c r="G1083" s="33"/>
      <c r="H1083" s="33"/>
      <c r="I1083" s="33"/>
      <c r="J1083" s="30"/>
    </row>
    <row r="1084" spans="1:10" x14ac:dyDescent="0.15">
      <c r="A1084" s="111"/>
      <c r="B1084" s="33"/>
      <c r="C1084" s="33"/>
      <c r="D1084" s="33"/>
      <c r="E1084" s="33"/>
      <c r="F1084" s="33"/>
      <c r="G1084" s="33"/>
      <c r="H1084" s="33"/>
      <c r="I1084" s="33"/>
      <c r="J1084" s="30"/>
    </row>
    <row r="1085" spans="1:10" x14ac:dyDescent="0.15">
      <c r="A1085" s="111"/>
      <c r="B1085" s="33"/>
      <c r="C1085" s="33"/>
      <c r="D1085" s="33"/>
      <c r="E1085" s="33"/>
      <c r="F1085" s="33"/>
      <c r="G1085" s="33"/>
      <c r="H1085" s="33"/>
      <c r="I1085" s="33"/>
      <c r="J1085" s="30"/>
    </row>
    <row r="1086" spans="1:10" x14ac:dyDescent="0.15">
      <c r="A1086" s="111"/>
      <c r="B1086" s="33"/>
      <c r="C1086" s="33"/>
      <c r="D1086" s="33"/>
      <c r="E1086" s="33"/>
      <c r="F1086" s="33"/>
      <c r="G1086" s="33"/>
      <c r="H1086" s="33"/>
      <c r="I1086" s="33"/>
      <c r="J1086" s="30"/>
    </row>
    <row r="1087" spans="1:10" x14ac:dyDescent="0.15">
      <c r="A1087" s="111"/>
      <c r="B1087" s="33"/>
      <c r="C1087" s="33"/>
      <c r="D1087" s="33"/>
      <c r="E1087" s="33"/>
      <c r="F1087" s="33"/>
      <c r="G1087" s="33"/>
      <c r="H1087" s="33"/>
      <c r="I1087" s="33"/>
      <c r="J1087" s="30"/>
    </row>
    <row r="1088" spans="1:10" x14ac:dyDescent="0.15">
      <c r="A1088" s="111"/>
      <c r="B1088" s="33"/>
      <c r="C1088" s="33"/>
      <c r="D1088" s="33"/>
      <c r="E1088" s="33"/>
      <c r="F1088" s="33"/>
      <c r="G1088" s="33"/>
      <c r="H1088" s="33"/>
      <c r="I1088" s="33"/>
      <c r="J1088" s="30"/>
    </row>
    <row r="1089" spans="1:10" x14ac:dyDescent="0.15">
      <c r="A1089" s="111"/>
      <c r="B1089" s="33"/>
      <c r="C1089" s="33"/>
      <c r="D1089" s="33"/>
      <c r="E1089" s="33"/>
      <c r="F1089" s="33"/>
      <c r="G1089" s="33"/>
      <c r="H1089" s="33"/>
      <c r="I1089" s="33"/>
      <c r="J1089" s="30"/>
    </row>
    <row r="1090" spans="1:10" x14ac:dyDescent="0.15">
      <c r="A1090" s="111"/>
      <c r="B1090" s="33"/>
      <c r="C1090" s="33"/>
      <c r="D1090" s="33"/>
      <c r="E1090" s="33"/>
      <c r="F1090" s="33"/>
      <c r="G1090" s="33"/>
      <c r="H1090" s="33"/>
      <c r="I1090" s="33"/>
      <c r="J1090" s="30"/>
    </row>
    <row r="1091" spans="1:10" x14ac:dyDescent="0.15">
      <c r="A1091" s="111"/>
      <c r="B1091" s="33"/>
      <c r="C1091" s="33"/>
      <c r="D1091" s="33"/>
      <c r="E1091" s="33"/>
      <c r="F1091" s="33"/>
      <c r="G1091" s="33"/>
      <c r="H1091" s="33"/>
      <c r="I1091" s="33"/>
      <c r="J1091" s="30"/>
    </row>
    <row r="1092" spans="1:10" x14ac:dyDescent="0.15">
      <c r="A1092" s="111"/>
      <c r="B1092" s="33"/>
      <c r="C1092" s="33"/>
      <c r="D1092" s="33"/>
      <c r="E1092" s="33"/>
      <c r="F1092" s="33"/>
      <c r="G1092" s="33"/>
      <c r="H1092" s="33"/>
      <c r="I1092" s="33"/>
      <c r="J1092" s="30"/>
    </row>
    <row r="1093" spans="1:10" x14ac:dyDescent="0.15">
      <c r="A1093" s="111"/>
      <c r="B1093" s="33"/>
      <c r="C1093" s="33"/>
      <c r="D1093" s="33"/>
      <c r="E1093" s="33"/>
      <c r="F1093" s="33"/>
      <c r="G1093" s="33"/>
      <c r="H1093" s="33"/>
      <c r="I1093" s="33"/>
      <c r="J1093" s="30"/>
    </row>
    <row r="1094" spans="1:10" x14ac:dyDescent="0.15">
      <c r="A1094" s="111"/>
      <c r="B1094" s="33"/>
      <c r="C1094" s="33"/>
      <c r="D1094" s="33"/>
      <c r="E1094" s="33"/>
      <c r="F1094" s="33"/>
      <c r="G1094" s="33"/>
      <c r="H1094" s="33"/>
      <c r="I1094" s="33"/>
      <c r="J1094" s="30"/>
    </row>
    <row r="1095" spans="1:10" x14ac:dyDescent="0.15">
      <c r="A1095" s="111"/>
      <c r="B1095" s="33"/>
      <c r="C1095" s="33"/>
      <c r="D1095" s="33"/>
      <c r="E1095" s="33"/>
      <c r="F1095" s="33"/>
      <c r="G1095" s="33"/>
      <c r="H1095" s="33"/>
      <c r="I1095" s="33"/>
      <c r="J1095" s="30"/>
    </row>
    <row r="1096" spans="1:10" x14ac:dyDescent="0.15">
      <c r="A1096" s="111"/>
      <c r="B1096" s="33"/>
      <c r="C1096" s="33"/>
      <c r="D1096" s="33"/>
      <c r="E1096" s="33"/>
      <c r="F1096" s="33"/>
      <c r="G1096" s="33"/>
      <c r="H1096" s="33"/>
      <c r="I1096" s="33"/>
      <c r="J1096" s="30"/>
    </row>
    <row r="1097" spans="1:10" x14ac:dyDescent="0.15">
      <c r="A1097" s="111"/>
      <c r="B1097" s="33"/>
      <c r="C1097" s="33"/>
      <c r="D1097" s="33"/>
      <c r="E1097" s="33"/>
      <c r="F1097" s="33"/>
      <c r="G1097" s="33"/>
      <c r="H1097" s="33"/>
      <c r="I1097" s="33"/>
      <c r="J1097" s="30"/>
    </row>
    <row r="1098" spans="1:10" x14ac:dyDescent="0.15">
      <c r="A1098" s="111"/>
      <c r="B1098" s="33"/>
      <c r="C1098" s="33"/>
      <c r="D1098" s="33"/>
      <c r="E1098" s="33"/>
      <c r="F1098" s="33"/>
      <c r="G1098" s="33"/>
      <c r="H1098" s="33"/>
      <c r="I1098" s="33"/>
      <c r="J1098" s="30"/>
    </row>
    <row r="1099" spans="1:10" x14ac:dyDescent="0.15">
      <c r="A1099" s="111"/>
      <c r="B1099" s="33"/>
      <c r="C1099" s="33"/>
      <c r="D1099" s="33"/>
      <c r="E1099" s="33"/>
      <c r="F1099" s="33"/>
      <c r="G1099" s="33"/>
      <c r="H1099" s="33"/>
      <c r="I1099" s="33"/>
      <c r="J1099" s="30"/>
    </row>
    <row r="1100" spans="1:10" x14ac:dyDescent="0.15">
      <c r="A1100" s="111"/>
      <c r="B1100" s="33"/>
      <c r="C1100" s="33"/>
      <c r="D1100" s="33"/>
      <c r="E1100" s="33"/>
      <c r="F1100" s="33"/>
      <c r="G1100" s="33"/>
      <c r="H1100" s="33"/>
      <c r="I1100" s="33"/>
      <c r="J1100" s="30"/>
    </row>
    <row r="1101" spans="1:10" x14ac:dyDescent="0.15">
      <c r="A1101" s="111"/>
      <c r="B1101" s="33"/>
      <c r="C1101" s="33"/>
      <c r="D1101" s="33"/>
      <c r="E1101" s="33"/>
      <c r="F1101" s="33"/>
      <c r="G1101" s="33"/>
      <c r="H1101" s="33"/>
      <c r="I1101" s="33"/>
      <c r="J1101" s="30"/>
    </row>
    <row r="1102" spans="1:10" x14ac:dyDescent="0.15">
      <c r="A1102" s="111"/>
      <c r="B1102" s="33"/>
      <c r="C1102" s="33"/>
      <c r="D1102" s="33"/>
      <c r="E1102" s="33"/>
      <c r="F1102" s="33"/>
      <c r="G1102" s="33"/>
      <c r="H1102" s="33"/>
      <c r="I1102" s="33"/>
      <c r="J1102" s="30"/>
    </row>
    <row r="1103" spans="1:10" x14ac:dyDescent="0.15">
      <c r="A1103" s="111"/>
      <c r="B1103" s="33"/>
      <c r="C1103" s="33"/>
      <c r="D1103" s="33"/>
      <c r="E1103" s="33"/>
      <c r="F1103" s="33"/>
      <c r="G1103" s="33"/>
      <c r="H1103" s="33"/>
      <c r="I1103" s="33"/>
      <c r="J1103" s="30"/>
    </row>
    <row r="1104" spans="1:10" x14ac:dyDescent="0.15">
      <c r="A1104" s="111"/>
      <c r="B1104" s="33"/>
      <c r="C1104" s="33"/>
      <c r="D1104" s="33"/>
      <c r="E1104" s="33"/>
      <c r="F1104" s="33"/>
      <c r="G1104" s="33"/>
      <c r="H1104" s="33"/>
      <c r="I1104" s="33"/>
      <c r="J1104" s="30"/>
    </row>
    <row r="1105" spans="1:10" x14ac:dyDescent="0.15">
      <c r="A1105" s="111"/>
      <c r="B1105" s="33"/>
      <c r="C1105" s="33"/>
      <c r="D1105" s="33"/>
      <c r="E1105" s="33"/>
      <c r="F1105" s="33"/>
      <c r="G1105" s="33"/>
      <c r="H1105" s="33"/>
      <c r="I1105" s="33"/>
      <c r="J1105" s="30"/>
    </row>
    <row r="1106" spans="1:10" x14ac:dyDescent="0.15">
      <c r="A1106" s="111"/>
      <c r="B1106" s="33"/>
      <c r="C1106" s="33"/>
      <c r="D1106" s="33"/>
      <c r="E1106" s="33"/>
      <c r="F1106" s="33"/>
      <c r="G1106" s="33"/>
      <c r="H1106" s="33"/>
      <c r="I1106" s="33"/>
      <c r="J1106" s="30"/>
    </row>
    <row r="1107" spans="1:10" x14ac:dyDescent="0.15">
      <c r="A1107" s="111"/>
      <c r="B1107" s="33"/>
      <c r="C1107" s="33"/>
      <c r="D1107" s="33"/>
      <c r="E1107" s="33"/>
      <c r="F1107" s="33"/>
      <c r="G1107" s="33"/>
      <c r="H1107" s="33"/>
      <c r="I1107" s="33"/>
      <c r="J1107" s="30"/>
    </row>
    <row r="1108" spans="1:10" x14ac:dyDescent="0.15">
      <c r="A1108" s="111"/>
      <c r="B1108" s="33"/>
      <c r="C1108" s="33"/>
      <c r="D1108" s="33"/>
      <c r="E1108" s="33"/>
      <c r="F1108" s="33"/>
      <c r="G1108" s="33"/>
      <c r="H1108" s="33"/>
      <c r="I1108" s="33"/>
      <c r="J1108" s="30"/>
    </row>
    <row r="1109" spans="1:10" x14ac:dyDescent="0.15">
      <c r="A1109" s="111"/>
      <c r="B1109" s="33"/>
      <c r="C1109" s="33"/>
      <c r="D1109" s="33"/>
      <c r="E1109" s="33"/>
      <c r="F1109" s="33"/>
      <c r="G1109" s="33"/>
      <c r="H1109" s="33"/>
      <c r="I1109" s="33"/>
      <c r="J1109" s="30"/>
    </row>
    <row r="1110" spans="1:10" x14ac:dyDescent="0.15">
      <c r="A1110" s="111"/>
      <c r="B1110" s="33"/>
      <c r="C1110" s="33"/>
      <c r="D1110" s="33"/>
      <c r="E1110" s="33"/>
      <c r="F1110" s="33"/>
      <c r="G1110" s="33"/>
      <c r="H1110" s="33"/>
      <c r="I1110" s="33"/>
      <c r="J1110" s="30"/>
    </row>
    <row r="1111" spans="1:10" x14ac:dyDescent="0.15">
      <c r="A1111" s="111"/>
      <c r="B1111" s="33"/>
      <c r="C1111" s="33"/>
      <c r="D1111" s="33"/>
      <c r="E1111" s="33"/>
      <c r="F1111" s="33"/>
      <c r="G1111" s="33"/>
      <c r="H1111" s="33"/>
      <c r="I1111" s="33"/>
      <c r="J1111" s="30"/>
    </row>
    <row r="1112" spans="1:10" x14ac:dyDescent="0.15">
      <c r="A1112" s="111"/>
      <c r="B1112" s="33"/>
      <c r="C1112" s="33"/>
      <c r="D1112" s="33"/>
      <c r="E1112" s="33"/>
      <c r="F1112" s="33"/>
      <c r="G1112" s="33"/>
      <c r="H1112" s="33"/>
      <c r="I1112" s="33"/>
      <c r="J1112" s="30"/>
    </row>
    <row r="1113" spans="1:10" x14ac:dyDescent="0.15">
      <c r="A1113" s="111"/>
      <c r="B1113" s="33"/>
      <c r="C1113" s="33"/>
      <c r="D1113" s="33"/>
      <c r="E1113" s="33"/>
      <c r="F1113" s="33"/>
      <c r="G1113" s="33"/>
      <c r="H1113" s="33"/>
      <c r="I1113" s="33"/>
      <c r="J1113" s="30"/>
    </row>
    <row r="1114" spans="1:10" x14ac:dyDescent="0.15">
      <c r="A1114" s="111"/>
      <c r="B1114" s="33"/>
      <c r="C1114" s="33"/>
      <c r="D1114" s="33"/>
      <c r="E1114" s="33"/>
      <c r="F1114" s="33"/>
      <c r="G1114" s="33"/>
      <c r="H1114" s="33"/>
      <c r="I1114" s="33"/>
      <c r="J1114" s="30"/>
    </row>
    <row r="1115" spans="1:10" x14ac:dyDescent="0.15">
      <c r="A1115" s="111"/>
      <c r="B1115" s="33"/>
      <c r="C1115" s="33"/>
      <c r="D1115" s="33"/>
      <c r="E1115" s="33"/>
      <c r="F1115" s="33"/>
      <c r="G1115" s="33"/>
      <c r="H1115" s="33"/>
      <c r="I1115" s="33"/>
      <c r="J1115" s="30"/>
    </row>
    <row r="1116" spans="1:10" x14ac:dyDescent="0.15">
      <c r="A1116" s="111"/>
      <c r="B1116" s="33"/>
      <c r="C1116" s="33"/>
      <c r="D1116" s="33"/>
      <c r="E1116" s="33"/>
      <c r="F1116" s="33"/>
      <c r="G1116" s="33"/>
      <c r="H1116" s="33"/>
      <c r="I1116" s="33"/>
      <c r="J1116" s="30"/>
    </row>
    <row r="1117" spans="1:10" x14ac:dyDescent="0.15">
      <c r="A1117" s="111"/>
      <c r="B1117" s="33"/>
      <c r="C1117" s="33"/>
      <c r="D1117" s="33"/>
      <c r="E1117" s="33"/>
      <c r="F1117" s="33"/>
      <c r="G1117" s="33"/>
      <c r="H1117" s="33"/>
      <c r="I1117" s="33"/>
      <c r="J1117" s="30"/>
    </row>
    <row r="1118" spans="1:10" x14ac:dyDescent="0.15">
      <c r="A1118" s="111"/>
      <c r="B1118" s="33"/>
      <c r="C1118" s="33"/>
      <c r="D1118" s="33"/>
      <c r="E1118" s="33"/>
      <c r="F1118" s="33"/>
      <c r="G1118" s="33"/>
      <c r="H1118" s="33"/>
      <c r="I1118" s="33"/>
      <c r="J1118" s="30"/>
    </row>
    <row r="1119" spans="1:10" x14ac:dyDescent="0.15">
      <c r="A1119" s="111"/>
      <c r="B1119" s="33"/>
      <c r="C1119" s="33"/>
      <c r="D1119" s="33"/>
      <c r="E1119" s="33"/>
      <c r="F1119" s="33"/>
      <c r="G1119" s="33"/>
      <c r="H1119" s="33"/>
      <c r="I1119" s="33"/>
      <c r="J1119" s="30"/>
    </row>
    <row r="1120" spans="1:10" x14ac:dyDescent="0.15">
      <c r="A1120" s="111"/>
      <c r="B1120" s="33"/>
      <c r="C1120" s="33"/>
      <c r="D1120" s="33"/>
      <c r="E1120" s="33"/>
      <c r="F1120" s="33"/>
      <c r="G1120" s="33"/>
      <c r="H1120" s="33"/>
      <c r="I1120" s="33"/>
      <c r="J1120" s="30"/>
    </row>
    <row r="1121" spans="1:10" x14ac:dyDescent="0.15">
      <c r="A1121" s="111"/>
      <c r="B1121" s="33"/>
      <c r="C1121" s="33"/>
      <c r="D1121" s="33"/>
      <c r="E1121" s="33"/>
      <c r="F1121" s="33"/>
      <c r="G1121" s="33"/>
      <c r="H1121" s="33"/>
      <c r="I1121" s="33"/>
      <c r="J1121" s="30"/>
    </row>
    <row r="1122" spans="1:10" x14ac:dyDescent="0.15">
      <c r="A1122" s="111"/>
      <c r="B1122" s="33"/>
      <c r="C1122" s="33"/>
      <c r="D1122" s="33"/>
      <c r="E1122" s="33"/>
      <c r="F1122" s="33"/>
      <c r="G1122" s="33"/>
      <c r="H1122" s="33"/>
      <c r="I1122" s="33"/>
      <c r="J1122" s="30"/>
    </row>
    <row r="1123" spans="1:10" x14ac:dyDescent="0.15">
      <c r="A1123" s="111"/>
      <c r="B1123" s="33"/>
      <c r="C1123" s="33"/>
      <c r="D1123" s="33"/>
      <c r="E1123" s="33"/>
      <c r="F1123" s="33"/>
      <c r="G1123" s="33"/>
      <c r="H1123" s="33"/>
      <c r="I1123" s="33"/>
      <c r="J1123" s="30"/>
    </row>
    <row r="1124" spans="1:10" x14ac:dyDescent="0.15">
      <c r="A1124" s="111"/>
      <c r="B1124" s="33"/>
      <c r="C1124" s="33"/>
      <c r="D1124" s="33"/>
      <c r="E1124" s="33"/>
      <c r="F1124" s="33"/>
      <c r="G1124" s="33"/>
      <c r="H1124" s="33"/>
      <c r="I1124" s="33"/>
      <c r="J1124" s="30"/>
    </row>
    <row r="1125" spans="1:10" x14ac:dyDescent="0.15">
      <c r="A1125" s="111"/>
      <c r="B1125" s="33"/>
      <c r="C1125" s="33"/>
      <c r="D1125" s="33"/>
      <c r="E1125" s="33"/>
      <c r="F1125" s="33"/>
      <c r="G1125" s="33"/>
      <c r="H1125" s="33"/>
      <c r="I1125" s="33"/>
      <c r="J1125" s="30"/>
    </row>
    <row r="1126" spans="1:10" x14ac:dyDescent="0.15">
      <c r="A1126" s="111"/>
      <c r="B1126" s="33"/>
      <c r="C1126" s="33"/>
      <c r="D1126" s="33"/>
      <c r="E1126" s="33"/>
      <c r="F1126" s="33"/>
      <c r="G1126" s="33"/>
      <c r="H1126" s="33"/>
      <c r="I1126" s="33"/>
      <c r="J1126" s="30"/>
    </row>
    <row r="1127" spans="1:10" x14ac:dyDescent="0.15">
      <c r="A1127" s="111"/>
      <c r="B1127" s="33"/>
      <c r="C1127" s="33"/>
      <c r="D1127" s="33"/>
      <c r="E1127" s="33"/>
      <c r="F1127" s="33"/>
      <c r="G1127" s="33"/>
      <c r="H1127" s="33"/>
      <c r="I1127" s="33"/>
      <c r="J1127" s="30"/>
    </row>
    <row r="1128" spans="1:10" x14ac:dyDescent="0.15">
      <c r="A1128" s="111"/>
      <c r="B1128" s="33"/>
      <c r="C1128" s="33"/>
      <c r="D1128" s="33"/>
      <c r="E1128" s="33"/>
      <c r="F1128" s="33"/>
      <c r="G1128" s="33"/>
      <c r="H1128" s="33"/>
      <c r="I1128" s="33"/>
      <c r="J1128" s="30"/>
    </row>
    <row r="1129" spans="1:10" x14ac:dyDescent="0.15">
      <c r="A1129" s="111"/>
      <c r="B1129" s="33"/>
      <c r="C1129" s="33"/>
      <c r="D1129" s="33"/>
      <c r="E1129" s="33"/>
      <c r="F1129" s="33"/>
      <c r="G1129" s="33"/>
      <c r="H1129" s="33"/>
      <c r="I1129" s="33"/>
      <c r="J1129" s="30"/>
    </row>
    <row r="1130" spans="1:10" x14ac:dyDescent="0.15">
      <c r="A1130" s="111"/>
      <c r="B1130" s="33"/>
      <c r="C1130" s="33"/>
      <c r="D1130" s="33"/>
      <c r="E1130" s="33"/>
      <c r="F1130" s="33"/>
      <c r="G1130" s="33"/>
      <c r="H1130" s="33"/>
      <c r="I1130" s="33"/>
      <c r="J1130" s="30"/>
    </row>
    <row r="1131" spans="1:10" x14ac:dyDescent="0.15">
      <c r="A1131" s="111"/>
      <c r="B1131" s="33"/>
      <c r="C1131" s="33"/>
      <c r="D1131" s="33"/>
      <c r="E1131" s="33"/>
      <c r="F1131" s="33"/>
      <c r="G1131" s="33"/>
      <c r="H1131" s="33"/>
      <c r="I1131" s="33"/>
      <c r="J1131" s="30"/>
    </row>
    <row r="1132" spans="1:10" x14ac:dyDescent="0.15">
      <c r="A1132" s="111"/>
      <c r="B1132" s="33"/>
      <c r="C1132" s="33"/>
      <c r="D1132" s="33"/>
      <c r="E1132" s="33"/>
      <c r="F1132" s="33"/>
      <c r="G1132" s="33"/>
      <c r="H1132" s="33"/>
      <c r="I1132" s="33"/>
      <c r="J1132" s="30"/>
    </row>
    <row r="1133" spans="1:10" x14ac:dyDescent="0.15">
      <c r="A1133" s="111"/>
      <c r="B1133" s="33"/>
      <c r="C1133" s="33"/>
      <c r="D1133" s="33"/>
      <c r="E1133" s="33"/>
      <c r="F1133" s="33"/>
      <c r="G1133" s="33"/>
      <c r="H1133" s="33"/>
      <c r="I1133" s="33"/>
      <c r="J1133" s="30"/>
    </row>
    <row r="1134" spans="1:10" x14ac:dyDescent="0.15">
      <c r="A1134" s="111"/>
      <c r="B1134" s="33"/>
      <c r="C1134" s="33"/>
      <c r="D1134" s="33"/>
      <c r="E1134" s="33"/>
      <c r="F1134" s="33"/>
      <c r="G1134" s="33"/>
      <c r="H1134" s="33"/>
      <c r="I1134" s="33"/>
      <c r="J1134" s="30"/>
    </row>
    <row r="1135" spans="1:10" x14ac:dyDescent="0.15">
      <c r="A1135" s="111"/>
      <c r="B1135" s="33"/>
      <c r="C1135" s="33"/>
      <c r="D1135" s="33"/>
      <c r="E1135" s="33"/>
      <c r="F1135" s="33"/>
      <c r="G1135" s="33"/>
      <c r="H1135" s="33"/>
      <c r="I1135" s="33"/>
      <c r="J1135" s="30"/>
    </row>
    <row r="1136" spans="1:10" x14ac:dyDescent="0.15">
      <c r="A1136" s="111"/>
      <c r="B1136" s="33"/>
      <c r="C1136" s="33"/>
      <c r="D1136" s="33"/>
      <c r="E1136" s="33"/>
      <c r="F1136" s="33"/>
      <c r="G1136" s="33"/>
      <c r="H1136" s="33"/>
      <c r="I1136" s="33"/>
      <c r="J1136" s="30"/>
    </row>
    <row r="1137" spans="1:10" x14ac:dyDescent="0.15">
      <c r="A1137" s="111"/>
      <c r="B1137" s="33"/>
      <c r="C1137" s="33"/>
      <c r="D1137" s="33"/>
      <c r="E1137" s="33"/>
      <c r="F1137" s="33"/>
      <c r="G1137" s="33"/>
      <c r="H1137" s="33"/>
      <c r="I1137" s="33"/>
      <c r="J1137" s="30"/>
    </row>
    <row r="1138" spans="1:10" x14ac:dyDescent="0.15">
      <c r="A1138" s="111"/>
      <c r="B1138" s="33"/>
      <c r="C1138" s="33"/>
      <c r="D1138" s="33"/>
      <c r="E1138" s="33"/>
      <c r="F1138" s="33"/>
      <c r="G1138" s="33"/>
      <c r="H1138" s="33"/>
      <c r="I1138" s="33"/>
      <c r="J1138" s="30"/>
    </row>
    <row r="1139" spans="1:10" x14ac:dyDescent="0.15">
      <c r="A1139" s="111"/>
      <c r="B1139" s="33"/>
      <c r="C1139" s="33"/>
      <c r="D1139" s="33"/>
      <c r="E1139" s="33"/>
      <c r="F1139" s="33"/>
      <c r="G1139" s="33"/>
      <c r="H1139" s="33"/>
      <c r="I1139" s="33"/>
      <c r="J1139" s="30"/>
    </row>
    <row r="1140" spans="1:10" x14ac:dyDescent="0.15">
      <c r="A1140" s="111"/>
      <c r="B1140" s="33"/>
      <c r="C1140" s="33"/>
      <c r="D1140" s="33"/>
      <c r="E1140" s="33"/>
      <c r="F1140" s="33"/>
      <c r="G1140" s="33"/>
      <c r="H1140" s="33"/>
      <c r="I1140" s="33"/>
      <c r="J1140" s="30"/>
    </row>
    <row r="1141" spans="1:10" x14ac:dyDescent="0.15">
      <c r="A1141" s="111"/>
      <c r="B1141" s="33"/>
      <c r="C1141" s="33"/>
      <c r="D1141" s="33"/>
      <c r="E1141" s="33"/>
      <c r="F1141" s="33"/>
      <c r="G1141" s="33"/>
      <c r="H1141" s="33"/>
      <c r="I1141" s="33"/>
      <c r="J1141" s="30"/>
    </row>
    <row r="1142" spans="1:10" x14ac:dyDescent="0.15">
      <c r="A1142" s="111"/>
      <c r="B1142" s="33"/>
      <c r="C1142" s="33"/>
      <c r="D1142" s="33"/>
      <c r="E1142" s="33"/>
      <c r="F1142" s="33"/>
      <c r="G1142" s="33"/>
      <c r="H1142" s="33"/>
      <c r="I1142" s="33"/>
      <c r="J1142" s="30"/>
    </row>
    <row r="1143" spans="1:10" x14ac:dyDescent="0.15">
      <c r="A1143" s="111"/>
      <c r="B1143" s="33"/>
      <c r="C1143" s="33"/>
      <c r="D1143" s="33"/>
      <c r="E1143" s="33"/>
      <c r="F1143" s="33"/>
      <c r="G1143" s="33"/>
      <c r="H1143" s="33"/>
      <c r="I1143" s="33"/>
      <c r="J1143" s="30"/>
    </row>
    <row r="1144" spans="1:10" x14ac:dyDescent="0.15">
      <c r="A1144" s="111"/>
      <c r="B1144" s="33"/>
      <c r="C1144" s="33"/>
      <c r="D1144" s="33"/>
      <c r="E1144" s="33"/>
      <c r="F1144" s="33"/>
      <c r="G1144" s="33"/>
      <c r="H1144" s="33"/>
      <c r="I1144" s="33"/>
      <c r="J1144" s="30"/>
    </row>
    <row r="1145" spans="1:10" x14ac:dyDescent="0.15">
      <c r="A1145" s="111"/>
      <c r="B1145" s="33"/>
      <c r="C1145" s="33"/>
      <c r="D1145" s="33"/>
      <c r="E1145" s="33"/>
      <c r="F1145" s="33"/>
      <c r="G1145" s="33"/>
      <c r="H1145" s="33"/>
      <c r="I1145" s="33"/>
      <c r="J1145" s="30"/>
    </row>
    <row r="1146" spans="1:10" x14ac:dyDescent="0.15">
      <c r="A1146" s="111"/>
      <c r="B1146" s="33"/>
      <c r="C1146" s="33"/>
      <c r="D1146" s="33"/>
      <c r="E1146" s="33"/>
      <c r="F1146" s="33"/>
      <c r="G1146" s="33"/>
      <c r="H1146" s="33"/>
      <c r="I1146" s="33"/>
      <c r="J1146" s="30"/>
    </row>
    <row r="1147" spans="1:10" x14ac:dyDescent="0.15">
      <c r="A1147" s="111"/>
      <c r="B1147" s="33"/>
      <c r="C1147" s="33"/>
      <c r="D1147" s="33"/>
      <c r="E1147" s="33"/>
      <c r="F1147" s="33"/>
      <c r="G1147" s="33"/>
      <c r="H1147" s="33"/>
      <c r="I1147" s="33"/>
      <c r="J1147" s="30"/>
    </row>
    <row r="1148" spans="1:10" x14ac:dyDescent="0.15">
      <c r="A1148" s="111"/>
      <c r="B1148" s="33"/>
      <c r="C1148" s="33"/>
      <c r="D1148" s="33"/>
      <c r="E1148" s="33"/>
      <c r="F1148" s="33"/>
      <c r="G1148" s="33"/>
      <c r="H1148" s="33"/>
      <c r="I1148" s="33"/>
      <c r="J1148" s="30"/>
    </row>
    <row r="1149" spans="1:10" x14ac:dyDescent="0.15">
      <c r="A1149" s="111"/>
      <c r="B1149" s="33"/>
      <c r="C1149" s="33"/>
      <c r="D1149" s="33"/>
      <c r="E1149" s="33"/>
      <c r="F1149" s="33"/>
      <c r="G1149" s="33"/>
      <c r="H1149" s="33"/>
      <c r="I1149" s="33"/>
      <c r="J1149" s="30"/>
    </row>
    <row r="1150" spans="1:10" x14ac:dyDescent="0.15">
      <c r="A1150" s="111"/>
      <c r="B1150" s="33"/>
      <c r="C1150" s="33"/>
      <c r="D1150" s="33"/>
      <c r="E1150" s="33"/>
      <c r="F1150" s="33"/>
      <c r="G1150" s="33"/>
      <c r="H1150" s="33"/>
      <c r="I1150" s="33"/>
      <c r="J1150" s="30"/>
    </row>
    <row r="1151" spans="1:10" x14ac:dyDescent="0.15">
      <c r="A1151" s="111"/>
      <c r="B1151" s="33"/>
      <c r="C1151" s="33"/>
      <c r="D1151" s="33"/>
      <c r="E1151" s="33"/>
      <c r="F1151" s="33"/>
      <c r="G1151" s="33"/>
      <c r="H1151" s="33"/>
      <c r="I1151" s="33"/>
      <c r="J1151" s="30"/>
    </row>
    <row r="1152" spans="1:10" x14ac:dyDescent="0.15">
      <c r="A1152" s="111"/>
      <c r="B1152" s="33"/>
      <c r="C1152" s="33"/>
      <c r="D1152" s="33"/>
      <c r="E1152" s="33"/>
      <c r="F1152" s="33"/>
      <c r="G1152" s="33"/>
      <c r="H1152" s="33"/>
      <c r="I1152" s="33"/>
      <c r="J1152" s="30"/>
    </row>
    <row r="1153" spans="1:10" x14ac:dyDescent="0.15">
      <c r="A1153" s="111"/>
      <c r="B1153" s="33"/>
      <c r="C1153" s="33"/>
      <c r="D1153" s="33"/>
      <c r="E1153" s="33"/>
      <c r="F1153" s="33"/>
      <c r="G1153" s="33"/>
      <c r="H1153" s="33"/>
      <c r="I1153" s="33"/>
      <c r="J1153" s="30"/>
    </row>
    <row r="1154" spans="1:10" x14ac:dyDescent="0.15">
      <c r="A1154" s="111"/>
      <c r="B1154" s="33"/>
      <c r="C1154" s="33"/>
      <c r="D1154" s="33"/>
      <c r="E1154" s="33"/>
      <c r="F1154" s="33"/>
      <c r="G1154" s="33"/>
      <c r="H1154" s="33"/>
      <c r="I1154" s="33"/>
      <c r="J1154" s="30"/>
    </row>
    <row r="1155" spans="1:10" x14ac:dyDescent="0.15">
      <c r="A1155" s="111"/>
      <c r="B1155" s="33"/>
      <c r="C1155" s="33"/>
      <c r="D1155" s="33"/>
      <c r="E1155" s="33"/>
      <c r="F1155" s="33"/>
      <c r="G1155" s="33"/>
      <c r="H1155" s="33"/>
      <c r="I1155" s="33"/>
      <c r="J1155" s="30"/>
    </row>
    <row r="1156" spans="1:10" x14ac:dyDescent="0.15">
      <c r="A1156" s="111"/>
      <c r="B1156" s="33"/>
      <c r="C1156" s="33"/>
      <c r="D1156" s="33"/>
      <c r="E1156" s="33"/>
      <c r="F1156" s="33"/>
      <c r="G1156" s="33"/>
      <c r="H1156" s="33"/>
      <c r="I1156" s="33"/>
      <c r="J1156" s="30"/>
    </row>
    <row r="1157" spans="1:10" x14ac:dyDescent="0.15">
      <c r="A1157" s="111"/>
      <c r="B1157" s="33"/>
      <c r="C1157" s="33"/>
      <c r="D1157" s="33"/>
      <c r="E1157" s="33"/>
      <c r="F1157" s="33"/>
      <c r="G1157" s="33"/>
      <c r="H1157" s="33"/>
      <c r="I1157" s="33"/>
      <c r="J1157" s="30"/>
    </row>
    <row r="1158" spans="1:10" x14ac:dyDescent="0.15">
      <c r="A1158" s="111"/>
      <c r="B1158" s="33"/>
      <c r="C1158" s="33"/>
      <c r="D1158" s="33"/>
      <c r="E1158" s="33"/>
      <c r="F1158" s="33"/>
      <c r="G1158" s="33"/>
      <c r="H1158" s="33"/>
      <c r="I1158" s="33"/>
      <c r="J1158" s="30"/>
    </row>
    <row r="1159" spans="1:10" x14ac:dyDescent="0.15">
      <c r="A1159" s="111"/>
      <c r="B1159" s="33"/>
      <c r="C1159" s="33"/>
      <c r="D1159" s="33"/>
      <c r="E1159" s="33"/>
      <c r="F1159" s="33"/>
      <c r="G1159" s="33"/>
      <c r="H1159" s="33"/>
      <c r="I1159" s="33"/>
      <c r="J1159" s="30"/>
    </row>
    <row r="1160" spans="1:10" x14ac:dyDescent="0.15">
      <c r="A1160" s="111"/>
      <c r="B1160" s="33"/>
      <c r="C1160" s="33"/>
      <c r="D1160" s="33"/>
      <c r="E1160" s="33"/>
      <c r="F1160" s="33"/>
      <c r="G1160" s="33"/>
      <c r="H1160" s="33"/>
      <c r="I1160" s="33"/>
      <c r="J1160" s="30"/>
    </row>
    <row r="1161" spans="1:10" x14ac:dyDescent="0.15">
      <c r="A1161" s="111"/>
      <c r="B1161" s="33"/>
      <c r="C1161" s="33"/>
      <c r="D1161" s="33"/>
      <c r="E1161" s="33"/>
      <c r="F1161" s="33"/>
      <c r="G1161" s="33"/>
      <c r="H1161" s="33"/>
      <c r="I1161" s="33"/>
      <c r="J1161" s="30"/>
    </row>
    <row r="1162" spans="1:10" x14ac:dyDescent="0.15">
      <c r="A1162" s="111"/>
      <c r="B1162" s="33"/>
      <c r="C1162" s="33"/>
      <c r="D1162" s="33"/>
      <c r="E1162" s="33"/>
      <c r="F1162" s="33"/>
      <c r="G1162" s="33"/>
      <c r="H1162" s="33"/>
      <c r="I1162" s="33"/>
      <c r="J1162" s="30"/>
    </row>
    <row r="1163" spans="1:10" x14ac:dyDescent="0.15">
      <c r="A1163" s="111"/>
      <c r="B1163" s="33"/>
      <c r="C1163" s="33"/>
      <c r="D1163" s="33"/>
      <c r="E1163" s="33"/>
      <c r="F1163" s="33"/>
      <c r="G1163" s="33"/>
      <c r="H1163" s="33"/>
      <c r="I1163" s="33"/>
      <c r="J1163" s="30"/>
    </row>
    <row r="1164" spans="1:10" x14ac:dyDescent="0.15">
      <c r="A1164" s="111"/>
      <c r="B1164" s="33"/>
      <c r="C1164" s="33"/>
      <c r="D1164" s="33"/>
      <c r="E1164" s="33"/>
      <c r="F1164" s="33"/>
      <c r="G1164" s="33"/>
      <c r="H1164" s="33"/>
      <c r="I1164" s="33"/>
      <c r="J1164" s="30"/>
    </row>
    <row r="1165" spans="1:10" x14ac:dyDescent="0.15">
      <c r="A1165" s="111"/>
      <c r="B1165" s="33"/>
      <c r="C1165" s="33"/>
      <c r="D1165" s="33"/>
      <c r="E1165" s="33"/>
      <c r="F1165" s="33"/>
      <c r="G1165" s="33"/>
      <c r="H1165" s="33"/>
      <c r="I1165" s="33"/>
      <c r="J1165" s="30"/>
    </row>
    <row r="1166" spans="1:10" x14ac:dyDescent="0.15">
      <c r="A1166" s="111"/>
      <c r="B1166" s="33"/>
      <c r="C1166" s="33"/>
      <c r="D1166" s="33"/>
      <c r="E1166" s="33"/>
      <c r="F1166" s="33"/>
      <c r="G1166" s="33"/>
      <c r="H1166" s="33"/>
      <c r="I1166" s="33"/>
      <c r="J1166" s="30"/>
    </row>
    <row r="1167" spans="1:10" x14ac:dyDescent="0.15">
      <c r="A1167" s="111"/>
      <c r="B1167" s="33"/>
      <c r="C1167" s="33"/>
      <c r="D1167" s="33"/>
      <c r="E1167" s="33"/>
      <c r="F1167" s="33"/>
      <c r="G1167" s="33"/>
      <c r="H1167" s="33"/>
      <c r="I1167" s="33"/>
      <c r="J1167" s="30"/>
    </row>
    <row r="1168" spans="1:10" x14ac:dyDescent="0.15">
      <c r="A1168" s="111"/>
      <c r="B1168" s="33"/>
      <c r="C1168" s="33"/>
      <c r="D1168" s="33"/>
      <c r="E1168" s="33"/>
      <c r="F1168" s="33"/>
      <c r="G1168" s="33"/>
      <c r="H1168" s="33"/>
      <c r="I1168" s="33"/>
      <c r="J1168" s="30"/>
    </row>
    <row r="1169" spans="1:10" x14ac:dyDescent="0.15">
      <c r="A1169" s="111"/>
      <c r="B1169" s="33"/>
      <c r="C1169" s="33"/>
      <c r="D1169" s="33"/>
      <c r="E1169" s="33"/>
      <c r="F1169" s="33"/>
      <c r="G1169" s="33"/>
      <c r="H1169" s="33"/>
      <c r="I1169" s="33"/>
      <c r="J1169" s="30"/>
    </row>
    <row r="1170" spans="1:10" x14ac:dyDescent="0.15">
      <c r="A1170" s="111"/>
      <c r="B1170" s="33"/>
      <c r="C1170" s="33"/>
      <c r="D1170" s="33"/>
      <c r="E1170" s="33"/>
      <c r="F1170" s="33"/>
      <c r="G1170" s="33"/>
      <c r="H1170" s="33"/>
      <c r="I1170" s="33"/>
      <c r="J1170" s="30"/>
    </row>
    <row r="1171" spans="1:10" x14ac:dyDescent="0.15">
      <c r="A1171" s="111"/>
      <c r="B1171" s="33"/>
      <c r="C1171" s="33"/>
      <c r="D1171" s="33"/>
      <c r="E1171" s="33"/>
      <c r="F1171" s="33"/>
      <c r="G1171" s="33"/>
      <c r="H1171" s="33"/>
      <c r="I1171" s="33"/>
      <c r="J1171" s="30"/>
    </row>
    <row r="1172" spans="1:10" x14ac:dyDescent="0.15">
      <c r="A1172" s="111"/>
      <c r="B1172" s="33"/>
      <c r="C1172" s="33"/>
      <c r="D1172" s="33"/>
      <c r="E1172" s="33"/>
      <c r="F1172" s="33"/>
      <c r="G1172" s="33"/>
      <c r="H1172" s="33"/>
      <c r="I1172" s="33"/>
      <c r="J1172" s="30"/>
    </row>
    <row r="1173" spans="1:10" x14ac:dyDescent="0.15">
      <c r="A1173" s="111"/>
      <c r="B1173" s="33"/>
      <c r="C1173" s="33"/>
      <c r="D1173" s="33"/>
      <c r="E1173" s="33"/>
      <c r="F1173" s="33"/>
      <c r="G1173" s="33"/>
      <c r="H1173" s="33"/>
      <c r="I1173" s="33"/>
      <c r="J1173" s="30"/>
    </row>
    <row r="1174" spans="1:10" x14ac:dyDescent="0.15">
      <c r="A1174" s="111"/>
      <c r="B1174" s="33"/>
      <c r="C1174" s="33"/>
      <c r="D1174" s="33"/>
      <c r="E1174" s="33"/>
      <c r="F1174" s="33"/>
      <c r="G1174" s="33"/>
      <c r="H1174" s="33"/>
      <c r="I1174" s="33"/>
      <c r="J1174" s="30"/>
    </row>
    <row r="1175" spans="1:10" x14ac:dyDescent="0.15">
      <c r="A1175" s="111"/>
      <c r="B1175" s="33"/>
      <c r="C1175" s="33"/>
      <c r="D1175" s="33"/>
      <c r="E1175" s="33"/>
      <c r="F1175" s="33"/>
      <c r="G1175" s="33"/>
      <c r="H1175" s="33"/>
      <c r="I1175" s="33"/>
      <c r="J1175" s="30"/>
    </row>
    <row r="1176" spans="1:10" x14ac:dyDescent="0.15">
      <c r="A1176" s="111"/>
      <c r="B1176" s="33"/>
      <c r="C1176" s="33"/>
      <c r="D1176" s="33"/>
      <c r="E1176" s="33"/>
      <c r="F1176" s="33"/>
      <c r="G1176" s="33"/>
      <c r="H1176" s="33"/>
      <c r="I1176" s="33"/>
      <c r="J1176" s="30"/>
    </row>
    <row r="1177" spans="1:10" x14ac:dyDescent="0.15">
      <c r="A1177" s="111"/>
      <c r="B1177" s="33"/>
      <c r="C1177" s="33"/>
      <c r="D1177" s="33"/>
      <c r="E1177" s="33"/>
      <c r="F1177" s="33"/>
      <c r="G1177" s="33"/>
      <c r="H1177" s="33"/>
      <c r="I1177" s="33"/>
      <c r="J1177" s="30"/>
    </row>
    <row r="1178" spans="1:10" x14ac:dyDescent="0.15">
      <c r="A1178" s="111"/>
      <c r="B1178" s="33"/>
      <c r="C1178" s="33"/>
      <c r="D1178" s="33"/>
      <c r="E1178" s="33"/>
      <c r="F1178" s="33"/>
      <c r="G1178" s="33"/>
      <c r="H1178" s="33"/>
      <c r="I1178" s="33"/>
      <c r="J1178" s="30"/>
    </row>
    <row r="1179" spans="1:10" x14ac:dyDescent="0.15">
      <c r="A1179" s="111"/>
      <c r="B1179" s="33"/>
      <c r="C1179" s="33"/>
      <c r="D1179" s="33"/>
      <c r="E1179" s="33"/>
      <c r="F1179" s="33"/>
      <c r="G1179" s="33"/>
      <c r="H1179" s="33"/>
      <c r="I1179" s="33"/>
      <c r="J1179" s="30"/>
    </row>
    <row r="1180" spans="1:10" x14ac:dyDescent="0.15">
      <c r="A1180" s="111"/>
      <c r="B1180" s="33"/>
      <c r="C1180" s="33"/>
      <c r="D1180" s="33"/>
      <c r="E1180" s="33"/>
      <c r="F1180" s="33"/>
      <c r="G1180" s="33"/>
      <c r="H1180" s="33"/>
      <c r="I1180" s="33"/>
      <c r="J1180" s="30"/>
    </row>
    <row r="1181" spans="1:10" x14ac:dyDescent="0.15">
      <c r="A1181" s="111"/>
      <c r="B1181" s="33"/>
      <c r="C1181" s="33"/>
      <c r="D1181" s="33"/>
      <c r="E1181" s="33"/>
      <c r="F1181" s="33"/>
      <c r="G1181" s="33"/>
      <c r="H1181" s="33"/>
      <c r="I1181" s="33"/>
      <c r="J1181" s="30"/>
    </row>
    <row r="1182" spans="1:10" x14ac:dyDescent="0.15">
      <c r="A1182" s="111"/>
      <c r="B1182" s="33"/>
      <c r="C1182" s="33"/>
      <c r="D1182" s="33"/>
      <c r="E1182" s="33"/>
      <c r="F1182" s="33"/>
      <c r="G1182" s="33"/>
      <c r="H1182" s="33"/>
      <c r="I1182" s="33"/>
      <c r="J1182" s="30"/>
    </row>
    <row r="1183" spans="1:10" x14ac:dyDescent="0.15">
      <c r="A1183" s="111"/>
      <c r="B1183" s="33"/>
      <c r="C1183" s="33"/>
      <c r="D1183" s="33"/>
      <c r="E1183" s="33"/>
      <c r="F1183" s="33"/>
      <c r="G1183" s="33"/>
      <c r="H1183" s="33"/>
      <c r="I1183" s="33"/>
      <c r="J1183" s="30"/>
    </row>
    <row r="1184" spans="1:10" x14ac:dyDescent="0.15">
      <c r="A1184" s="111"/>
      <c r="B1184" s="33"/>
      <c r="C1184" s="33"/>
      <c r="D1184" s="33"/>
      <c r="E1184" s="33"/>
      <c r="F1184" s="33"/>
      <c r="G1184" s="33"/>
      <c r="H1184" s="33"/>
      <c r="I1184" s="33"/>
      <c r="J1184" s="30"/>
    </row>
    <row r="1185" spans="1:10" x14ac:dyDescent="0.15">
      <c r="A1185" s="111"/>
      <c r="B1185" s="33"/>
      <c r="C1185" s="33"/>
      <c r="D1185" s="33"/>
      <c r="E1185" s="33"/>
      <c r="F1185" s="33"/>
      <c r="G1185" s="33"/>
      <c r="H1185" s="33"/>
      <c r="I1185" s="33"/>
      <c r="J1185" s="30"/>
    </row>
    <row r="1186" spans="1:10" x14ac:dyDescent="0.15">
      <c r="A1186" s="111"/>
      <c r="B1186" s="33"/>
      <c r="C1186" s="33"/>
      <c r="D1186" s="33"/>
      <c r="E1186" s="33"/>
      <c r="F1186" s="33"/>
      <c r="G1186" s="33"/>
      <c r="H1186" s="33"/>
      <c r="I1186" s="33"/>
      <c r="J1186" s="30"/>
    </row>
    <row r="1187" spans="1:10" x14ac:dyDescent="0.15">
      <c r="A1187" s="111"/>
      <c r="B1187" s="33"/>
      <c r="C1187" s="33"/>
      <c r="D1187" s="33"/>
      <c r="E1187" s="33"/>
      <c r="F1187" s="33"/>
      <c r="G1187" s="33"/>
      <c r="H1187" s="33"/>
      <c r="I1187" s="33"/>
      <c r="J1187" s="30"/>
    </row>
    <row r="1188" spans="1:10" x14ac:dyDescent="0.15">
      <c r="A1188" s="111"/>
      <c r="B1188" s="33"/>
      <c r="C1188" s="33"/>
      <c r="D1188" s="33"/>
      <c r="E1188" s="33"/>
      <c r="F1188" s="33"/>
      <c r="G1188" s="33"/>
      <c r="H1188" s="33"/>
      <c r="I1188" s="33"/>
      <c r="J1188" s="30"/>
    </row>
    <row r="1189" spans="1:10" x14ac:dyDescent="0.15">
      <c r="A1189" s="111"/>
      <c r="B1189" s="33"/>
      <c r="C1189" s="33"/>
      <c r="D1189" s="33"/>
      <c r="E1189" s="33"/>
      <c r="F1189" s="33"/>
      <c r="G1189" s="33"/>
      <c r="H1189" s="33"/>
      <c r="I1189" s="33"/>
      <c r="J1189" s="30"/>
    </row>
    <row r="1190" spans="1:10" x14ac:dyDescent="0.15">
      <c r="A1190" s="111"/>
      <c r="B1190" s="33"/>
      <c r="C1190" s="33"/>
      <c r="D1190" s="33"/>
      <c r="E1190" s="33"/>
      <c r="F1190" s="33"/>
      <c r="G1190" s="33"/>
      <c r="H1190" s="33"/>
      <c r="I1190" s="33"/>
      <c r="J1190" s="30"/>
    </row>
    <row r="1191" spans="1:10" x14ac:dyDescent="0.15">
      <c r="A1191" s="111"/>
      <c r="B1191" s="33"/>
      <c r="C1191" s="33"/>
      <c r="D1191" s="33"/>
      <c r="E1191" s="33"/>
      <c r="F1191" s="33"/>
      <c r="G1191" s="33"/>
      <c r="H1191" s="33"/>
      <c r="I1191" s="33"/>
      <c r="J1191" s="30"/>
    </row>
    <row r="1192" spans="1:10" x14ac:dyDescent="0.15">
      <c r="A1192" s="111"/>
      <c r="B1192" s="33"/>
      <c r="C1192" s="33"/>
      <c r="D1192" s="33"/>
      <c r="E1192" s="33"/>
      <c r="F1192" s="33"/>
      <c r="G1192" s="33"/>
      <c r="H1192" s="33"/>
      <c r="I1192" s="33"/>
      <c r="J1192" s="30"/>
    </row>
    <row r="1193" spans="1:10" x14ac:dyDescent="0.15">
      <c r="A1193" s="111"/>
      <c r="B1193" s="33"/>
      <c r="C1193" s="33"/>
      <c r="D1193" s="33"/>
      <c r="E1193" s="33"/>
      <c r="F1193" s="33"/>
      <c r="G1193" s="33"/>
      <c r="H1193" s="33"/>
      <c r="I1193" s="33"/>
      <c r="J1193" s="30"/>
    </row>
    <row r="1194" spans="1:10" x14ac:dyDescent="0.15">
      <c r="A1194" s="111"/>
      <c r="B1194" s="33"/>
      <c r="C1194" s="33"/>
      <c r="D1194" s="33"/>
      <c r="E1194" s="33"/>
      <c r="F1194" s="33"/>
      <c r="G1194" s="33"/>
      <c r="H1194" s="33"/>
      <c r="I1194" s="33"/>
      <c r="J1194" s="30"/>
    </row>
    <row r="1195" spans="1:10" x14ac:dyDescent="0.15">
      <c r="A1195" s="111"/>
      <c r="B1195" s="33"/>
      <c r="C1195" s="33"/>
      <c r="D1195" s="33"/>
      <c r="E1195" s="33"/>
      <c r="F1195" s="33"/>
      <c r="G1195" s="33"/>
      <c r="H1195" s="33"/>
      <c r="I1195" s="33"/>
      <c r="J1195" s="30"/>
    </row>
    <row r="1196" spans="1:10" x14ac:dyDescent="0.15">
      <c r="A1196" s="111"/>
      <c r="B1196" s="33"/>
      <c r="C1196" s="33"/>
      <c r="D1196" s="33"/>
      <c r="E1196" s="33"/>
      <c r="F1196" s="33"/>
      <c r="G1196" s="33"/>
      <c r="H1196" s="33"/>
      <c r="I1196" s="33"/>
      <c r="J1196" s="30"/>
    </row>
    <row r="1197" spans="1:10" x14ac:dyDescent="0.15">
      <c r="A1197" s="111"/>
      <c r="B1197" s="33"/>
      <c r="C1197" s="33"/>
      <c r="D1197" s="33"/>
      <c r="E1197" s="33"/>
      <c r="F1197" s="33"/>
      <c r="G1197" s="33"/>
      <c r="H1197" s="33"/>
      <c r="I1197" s="33"/>
      <c r="J1197" s="30"/>
    </row>
    <row r="1198" spans="1:10" x14ac:dyDescent="0.15">
      <c r="A1198" s="111"/>
      <c r="B1198" s="33"/>
      <c r="C1198" s="33"/>
      <c r="D1198" s="33"/>
      <c r="E1198" s="33"/>
      <c r="F1198" s="33"/>
      <c r="G1198" s="33"/>
      <c r="H1198" s="33"/>
      <c r="I1198" s="33"/>
      <c r="J1198" s="30"/>
    </row>
    <row r="1199" spans="1:10" x14ac:dyDescent="0.15">
      <c r="A1199" s="111"/>
      <c r="B1199" s="33"/>
      <c r="C1199" s="33"/>
      <c r="D1199" s="33"/>
      <c r="E1199" s="33"/>
      <c r="F1199" s="33"/>
      <c r="G1199" s="33"/>
      <c r="H1199" s="33"/>
      <c r="I1199" s="33"/>
      <c r="J1199" s="30"/>
    </row>
    <row r="1200" spans="1:10" x14ac:dyDescent="0.15">
      <c r="A1200" s="111"/>
      <c r="B1200" s="33"/>
      <c r="C1200" s="33"/>
      <c r="D1200" s="33"/>
      <c r="E1200" s="33"/>
      <c r="F1200" s="33"/>
      <c r="G1200" s="33"/>
      <c r="H1200" s="33"/>
      <c r="I1200" s="33"/>
      <c r="J1200" s="30"/>
    </row>
    <row r="1201" spans="1:10" x14ac:dyDescent="0.15">
      <c r="A1201" s="111"/>
      <c r="B1201" s="33"/>
      <c r="C1201" s="33"/>
      <c r="D1201" s="33"/>
      <c r="E1201" s="33"/>
      <c r="F1201" s="33"/>
      <c r="G1201" s="33"/>
      <c r="H1201" s="33"/>
      <c r="I1201" s="33"/>
      <c r="J1201" s="30"/>
    </row>
    <row r="1202" spans="1:10" x14ac:dyDescent="0.15">
      <c r="A1202" s="111"/>
      <c r="B1202" s="33"/>
      <c r="C1202" s="33"/>
      <c r="D1202" s="33"/>
      <c r="E1202" s="33"/>
      <c r="F1202" s="33"/>
      <c r="G1202" s="33"/>
      <c r="H1202" s="33"/>
      <c r="I1202" s="33"/>
      <c r="J1202" s="30"/>
    </row>
    <row r="1203" spans="1:10" x14ac:dyDescent="0.15">
      <c r="A1203" s="111"/>
      <c r="B1203" s="33"/>
      <c r="C1203" s="33"/>
      <c r="D1203" s="33"/>
      <c r="E1203" s="33"/>
      <c r="F1203" s="33"/>
      <c r="G1203" s="33"/>
      <c r="H1203" s="33"/>
      <c r="I1203" s="33"/>
      <c r="J1203" s="30"/>
    </row>
    <row r="1204" spans="1:10" x14ac:dyDescent="0.15">
      <c r="A1204" s="111"/>
      <c r="B1204" s="33"/>
      <c r="C1204" s="33"/>
      <c r="D1204" s="33"/>
      <c r="E1204" s="33"/>
      <c r="F1204" s="33"/>
      <c r="G1204" s="33"/>
      <c r="H1204" s="33"/>
      <c r="I1204" s="33"/>
      <c r="J1204" s="30"/>
    </row>
    <row r="1205" spans="1:10" x14ac:dyDescent="0.15">
      <c r="A1205" s="111"/>
      <c r="B1205" s="33"/>
      <c r="C1205" s="33"/>
      <c r="D1205" s="33"/>
      <c r="E1205" s="33"/>
      <c r="F1205" s="33"/>
      <c r="G1205" s="33"/>
      <c r="H1205" s="33"/>
      <c r="I1205" s="33"/>
      <c r="J1205" s="30"/>
    </row>
    <row r="1206" spans="1:10" x14ac:dyDescent="0.15">
      <c r="A1206" s="111"/>
      <c r="B1206" s="33"/>
      <c r="C1206" s="33"/>
      <c r="D1206" s="33"/>
      <c r="E1206" s="33"/>
      <c r="F1206" s="33"/>
      <c r="G1206" s="33"/>
      <c r="H1206" s="33"/>
      <c r="I1206" s="33"/>
      <c r="J1206" s="30"/>
    </row>
    <row r="1207" spans="1:10" x14ac:dyDescent="0.15">
      <c r="A1207" s="111"/>
      <c r="B1207" s="33"/>
      <c r="C1207" s="33"/>
      <c r="D1207" s="33"/>
      <c r="E1207" s="33"/>
      <c r="F1207" s="33"/>
      <c r="G1207" s="33"/>
      <c r="H1207" s="33"/>
      <c r="I1207" s="33"/>
      <c r="J1207" s="30"/>
    </row>
    <row r="1208" spans="1:10" x14ac:dyDescent="0.15">
      <c r="A1208" s="111"/>
      <c r="B1208" s="33"/>
      <c r="C1208" s="33"/>
      <c r="D1208" s="33"/>
      <c r="E1208" s="33"/>
      <c r="F1208" s="33"/>
      <c r="G1208" s="33"/>
      <c r="H1208" s="33"/>
      <c r="I1208" s="33"/>
      <c r="J1208" s="30"/>
    </row>
    <row r="1209" spans="1:10" x14ac:dyDescent="0.15">
      <c r="A1209" s="111"/>
      <c r="B1209" s="33"/>
      <c r="C1209" s="33"/>
      <c r="D1209" s="33"/>
      <c r="E1209" s="33"/>
      <c r="F1209" s="33"/>
      <c r="G1209" s="33"/>
      <c r="H1209" s="33"/>
      <c r="I1209" s="33"/>
      <c r="J1209" s="30"/>
    </row>
    <row r="1210" spans="1:10" x14ac:dyDescent="0.15">
      <c r="A1210" s="111"/>
      <c r="B1210" s="33"/>
      <c r="C1210" s="33"/>
      <c r="D1210" s="33"/>
      <c r="E1210" s="33"/>
      <c r="F1210" s="33"/>
      <c r="G1210" s="33"/>
      <c r="H1210" s="33"/>
      <c r="I1210" s="33"/>
      <c r="J1210" s="30"/>
    </row>
    <row r="1211" spans="1:10" x14ac:dyDescent="0.15">
      <c r="A1211" s="111"/>
      <c r="B1211" s="33"/>
      <c r="C1211" s="33"/>
      <c r="D1211" s="33"/>
      <c r="E1211" s="33"/>
      <c r="F1211" s="33"/>
      <c r="G1211" s="33"/>
      <c r="H1211" s="33"/>
      <c r="I1211" s="33"/>
      <c r="J1211" s="30"/>
    </row>
    <row r="1212" spans="1:10" x14ac:dyDescent="0.15">
      <c r="A1212" s="111"/>
      <c r="B1212" s="33"/>
      <c r="C1212" s="33"/>
      <c r="D1212" s="33"/>
      <c r="E1212" s="33"/>
      <c r="F1212" s="33"/>
      <c r="G1212" s="33"/>
      <c r="H1212" s="33"/>
      <c r="I1212" s="33"/>
      <c r="J1212" s="30"/>
    </row>
    <row r="1213" spans="1:10" x14ac:dyDescent="0.15">
      <c r="A1213" s="111"/>
      <c r="B1213" s="33"/>
      <c r="C1213" s="33"/>
      <c r="D1213" s="33"/>
      <c r="E1213" s="33"/>
      <c r="F1213" s="33"/>
      <c r="G1213" s="33"/>
      <c r="H1213" s="33"/>
      <c r="I1213" s="33"/>
      <c r="J1213" s="30"/>
    </row>
    <row r="1214" spans="1:10" x14ac:dyDescent="0.15">
      <c r="A1214" s="111"/>
      <c r="B1214" s="33"/>
      <c r="C1214" s="33"/>
      <c r="D1214" s="33"/>
      <c r="E1214" s="33"/>
      <c r="F1214" s="33"/>
      <c r="G1214" s="33"/>
      <c r="H1214" s="33"/>
      <c r="I1214" s="33"/>
      <c r="J1214" s="30"/>
    </row>
    <row r="1215" spans="1:10" x14ac:dyDescent="0.15">
      <c r="A1215" s="111"/>
      <c r="B1215" s="33"/>
      <c r="C1215" s="33"/>
      <c r="D1215" s="33"/>
      <c r="E1215" s="33"/>
      <c r="F1215" s="33"/>
      <c r="G1215" s="33"/>
      <c r="H1215" s="33"/>
      <c r="I1215" s="33"/>
      <c r="J1215" s="30"/>
    </row>
    <row r="1216" spans="1:10" x14ac:dyDescent="0.15">
      <c r="A1216" s="111"/>
      <c r="B1216" s="33"/>
      <c r="C1216" s="33"/>
      <c r="D1216" s="33"/>
      <c r="E1216" s="33"/>
      <c r="F1216" s="33"/>
      <c r="G1216" s="33"/>
      <c r="H1216" s="33"/>
      <c r="I1216" s="33"/>
      <c r="J1216" s="30"/>
    </row>
    <row r="1217" spans="1:10" x14ac:dyDescent="0.15">
      <c r="A1217" s="111"/>
      <c r="B1217" s="33"/>
      <c r="C1217" s="33"/>
      <c r="D1217" s="33"/>
      <c r="E1217" s="33"/>
      <c r="F1217" s="33"/>
      <c r="G1217" s="33"/>
      <c r="H1217" s="33"/>
      <c r="I1217" s="33"/>
      <c r="J1217" s="30"/>
    </row>
    <row r="1218" spans="1:10" x14ac:dyDescent="0.15">
      <c r="A1218" s="111"/>
      <c r="B1218" s="33"/>
      <c r="C1218" s="33"/>
      <c r="D1218" s="33"/>
      <c r="E1218" s="33"/>
      <c r="F1218" s="33"/>
      <c r="G1218" s="33"/>
      <c r="H1218" s="33"/>
      <c r="I1218" s="33"/>
      <c r="J1218" s="30"/>
    </row>
    <row r="1219" spans="1:10" x14ac:dyDescent="0.15">
      <c r="A1219" s="111"/>
      <c r="B1219" s="33"/>
      <c r="C1219" s="33"/>
      <c r="D1219" s="33"/>
      <c r="E1219" s="33"/>
      <c r="F1219" s="33"/>
      <c r="G1219" s="33"/>
      <c r="H1219" s="33"/>
      <c r="I1219" s="33"/>
      <c r="J1219" s="30"/>
    </row>
    <row r="1220" spans="1:10" x14ac:dyDescent="0.15">
      <c r="A1220" s="111"/>
      <c r="B1220" s="33"/>
      <c r="C1220" s="33"/>
      <c r="D1220" s="33"/>
      <c r="E1220" s="33"/>
      <c r="F1220" s="33"/>
      <c r="G1220" s="33"/>
      <c r="H1220" s="33"/>
      <c r="I1220" s="33"/>
      <c r="J1220" s="30"/>
    </row>
    <row r="1221" spans="1:10" x14ac:dyDescent="0.15">
      <c r="A1221" s="111"/>
      <c r="B1221" s="33"/>
      <c r="C1221" s="33"/>
      <c r="D1221" s="33"/>
      <c r="E1221" s="33"/>
      <c r="F1221" s="33"/>
      <c r="G1221" s="33"/>
      <c r="H1221" s="33"/>
      <c r="I1221" s="33"/>
      <c r="J1221" s="30"/>
    </row>
    <row r="1222" spans="1:10" x14ac:dyDescent="0.15">
      <c r="A1222" s="111"/>
      <c r="B1222" s="33"/>
      <c r="C1222" s="33"/>
      <c r="D1222" s="33"/>
      <c r="E1222" s="33"/>
      <c r="F1222" s="33"/>
      <c r="G1222" s="33"/>
      <c r="H1222" s="33"/>
      <c r="I1222" s="33"/>
      <c r="J1222" s="30"/>
    </row>
    <row r="1223" spans="1:10" x14ac:dyDescent="0.15">
      <c r="A1223" s="111"/>
      <c r="B1223" s="33"/>
      <c r="C1223" s="33"/>
      <c r="D1223" s="33"/>
      <c r="E1223" s="33"/>
      <c r="F1223" s="33"/>
      <c r="G1223" s="33"/>
      <c r="H1223" s="33"/>
      <c r="I1223" s="33"/>
      <c r="J1223" s="30"/>
    </row>
    <row r="1224" spans="1:10" x14ac:dyDescent="0.15">
      <c r="A1224" s="111"/>
      <c r="B1224" s="33"/>
      <c r="C1224" s="33"/>
      <c r="D1224" s="33"/>
      <c r="E1224" s="33"/>
      <c r="F1224" s="33"/>
      <c r="G1224" s="33"/>
      <c r="H1224" s="33"/>
      <c r="I1224" s="33"/>
      <c r="J1224" s="30"/>
    </row>
    <row r="1225" spans="1:10" x14ac:dyDescent="0.15">
      <c r="A1225" s="111"/>
      <c r="B1225" s="33"/>
      <c r="C1225" s="33"/>
      <c r="D1225" s="33"/>
      <c r="E1225" s="33"/>
      <c r="F1225" s="33"/>
      <c r="G1225" s="33"/>
      <c r="H1225" s="33"/>
      <c r="I1225" s="33"/>
      <c r="J1225" s="30"/>
    </row>
    <row r="1226" spans="1:10" x14ac:dyDescent="0.15">
      <c r="A1226" s="111"/>
      <c r="B1226" s="33"/>
      <c r="C1226" s="33"/>
      <c r="D1226" s="33"/>
      <c r="E1226" s="33"/>
      <c r="F1226" s="33"/>
      <c r="G1226" s="33"/>
      <c r="H1226" s="33"/>
      <c r="I1226" s="33"/>
      <c r="J1226" s="30"/>
    </row>
    <row r="1227" spans="1:10" x14ac:dyDescent="0.15">
      <c r="A1227" s="111"/>
      <c r="B1227" s="33"/>
      <c r="C1227" s="33"/>
      <c r="D1227" s="33"/>
      <c r="E1227" s="33"/>
      <c r="F1227" s="33"/>
      <c r="G1227" s="33"/>
      <c r="H1227" s="33"/>
      <c r="I1227" s="33"/>
      <c r="J1227" s="30"/>
    </row>
    <row r="1228" spans="1:10" x14ac:dyDescent="0.15">
      <c r="A1228" s="111"/>
      <c r="B1228" s="33"/>
      <c r="C1228" s="33"/>
      <c r="D1228" s="33"/>
      <c r="E1228" s="33"/>
      <c r="F1228" s="33"/>
      <c r="G1228" s="33"/>
      <c r="H1228" s="33"/>
      <c r="I1228" s="33"/>
      <c r="J1228" s="30"/>
    </row>
    <row r="1229" spans="1:10" x14ac:dyDescent="0.15">
      <c r="A1229" s="111"/>
      <c r="B1229" s="33"/>
      <c r="C1229" s="33"/>
      <c r="D1229" s="33"/>
      <c r="E1229" s="33"/>
      <c r="F1229" s="33"/>
      <c r="G1229" s="33"/>
      <c r="H1229" s="33"/>
      <c r="I1229" s="33"/>
      <c r="J1229" s="30"/>
    </row>
    <row r="1230" spans="1:10" x14ac:dyDescent="0.15">
      <c r="A1230" s="111"/>
      <c r="B1230" s="33"/>
      <c r="C1230" s="33"/>
      <c r="D1230" s="33"/>
      <c r="E1230" s="33"/>
      <c r="F1230" s="33"/>
      <c r="G1230" s="33"/>
      <c r="H1230" s="33"/>
      <c r="I1230" s="33"/>
      <c r="J1230" s="30"/>
    </row>
    <row r="1231" spans="1:10" x14ac:dyDescent="0.15">
      <c r="A1231" s="111"/>
      <c r="B1231" s="33"/>
      <c r="C1231" s="33"/>
      <c r="D1231" s="33"/>
      <c r="E1231" s="33"/>
      <c r="F1231" s="33"/>
      <c r="G1231" s="33"/>
      <c r="H1231" s="33"/>
      <c r="I1231" s="33"/>
      <c r="J1231" s="30"/>
    </row>
    <row r="1232" spans="1:10" x14ac:dyDescent="0.15">
      <c r="A1232" s="111"/>
      <c r="B1232" s="33"/>
      <c r="C1232" s="33"/>
      <c r="D1232" s="33"/>
      <c r="E1232" s="33"/>
      <c r="F1232" s="33"/>
      <c r="G1232" s="33"/>
      <c r="H1232" s="33"/>
      <c r="I1232" s="33"/>
      <c r="J1232" s="30"/>
    </row>
    <row r="1233" spans="1:10" x14ac:dyDescent="0.15">
      <c r="A1233" s="111"/>
      <c r="B1233" s="33"/>
      <c r="C1233" s="33"/>
      <c r="D1233" s="33"/>
      <c r="E1233" s="33"/>
      <c r="F1233" s="33"/>
      <c r="G1233" s="33"/>
      <c r="H1233" s="33"/>
      <c r="I1233" s="33"/>
      <c r="J1233" s="30"/>
    </row>
    <row r="1234" spans="1:10" x14ac:dyDescent="0.15">
      <c r="A1234" s="111"/>
      <c r="B1234" s="33"/>
      <c r="C1234" s="33"/>
      <c r="D1234" s="33"/>
      <c r="E1234" s="33"/>
      <c r="F1234" s="33"/>
      <c r="G1234" s="33"/>
      <c r="H1234" s="33"/>
      <c r="I1234" s="33"/>
      <c r="J1234" s="30"/>
    </row>
    <row r="1235" spans="1:10" x14ac:dyDescent="0.15">
      <c r="A1235" s="111"/>
      <c r="B1235" s="33"/>
      <c r="C1235" s="33"/>
      <c r="D1235" s="33"/>
      <c r="E1235" s="33"/>
      <c r="F1235" s="33"/>
      <c r="G1235" s="33"/>
      <c r="H1235" s="33"/>
      <c r="I1235" s="33"/>
      <c r="J1235" s="30"/>
    </row>
    <row r="1236" spans="1:10" x14ac:dyDescent="0.15">
      <c r="A1236" s="111"/>
      <c r="B1236" s="33"/>
      <c r="C1236" s="33"/>
      <c r="D1236" s="33"/>
      <c r="E1236" s="33"/>
      <c r="F1236" s="33"/>
      <c r="G1236" s="33"/>
      <c r="H1236" s="33"/>
      <c r="I1236" s="33"/>
      <c r="J1236" s="30"/>
    </row>
    <row r="1237" spans="1:10" x14ac:dyDescent="0.15">
      <c r="A1237" s="111"/>
      <c r="B1237" s="33"/>
      <c r="C1237" s="33"/>
      <c r="D1237" s="33"/>
      <c r="E1237" s="33"/>
      <c r="F1237" s="33"/>
      <c r="G1237" s="33"/>
      <c r="H1237" s="33"/>
      <c r="I1237" s="33"/>
      <c r="J1237" s="30"/>
    </row>
    <row r="1238" spans="1:10" x14ac:dyDescent="0.15">
      <c r="A1238" s="111"/>
      <c r="B1238" s="33"/>
      <c r="C1238" s="33"/>
      <c r="D1238" s="33"/>
      <c r="E1238" s="33"/>
      <c r="F1238" s="33"/>
      <c r="G1238" s="33"/>
      <c r="H1238" s="33"/>
      <c r="I1238" s="33"/>
      <c r="J1238" s="30"/>
    </row>
    <row r="1239" spans="1:10" x14ac:dyDescent="0.15">
      <c r="A1239" s="111"/>
      <c r="B1239" s="33"/>
      <c r="C1239" s="33"/>
      <c r="D1239" s="33"/>
      <c r="E1239" s="33"/>
      <c r="F1239" s="33"/>
      <c r="G1239" s="33"/>
      <c r="H1239" s="33"/>
      <c r="I1239" s="33"/>
      <c r="J1239" s="30"/>
    </row>
    <row r="1240" spans="1:10" x14ac:dyDescent="0.15">
      <c r="A1240" s="111"/>
      <c r="B1240" s="33"/>
      <c r="C1240" s="33"/>
      <c r="D1240" s="33"/>
      <c r="E1240" s="33"/>
      <c r="F1240" s="33"/>
      <c r="G1240" s="33"/>
      <c r="H1240" s="33"/>
      <c r="I1240" s="33"/>
      <c r="J1240" s="30"/>
    </row>
    <row r="1241" spans="1:10" x14ac:dyDescent="0.15">
      <c r="A1241" s="111"/>
      <c r="B1241" s="33"/>
      <c r="C1241" s="33"/>
      <c r="D1241" s="33"/>
      <c r="E1241" s="33"/>
      <c r="F1241" s="33"/>
      <c r="G1241" s="33"/>
      <c r="H1241" s="33"/>
      <c r="I1241" s="33"/>
      <c r="J1241" s="30"/>
    </row>
    <row r="1242" spans="1:10" x14ac:dyDescent="0.15">
      <c r="A1242" s="111"/>
      <c r="B1242" s="33"/>
      <c r="C1242" s="33"/>
      <c r="D1242" s="33"/>
      <c r="E1242" s="33"/>
      <c r="F1242" s="33"/>
      <c r="G1242" s="33"/>
      <c r="H1242" s="33"/>
      <c r="I1242" s="33"/>
      <c r="J1242" s="30"/>
    </row>
    <row r="1243" spans="1:10" x14ac:dyDescent="0.15">
      <c r="A1243" s="111"/>
      <c r="B1243" s="33"/>
      <c r="C1243" s="33"/>
      <c r="D1243" s="33"/>
      <c r="E1243" s="33"/>
      <c r="F1243" s="33"/>
      <c r="G1243" s="33"/>
      <c r="H1243" s="33"/>
      <c r="I1243" s="33"/>
      <c r="J1243" s="30"/>
    </row>
    <row r="1244" spans="1:10" x14ac:dyDescent="0.15">
      <c r="A1244" s="111"/>
      <c r="B1244" s="33"/>
      <c r="C1244" s="33"/>
      <c r="D1244" s="33"/>
      <c r="E1244" s="33"/>
      <c r="F1244" s="33"/>
      <c r="G1244" s="33"/>
      <c r="H1244" s="33"/>
      <c r="I1244" s="33"/>
      <c r="J1244" s="30"/>
    </row>
    <row r="1245" spans="1:10" x14ac:dyDescent="0.15">
      <c r="A1245" s="111"/>
      <c r="B1245" s="33"/>
      <c r="C1245" s="33"/>
      <c r="D1245" s="33"/>
      <c r="E1245" s="33"/>
      <c r="F1245" s="33"/>
      <c r="G1245" s="33"/>
      <c r="H1245" s="33"/>
      <c r="I1245" s="33"/>
      <c r="J1245" s="30"/>
    </row>
    <row r="1246" spans="1:10" x14ac:dyDescent="0.15">
      <c r="A1246" s="111"/>
      <c r="B1246" s="33"/>
      <c r="C1246" s="33"/>
      <c r="D1246" s="33"/>
      <c r="E1246" s="33"/>
      <c r="F1246" s="33"/>
      <c r="G1246" s="33"/>
      <c r="H1246" s="33"/>
      <c r="I1246" s="33"/>
      <c r="J1246" s="30"/>
    </row>
    <row r="1247" spans="1:10" x14ac:dyDescent="0.15">
      <c r="A1247" s="111"/>
      <c r="B1247" s="33"/>
      <c r="C1247" s="33"/>
      <c r="D1247" s="33"/>
      <c r="E1247" s="33"/>
      <c r="F1247" s="33"/>
      <c r="G1247" s="33"/>
      <c r="H1247" s="33"/>
      <c r="I1247" s="33"/>
      <c r="J1247" s="30"/>
    </row>
    <row r="1248" spans="1:10" x14ac:dyDescent="0.15">
      <c r="A1248" s="111"/>
      <c r="B1248" s="33"/>
      <c r="C1248" s="33"/>
      <c r="D1248" s="33"/>
      <c r="E1248" s="33"/>
      <c r="F1248" s="33"/>
      <c r="G1248" s="33"/>
      <c r="H1248" s="33"/>
      <c r="I1248" s="33"/>
      <c r="J1248" s="30"/>
    </row>
    <row r="1249" spans="1:10" x14ac:dyDescent="0.15">
      <c r="A1249" s="111"/>
      <c r="B1249" s="33"/>
      <c r="C1249" s="33"/>
      <c r="D1249" s="33"/>
      <c r="E1249" s="33"/>
      <c r="F1249" s="33"/>
      <c r="G1249" s="33"/>
      <c r="H1249" s="33"/>
      <c r="I1249" s="33"/>
      <c r="J1249" s="30"/>
    </row>
    <row r="1250" spans="1:10" x14ac:dyDescent="0.15">
      <c r="A1250" s="111"/>
      <c r="B1250" s="33"/>
      <c r="C1250" s="33"/>
      <c r="D1250" s="33"/>
      <c r="E1250" s="33"/>
      <c r="F1250" s="33"/>
      <c r="G1250" s="33"/>
      <c r="H1250" s="33"/>
      <c r="I1250" s="33"/>
      <c r="J1250" s="30"/>
    </row>
    <row r="1251" spans="1:10" x14ac:dyDescent="0.15">
      <c r="A1251" s="111"/>
      <c r="B1251" s="33"/>
      <c r="C1251" s="33"/>
      <c r="D1251" s="33"/>
      <c r="E1251" s="33"/>
      <c r="F1251" s="33"/>
      <c r="G1251" s="33"/>
      <c r="H1251" s="33"/>
      <c r="I1251" s="33"/>
      <c r="J1251" s="30"/>
    </row>
    <row r="1252" spans="1:10" x14ac:dyDescent="0.15">
      <c r="A1252" s="111"/>
      <c r="B1252" s="33"/>
      <c r="C1252" s="33"/>
      <c r="D1252" s="33"/>
      <c r="E1252" s="33"/>
      <c r="F1252" s="33"/>
      <c r="G1252" s="33"/>
      <c r="H1252" s="33"/>
      <c r="I1252" s="33"/>
      <c r="J1252" s="30"/>
    </row>
    <row r="1253" spans="1:10" x14ac:dyDescent="0.15">
      <c r="A1253" s="111"/>
      <c r="B1253" s="33"/>
      <c r="C1253" s="33"/>
      <c r="D1253" s="33"/>
      <c r="E1253" s="33"/>
      <c r="F1253" s="33"/>
      <c r="G1253" s="33"/>
      <c r="H1253" s="33"/>
      <c r="I1253" s="33"/>
      <c r="J1253" s="30"/>
    </row>
    <row r="1254" spans="1:10" x14ac:dyDescent="0.15">
      <c r="A1254" s="111"/>
      <c r="B1254" s="33"/>
      <c r="C1254" s="33"/>
      <c r="D1254" s="33"/>
      <c r="E1254" s="33"/>
      <c r="F1254" s="33"/>
      <c r="G1254" s="33"/>
      <c r="H1254" s="33"/>
      <c r="I1254" s="33"/>
      <c r="J1254" s="30"/>
    </row>
    <row r="1255" spans="1:10" x14ac:dyDescent="0.15">
      <c r="A1255" s="111"/>
      <c r="B1255" s="33"/>
      <c r="C1255" s="33"/>
      <c r="D1255" s="33"/>
      <c r="E1255" s="33"/>
      <c r="F1255" s="33"/>
      <c r="G1255" s="33"/>
      <c r="H1255" s="33"/>
      <c r="I1255" s="33"/>
      <c r="J1255" s="30"/>
    </row>
    <row r="1256" spans="1:10" x14ac:dyDescent="0.15">
      <c r="A1256" s="111"/>
      <c r="B1256" s="33"/>
      <c r="C1256" s="33"/>
      <c r="D1256" s="33"/>
      <c r="E1256" s="33"/>
      <c r="F1256" s="33"/>
      <c r="G1256" s="33"/>
      <c r="H1256" s="33"/>
      <c r="I1256" s="33"/>
      <c r="J1256" s="30"/>
    </row>
    <row r="1257" spans="1:10" x14ac:dyDescent="0.15">
      <c r="A1257" s="111"/>
      <c r="B1257" s="33"/>
      <c r="C1257" s="33"/>
      <c r="D1257" s="33"/>
      <c r="E1257" s="33"/>
      <c r="F1257" s="33"/>
      <c r="G1257" s="33"/>
      <c r="H1257" s="33"/>
      <c r="I1257" s="33"/>
      <c r="J1257" s="30"/>
    </row>
    <row r="1258" spans="1:10" x14ac:dyDescent="0.15">
      <c r="A1258" s="111"/>
      <c r="B1258" s="33"/>
      <c r="C1258" s="33"/>
      <c r="D1258" s="33"/>
      <c r="E1258" s="33"/>
      <c r="F1258" s="33"/>
      <c r="G1258" s="33"/>
      <c r="H1258" s="33"/>
      <c r="I1258" s="33"/>
      <c r="J1258" s="30"/>
    </row>
    <row r="1259" spans="1:10" x14ac:dyDescent="0.15">
      <c r="A1259" s="111"/>
      <c r="B1259" s="33"/>
      <c r="C1259" s="33"/>
      <c r="D1259" s="33"/>
      <c r="E1259" s="33"/>
      <c r="F1259" s="33"/>
      <c r="G1259" s="33"/>
      <c r="H1259" s="33"/>
      <c r="I1259" s="33"/>
      <c r="J1259" s="30"/>
    </row>
    <row r="1260" spans="1:10" x14ac:dyDescent="0.15">
      <c r="A1260" s="111"/>
      <c r="B1260" s="33"/>
      <c r="C1260" s="33"/>
      <c r="D1260" s="33"/>
      <c r="E1260" s="33"/>
      <c r="F1260" s="33"/>
      <c r="G1260" s="33"/>
      <c r="H1260" s="33"/>
      <c r="I1260" s="33"/>
      <c r="J1260" s="30"/>
    </row>
    <row r="1261" spans="1:10" x14ac:dyDescent="0.15">
      <c r="A1261" s="111"/>
      <c r="B1261" s="33"/>
      <c r="C1261" s="33"/>
      <c r="D1261" s="33"/>
      <c r="E1261" s="33"/>
      <c r="F1261" s="33"/>
      <c r="G1261" s="33"/>
      <c r="H1261" s="33"/>
      <c r="I1261" s="33"/>
      <c r="J1261" s="30"/>
    </row>
    <row r="1262" spans="1:10" x14ac:dyDescent="0.15">
      <c r="A1262" s="111"/>
      <c r="B1262" s="33"/>
      <c r="C1262" s="33"/>
      <c r="D1262" s="33"/>
      <c r="E1262" s="33"/>
      <c r="F1262" s="33"/>
      <c r="G1262" s="33"/>
      <c r="H1262" s="33"/>
      <c r="I1262" s="33"/>
      <c r="J1262" s="30"/>
    </row>
    <row r="1263" spans="1:10" x14ac:dyDescent="0.15">
      <c r="A1263" s="111"/>
      <c r="B1263" s="33"/>
      <c r="C1263" s="33"/>
      <c r="D1263" s="33"/>
      <c r="E1263" s="33"/>
      <c r="F1263" s="33"/>
      <c r="G1263" s="33"/>
      <c r="H1263" s="33"/>
      <c r="I1263" s="33"/>
      <c r="J1263" s="30"/>
    </row>
    <row r="1264" spans="1:10" x14ac:dyDescent="0.15">
      <c r="A1264" s="111"/>
      <c r="B1264" s="33"/>
      <c r="C1264" s="33"/>
      <c r="D1264" s="33"/>
      <c r="E1264" s="33"/>
      <c r="F1264" s="33"/>
      <c r="G1264" s="33"/>
      <c r="H1264" s="33"/>
      <c r="I1264" s="33"/>
      <c r="J1264" s="30"/>
    </row>
    <row r="1265" spans="1:10" x14ac:dyDescent="0.15">
      <c r="A1265" s="111"/>
      <c r="B1265" s="33"/>
      <c r="C1265" s="33"/>
      <c r="D1265" s="33"/>
      <c r="E1265" s="33"/>
      <c r="F1265" s="33"/>
      <c r="G1265" s="33"/>
      <c r="H1265" s="33"/>
      <c r="I1265" s="33"/>
      <c r="J1265" s="30"/>
    </row>
    <row r="1266" spans="1:10" x14ac:dyDescent="0.15">
      <c r="A1266" s="111"/>
      <c r="B1266" s="33"/>
      <c r="C1266" s="33"/>
      <c r="D1266" s="33"/>
      <c r="E1266" s="33"/>
      <c r="F1266" s="33"/>
      <c r="G1266" s="33"/>
      <c r="H1266" s="33"/>
      <c r="I1266" s="33"/>
      <c r="J1266" s="30"/>
    </row>
    <row r="1267" spans="1:10" x14ac:dyDescent="0.15">
      <c r="A1267" s="111"/>
      <c r="B1267" s="33"/>
      <c r="C1267" s="33"/>
      <c r="D1267" s="33"/>
      <c r="E1267" s="33"/>
      <c r="F1267" s="33"/>
      <c r="G1267" s="33"/>
      <c r="H1267" s="33"/>
      <c r="I1267" s="33"/>
      <c r="J1267" s="30"/>
    </row>
    <row r="1268" spans="1:10" x14ac:dyDescent="0.15">
      <c r="A1268" s="111"/>
      <c r="B1268" s="33"/>
      <c r="C1268" s="33"/>
      <c r="D1268" s="33"/>
      <c r="E1268" s="33"/>
      <c r="F1268" s="33"/>
      <c r="G1268" s="33"/>
      <c r="H1268" s="33"/>
      <c r="I1268" s="33"/>
      <c r="J1268" s="30"/>
    </row>
    <row r="1269" spans="1:10" x14ac:dyDescent="0.15">
      <c r="A1269" s="111"/>
      <c r="B1269" s="33"/>
      <c r="C1269" s="33"/>
      <c r="D1269" s="33"/>
      <c r="E1269" s="33"/>
      <c r="F1269" s="33"/>
      <c r="G1269" s="33"/>
      <c r="H1269" s="33"/>
      <c r="I1269" s="33"/>
      <c r="J1269" s="30"/>
    </row>
    <row r="1270" spans="1:10" x14ac:dyDescent="0.15">
      <c r="A1270" s="111"/>
      <c r="B1270" s="33"/>
      <c r="C1270" s="33"/>
      <c r="D1270" s="33"/>
      <c r="E1270" s="33"/>
      <c r="F1270" s="33"/>
      <c r="G1270" s="33"/>
      <c r="H1270" s="33"/>
      <c r="I1270" s="33"/>
      <c r="J1270" s="30"/>
    </row>
    <row r="1271" spans="1:10" x14ac:dyDescent="0.15">
      <c r="A1271" s="111"/>
      <c r="B1271" s="33"/>
      <c r="C1271" s="33"/>
      <c r="D1271" s="33"/>
      <c r="E1271" s="33"/>
      <c r="F1271" s="33"/>
      <c r="G1271" s="33"/>
      <c r="H1271" s="33"/>
      <c r="I1271" s="33"/>
      <c r="J1271" s="30"/>
    </row>
    <row r="1272" spans="1:10" x14ac:dyDescent="0.15">
      <c r="A1272" s="111"/>
      <c r="B1272" s="33"/>
      <c r="C1272" s="33"/>
      <c r="D1272" s="33"/>
      <c r="E1272" s="33"/>
      <c r="F1272" s="33"/>
      <c r="G1272" s="33"/>
      <c r="H1272" s="33"/>
      <c r="I1272" s="33"/>
      <c r="J1272" s="30"/>
    </row>
    <row r="1273" spans="1:10" x14ac:dyDescent="0.15">
      <c r="A1273" s="111"/>
      <c r="B1273" s="33"/>
      <c r="C1273" s="33"/>
      <c r="D1273" s="33"/>
      <c r="E1273" s="33"/>
      <c r="F1273" s="33"/>
      <c r="G1273" s="33"/>
      <c r="H1273" s="33"/>
      <c r="I1273" s="33"/>
      <c r="J1273" s="30"/>
    </row>
    <row r="1274" spans="1:10" x14ac:dyDescent="0.15">
      <c r="A1274" s="111"/>
      <c r="B1274" s="33"/>
      <c r="C1274" s="33"/>
      <c r="D1274" s="33"/>
      <c r="E1274" s="33"/>
      <c r="F1274" s="33"/>
      <c r="G1274" s="33"/>
      <c r="H1274" s="33"/>
      <c r="I1274" s="33"/>
      <c r="J1274" s="30"/>
    </row>
    <row r="1275" spans="1:10" x14ac:dyDescent="0.15">
      <c r="A1275" s="111"/>
      <c r="B1275" s="33"/>
      <c r="C1275" s="33"/>
      <c r="D1275" s="33"/>
      <c r="E1275" s="33"/>
      <c r="F1275" s="33"/>
      <c r="G1275" s="33"/>
      <c r="H1275" s="33"/>
      <c r="I1275" s="33"/>
      <c r="J1275" s="30"/>
    </row>
    <row r="1276" spans="1:10" x14ac:dyDescent="0.15">
      <c r="A1276" s="111"/>
      <c r="B1276" s="33"/>
      <c r="C1276" s="33"/>
      <c r="D1276" s="33"/>
      <c r="E1276" s="33"/>
      <c r="F1276" s="33"/>
      <c r="G1276" s="33"/>
      <c r="H1276" s="33"/>
      <c r="I1276" s="33"/>
      <c r="J1276" s="30"/>
    </row>
    <row r="1277" spans="1:10" x14ac:dyDescent="0.15">
      <c r="A1277" s="111"/>
      <c r="B1277" s="33"/>
      <c r="C1277" s="33"/>
      <c r="D1277" s="33"/>
      <c r="E1277" s="33"/>
      <c r="F1277" s="33"/>
      <c r="G1277" s="33"/>
      <c r="H1277" s="33"/>
      <c r="I1277" s="33"/>
      <c r="J1277" s="30"/>
    </row>
    <row r="1278" spans="1:10" x14ac:dyDescent="0.15">
      <c r="A1278" s="111"/>
      <c r="B1278" s="33"/>
      <c r="C1278" s="33"/>
      <c r="D1278" s="33"/>
      <c r="E1278" s="33"/>
      <c r="F1278" s="33"/>
      <c r="G1278" s="33"/>
      <c r="H1278" s="33"/>
      <c r="I1278" s="33"/>
      <c r="J1278" s="30"/>
    </row>
    <row r="1279" spans="1:10" x14ac:dyDescent="0.15">
      <c r="A1279" s="111"/>
      <c r="B1279" s="33"/>
      <c r="C1279" s="33"/>
      <c r="D1279" s="33"/>
      <c r="E1279" s="33"/>
      <c r="F1279" s="33"/>
      <c r="G1279" s="33"/>
      <c r="H1279" s="33"/>
      <c r="I1279" s="33"/>
      <c r="J1279" s="30"/>
    </row>
    <row r="1280" spans="1:10" x14ac:dyDescent="0.15">
      <c r="A1280" s="111"/>
      <c r="B1280" s="33"/>
      <c r="C1280" s="33"/>
      <c r="D1280" s="33"/>
      <c r="E1280" s="33"/>
      <c r="F1280" s="33"/>
      <c r="G1280" s="33"/>
      <c r="H1280" s="33"/>
      <c r="I1280" s="33"/>
      <c r="J1280" s="30"/>
    </row>
    <row r="1281" spans="1:10" x14ac:dyDescent="0.15">
      <c r="A1281" s="111"/>
      <c r="B1281" s="33"/>
      <c r="C1281" s="33"/>
      <c r="D1281" s="33"/>
      <c r="E1281" s="33"/>
      <c r="F1281" s="33"/>
      <c r="G1281" s="33"/>
      <c r="H1281" s="33"/>
      <c r="I1281" s="33"/>
      <c r="J1281" s="30"/>
    </row>
    <row r="1282" spans="1:10" x14ac:dyDescent="0.15">
      <c r="A1282" s="111"/>
      <c r="B1282" s="33"/>
      <c r="C1282" s="33"/>
      <c r="D1282" s="33"/>
      <c r="E1282" s="33"/>
      <c r="F1282" s="33"/>
      <c r="G1282" s="33"/>
      <c r="H1282" s="33"/>
      <c r="I1282" s="33"/>
      <c r="J1282" s="30"/>
    </row>
    <row r="1283" spans="1:10" x14ac:dyDescent="0.15">
      <c r="A1283" s="111"/>
      <c r="B1283" s="33"/>
      <c r="C1283" s="33"/>
      <c r="D1283" s="33"/>
      <c r="E1283" s="33"/>
      <c r="F1283" s="33"/>
      <c r="G1283" s="33"/>
      <c r="H1283" s="33"/>
      <c r="I1283" s="33"/>
      <c r="J1283" s="30"/>
    </row>
    <row r="1284" spans="1:10" x14ac:dyDescent="0.15">
      <c r="A1284" s="111"/>
      <c r="B1284" s="33"/>
      <c r="C1284" s="33"/>
      <c r="D1284" s="33"/>
      <c r="E1284" s="33"/>
      <c r="F1284" s="33"/>
      <c r="G1284" s="33"/>
      <c r="H1284" s="33"/>
      <c r="I1284" s="33"/>
      <c r="J1284" s="30"/>
    </row>
    <row r="1285" spans="1:10" x14ac:dyDescent="0.15">
      <c r="A1285" s="111"/>
      <c r="B1285" s="33"/>
      <c r="C1285" s="33"/>
      <c r="D1285" s="33"/>
      <c r="E1285" s="33"/>
      <c r="F1285" s="33"/>
      <c r="G1285" s="33"/>
      <c r="H1285" s="33"/>
      <c r="I1285" s="33"/>
      <c r="J1285" s="30"/>
    </row>
    <row r="1286" spans="1:10" x14ac:dyDescent="0.15">
      <c r="A1286" s="111"/>
      <c r="B1286" s="33"/>
      <c r="C1286" s="33"/>
      <c r="D1286" s="33"/>
      <c r="E1286" s="33"/>
      <c r="F1286" s="33"/>
      <c r="G1286" s="33"/>
      <c r="H1286" s="33"/>
      <c r="I1286" s="33"/>
      <c r="J1286" s="30"/>
    </row>
    <row r="1287" spans="1:10" x14ac:dyDescent="0.15">
      <c r="A1287" s="111"/>
      <c r="B1287" s="33"/>
      <c r="C1287" s="33"/>
      <c r="D1287" s="33"/>
      <c r="E1287" s="33"/>
      <c r="F1287" s="33"/>
      <c r="G1287" s="33"/>
      <c r="H1287" s="33"/>
      <c r="I1287" s="33"/>
      <c r="J1287" s="30"/>
    </row>
    <row r="1288" spans="1:10" x14ac:dyDescent="0.15">
      <c r="A1288" s="111"/>
      <c r="B1288" s="33"/>
      <c r="C1288" s="33"/>
      <c r="D1288" s="33"/>
      <c r="E1288" s="33"/>
      <c r="F1288" s="33"/>
      <c r="G1288" s="33"/>
      <c r="H1288" s="33"/>
      <c r="I1288" s="33"/>
      <c r="J1288" s="30"/>
    </row>
    <row r="1289" spans="1:10" x14ac:dyDescent="0.15">
      <c r="A1289" s="111"/>
      <c r="B1289" s="33"/>
      <c r="C1289" s="33"/>
      <c r="D1289" s="33"/>
      <c r="E1289" s="33"/>
      <c r="F1289" s="33"/>
      <c r="G1289" s="33"/>
      <c r="H1289" s="33"/>
      <c r="I1289" s="33"/>
      <c r="J1289" s="30"/>
    </row>
    <row r="1290" spans="1:10" x14ac:dyDescent="0.15">
      <c r="A1290" s="111"/>
      <c r="B1290" s="33"/>
      <c r="C1290" s="33"/>
      <c r="D1290" s="33"/>
      <c r="E1290" s="33"/>
      <c r="F1290" s="33"/>
      <c r="G1290" s="33"/>
      <c r="H1290" s="33"/>
      <c r="I1290" s="33"/>
      <c r="J1290" s="30"/>
    </row>
    <row r="1291" spans="1:10" x14ac:dyDescent="0.15">
      <c r="A1291" s="111"/>
      <c r="B1291" s="33"/>
      <c r="C1291" s="33"/>
      <c r="D1291" s="33"/>
      <c r="E1291" s="33"/>
      <c r="F1291" s="33"/>
      <c r="G1291" s="33"/>
      <c r="H1291" s="33"/>
      <c r="I1291" s="33"/>
      <c r="J1291" s="30"/>
    </row>
    <row r="1292" spans="1:10" x14ac:dyDescent="0.15">
      <c r="A1292" s="111"/>
      <c r="B1292" s="33"/>
      <c r="C1292" s="33"/>
      <c r="D1292" s="33"/>
      <c r="E1292" s="33"/>
      <c r="F1292" s="33"/>
      <c r="G1292" s="33"/>
      <c r="H1292" s="33"/>
      <c r="I1292" s="33"/>
      <c r="J1292" s="30"/>
    </row>
    <row r="1293" spans="1:10" x14ac:dyDescent="0.15">
      <c r="A1293" s="111"/>
      <c r="B1293" s="33"/>
      <c r="C1293" s="33"/>
      <c r="D1293" s="33"/>
      <c r="E1293" s="33"/>
      <c r="F1293" s="33"/>
      <c r="G1293" s="33"/>
      <c r="H1293" s="33"/>
      <c r="I1293" s="33"/>
      <c r="J1293" s="30"/>
    </row>
    <row r="1294" spans="1:10" x14ac:dyDescent="0.15">
      <c r="A1294" s="111"/>
      <c r="B1294" s="33"/>
      <c r="C1294" s="33"/>
      <c r="D1294" s="33"/>
      <c r="E1294" s="33"/>
      <c r="F1294" s="33"/>
      <c r="G1294" s="33"/>
      <c r="H1294" s="33"/>
      <c r="I1294" s="33"/>
      <c r="J1294" s="30"/>
    </row>
    <row r="1295" spans="1:10" x14ac:dyDescent="0.15">
      <c r="A1295" s="111"/>
      <c r="B1295" s="33"/>
      <c r="C1295" s="33"/>
      <c r="D1295" s="33"/>
      <c r="E1295" s="33"/>
      <c r="F1295" s="33"/>
      <c r="G1295" s="33"/>
      <c r="H1295" s="33"/>
      <c r="I1295" s="33"/>
      <c r="J1295" s="30"/>
    </row>
    <row r="1296" spans="1:10" x14ac:dyDescent="0.15">
      <c r="A1296" s="111"/>
      <c r="B1296" s="33"/>
      <c r="C1296" s="33"/>
      <c r="D1296" s="33"/>
      <c r="E1296" s="33"/>
      <c r="F1296" s="33"/>
      <c r="G1296" s="33"/>
      <c r="H1296" s="33"/>
      <c r="I1296" s="33"/>
      <c r="J1296" s="30"/>
    </row>
    <row r="1297" spans="1:10" x14ac:dyDescent="0.15">
      <c r="A1297" s="111"/>
      <c r="B1297" s="33"/>
      <c r="C1297" s="33"/>
      <c r="D1297" s="33"/>
      <c r="E1297" s="33"/>
      <c r="F1297" s="33"/>
      <c r="G1297" s="33"/>
      <c r="H1297" s="33"/>
      <c r="I1297" s="33"/>
      <c r="J1297" s="30"/>
    </row>
    <row r="1298" spans="1:10" x14ac:dyDescent="0.15">
      <c r="A1298" s="111"/>
      <c r="B1298" s="33"/>
      <c r="C1298" s="33"/>
      <c r="D1298" s="33"/>
      <c r="E1298" s="33"/>
      <c r="F1298" s="33"/>
      <c r="G1298" s="33"/>
      <c r="H1298" s="33"/>
      <c r="I1298" s="33"/>
      <c r="J1298" s="30"/>
    </row>
    <row r="1299" spans="1:10" x14ac:dyDescent="0.15">
      <c r="A1299" s="111"/>
      <c r="B1299" s="33"/>
      <c r="C1299" s="33"/>
      <c r="D1299" s="33"/>
      <c r="E1299" s="33"/>
      <c r="F1299" s="33"/>
      <c r="G1299" s="33"/>
      <c r="H1299" s="33"/>
      <c r="I1299" s="33"/>
      <c r="J1299" s="30"/>
    </row>
    <row r="1300" spans="1:10" x14ac:dyDescent="0.15">
      <c r="A1300" s="111"/>
      <c r="B1300" s="33"/>
      <c r="C1300" s="33"/>
      <c r="D1300" s="33"/>
      <c r="E1300" s="33"/>
      <c r="F1300" s="33"/>
      <c r="G1300" s="33"/>
      <c r="H1300" s="33"/>
      <c r="I1300" s="33"/>
      <c r="J1300" s="30"/>
    </row>
    <row r="1301" spans="1:10" x14ac:dyDescent="0.15">
      <c r="A1301" s="111"/>
      <c r="B1301" s="33"/>
      <c r="C1301" s="33"/>
      <c r="D1301" s="33"/>
      <c r="E1301" s="33"/>
      <c r="F1301" s="33"/>
      <c r="G1301" s="33"/>
      <c r="H1301" s="33"/>
      <c r="I1301" s="33"/>
      <c r="J1301" s="30"/>
    </row>
    <row r="1302" spans="1:10" x14ac:dyDescent="0.15">
      <c r="A1302" s="111"/>
      <c r="B1302" s="33"/>
      <c r="C1302" s="33"/>
      <c r="D1302" s="33"/>
      <c r="E1302" s="33"/>
      <c r="F1302" s="33"/>
      <c r="G1302" s="33"/>
      <c r="H1302" s="33"/>
      <c r="I1302" s="33"/>
      <c r="J1302" s="30"/>
    </row>
    <row r="1303" spans="1:10" x14ac:dyDescent="0.15">
      <c r="A1303" s="111"/>
      <c r="B1303" s="33"/>
      <c r="C1303" s="33"/>
      <c r="D1303" s="33"/>
      <c r="E1303" s="33"/>
      <c r="F1303" s="33"/>
      <c r="G1303" s="33"/>
      <c r="H1303" s="33"/>
      <c r="I1303" s="33"/>
      <c r="J1303" s="30"/>
    </row>
    <row r="1304" spans="1:10" x14ac:dyDescent="0.15">
      <c r="A1304" s="111"/>
      <c r="B1304" s="33"/>
      <c r="C1304" s="33"/>
      <c r="D1304" s="33"/>
      <c r="E1304" s="33"/>
      <c r="F1304" s="33"/>
      <c r="G1304" s="33"/>
      <c r="H1304" s="33"/>
      <c r="I1304" s="33"/>
      <c r="J1304" s="30"/>
    </row>
    <row r="1305" spans="1:10" x14ac:dyDescent="0.15">
      <c r="A1305" s="111"/>
      <c r="B1305" s="33"/>
      <c r="C1305" s="33"/>
      <c r="D1305" s="33"/>
      <c r="E1305" s="33"/>
      <c r="F1305" s="33"/>
      <c r="G1305" s="33"/>
      <c r="H1305" s="33"/>
      <c r="I1305" s="33"/>
      <c r="J1305" s="30"/>
    </row>
    <row r="1306" spans="1:10" x14ac:dyDescent="0.15">
      <c r="A1306" s="111"/>
      <c r="B1306" s="33"/>
      <c r="C1306" s="33"/>
      <c r="D1306" s="33"/>
      <c r="E1306" s="33"/>
      <c r="F1306" s="33"/>
      <c r="G1306" s="33"/>
      <c r="H1306" s="33"/>
      <c r="I1306" s="33"/>
      <c r="J1306" s="30"/>
    </row>
    <row r="1307" spans="1:10" x14ac:dyDescent="0.15">
      <c r="A1307" s="111"/>
      <c r="B1307" s="33"/>
      <c r="C1307" s="33"/>
      <c r="D1307" s="33"/>
      <c r="E1307" s="33"/>
      <c r="F1307" s="33"/>
      <c r="G1307" s="33"/>
      <c r="H1307" s="33"/>
      <c r="I1307" s="33"/>
      <c r="J1307" s="30"/>
    </row>
    <row r="1308" spans="1:10" x14ac:dyDescent="0.15">
      <c r="A1308" s="111"/>
      <c r="B1308" s="33"/>
      <c r="C1308" s="33"/>
      <c r="D1308" s="33"/>
      <c r="E1308" s="33"/>
      <c r="F1308" s="33"/>
      <c r="G1308" s="33"/>
      <c r="H1308" s="33"/>
      <c r="I1308" s="33"/>
      <c r="J1308" s="30"/>
    </row>
    <row r="1309" spans="1:10" x14ac:dyDescent="0.15">
      <c r="A1309" s="111"/>
      <c r="B1309" s="33"/>
      <c r="C1309" s="33"/>
      <c r="D1309" s="33"/>
      <c r="E1309" s="33"/>
      <c r="F1309" s="33"/>
      <c r="G1309" s="33"/>
      <c r="H1309" s="33"/>
      <c r="I1309" s="33"/>
      <c r="J1309" s="30"/>
    </row>
    <row r="1310" spans="1:10" x14ac:dyDescent="0.15">
      <c r="A1310" s="111"/>
      <c r="B1310" s="33"/>
      <c r="C1310" s="33"/>
      <c r="D1310" s="33"/>
      <c r="E1310" s="33"/>
      <c r="F1310" s="33"/>
      <c r="G1310" s="33"/>
      <c r="H1310" s="33"/>
      <c r="I1310" s="33"/>
      <c r="J1310" s="30"/>
    </row>
    <row r="1311" spans="1:10" x14ac:dyDescent="0.15">
      <c r="A1311" s="111"/>
      <c r="B1311" s="33"/>
      <c r="C1311" s="33"/>
      <c r="D1311" s="33"/>
      <c r="E1311" s="33"/>
      <c r="F1311" s="33"/>
      <c r="G1311" s="33"/>
      <c r="H1311" s="33"/>
      <c r="I1311" s="33"/>
      <c r="J1311" s="30"/>
    </row>
    <row r="1312" spans="1:10" x14ac:dyDescent="0.15">
      <c r="A1312" s="111"/>
      <c r="B1312" s="33"/>
      <c r="C1312" s="33"/>
      <c r="D1312" s="33"/>
      <c r="E1312" s="33"/>
      <c r="F1312" s="33"/>
      <c r="G1312" s="33"/>
      <c r="H1312" s="33"/>
      <c r="I1312" s="33"/>
      <c r="J1312" s="30"/>
    </row>
    <row r="1313" spans="1:10" x14ac:dyDescent="0.15">
      <c r="A1313" s="111"/>
      <c r="B1313" s="33"/>
      <c r="C1313" s="33"/>
      <c r="D1313" s="33"/>
      <c r="E1313" s="33"/>
      <c r="F1313" s="33"/>
      <c r="G1313" s="33"/>
      <c r="H1313" s="33"/>
      <c r="I1313" s="33"/>
      <c r="J1313" s="30"/>
    </row>
    <row r="1314" spans="1:10" x14ac:dyDescent="0.15">
      <c r="A1314" s="111"/>
      <c r="B1314" s="33"/>
      <c r="C1314" s="33"/>
      <c r="D1314" s="33"/>
      <c r="E1314" s="33"/>
      <c r="F1314" s="33"/>
      <c r="G1314" s="33"/>
      <c r="H1314" s="33"/>
      <c r="I1314" s="33"/>
      <c r="J1314" s="30"/>
    </row>
    <row r="1315" spans="1:10" x14ac:dyDescent="0.15">
      <c r="A1315" s="111"/>
      <c r="B1315" s="33"/>
      <c r="C1315" s="33"/>
      <c r="D1315" s="33"/>
      <c r="E1315" s="33"/>
      <c r="F1315" s="33"/>
      <c r="G1315" s="33"/>
      <c r="H1315" s="33"/>
      <c r="I1315" s="33"/>
      <c r="J1315" s="30"/>
    </row>
    <row r="1316" spans="1:10" x14ac:dyDescent="0.15">
      <c r="A1316" s="111"/>
      <c r="B1316" s="33"/>
      <c r="C1316" s="33"/>
      <c r="D1316" s="33"/>
      <c r="E1316" s="33"/>
      <c r="F1316" s="33"/>
      <c r="G1316" s="33"/>
      <c r="H1316" s="33"/>
      <c r="I1316" s="33"/>
      <c r="J1316" s="30"/>
    </row>
    <row r="1317" spans="1:10" x14ac:dyDescent="0.15">
      <c r="A1317" s="111"/>
      <c r="B1317" s="33"/>
      <c r="C1317" s="33"/>
      <c r="D1317" s="33"/>
      <c r="E1317" s="33"/>
      <c r="F1317" s="33"/>
      <c r="G1317" s="33"/>
      <c r="H1317" s="33"/>
      <c r="I1317" s="33"/>
      <c r="J1317" s="30"/>
    </row>
    <row r="1318" spans="1:10" x14ac:dyDescent="0.15">
      <c r="A1318" s="111"/>
      <c r="B1318" s="33"/>
      <c r="C1318" s="33"/>
      <c r="D1318" s="33"/>
      <c r="E1318" s="33"/>
      <c r="F1318" s="33"/>
      <c r="G1318" s="33"/>
      <c r="H1318" s="33"/>
      <c r="I1318" s="33"/>
      <c r="J1318" s="30"/>
    </row>
    <row r="1319" spans="1:10" x14ac:dyDescent="0.15">
      <c r="A1319" s="111"/>
      <c r="B1319" s="33"/>
      <c r="C1319" s="33"/>
      <c r="D1319" s="33"/>
      <c r="E1319" s="33"/>
      <c r="F1319" s="33"/>
      <c r="G1319" s="33"/>
      <c r="H1319" s="33"/>
      <c r="I1319" s="33"/>
      <c r="J1319" s="30"/>
    </row>
    <row r="1320" spans="1:10" x14ac:dyDescent="0.15">
      <c r="A1320" s="111"/>
      <c r="B1320" s="33"/>
      <c r="C1320" s="33"/>
      <c r="D1320" s="33"/>
      <c r="E1320" s="33"/>
      <c r="F1320" s="33"/>
      <c r="G1320" s="33"/>
      <c r="H1320" s="33"/>
      <c r="I1320" s="33"/>
      <c r="J1320" s="30"/>
    </row>
    <row r="1321" spans="1:10" x14ac:dyDescent="0.15">
      <c r="A1321" s="111"/>
      <c r="B1321" s="33"/>
      <c r="C1321" s="33"/>
      <c r="D1321" s="33"/>
      <c r="E1321" s="33"/>
      <c r="F1321" s="33"/>
      <c r="G1321" s="33"/>
      <c r="H1321" s="33"/>
      <c r="I1321" s="33"/>
      <c r="J1321" s="30"/>
    </row>
    <row r="1322" spans="1:10" x14ac:dyDescent="0.15">
      <c r="A1322" s="111"/>
      <c r="B1322" s="33"/>
      <c r="C1322" s="33"/>
      <c r="D1322" s="33"/>
      <c r="E1322" s="33"/>
      <c r="F1322" s="33"/>
      <c r="G1322" s="33"/>
      <c r="H1322" s="33"/>
      <c r="I1322" s="33"/>
      <c r="J1322" s="30"/>
    </row>
    <row r="1323" spans="1:10" x14ac:dyDescent="0.15">
      <c r="A1323" s="111"/>
      <c r="B1323" s="33"/>
      <c r="C1323" s="33"/>
      <c r="D1323" s="33"/>
      <c r="E1323" s="33"/>
      <c r="F1323" s="33"/>
      <c r="G1323" s="33"/>
      <c r="H1323" s="33"/>
      <c r="I1323" s="33"/>
      <c r="J1323" s="30"/>
    </row>
    <row r="1324" spans="1:10" x14ac:dyDescent="0.15">
      <c r="A1324" s="111"/>
      <c r="B1324" s="33"/>
      <c r="C1324" s="33"/>
      <c r="D1324" s="33"/>
      <c r="E1324" s="33"/>
      <c r="F1324" s="33"/>
      <c r="G1324" s="33"/>
      <c r="H1324" s="33"/>
      <c r="I1324" s="33"/>
      <c r="J1324" s="30"/>
    </row>
    <row r="1325" spans="1:10" x14ac:dyDescent="0.15">
      <c r="A1325" s="111"/>
      <c r="B1325" s="33"/>
      <c r="C1325" s="33"/>
      <c r="D1325" s="33"/>
      <c r="E1325" s="33"/>
      <c r="F1325" s="33"/>
      <c r="G1325" s="33"/>
      <c r="H1325" s="33"/>
      <c r="I1325" s="33"/>
      <c r="J1325" s="30"/>
    </row>
    <row r="1326" spans="1:10" x14ac:dyDescent="0.15">
      <c r="A1326" s="111"/>
      <c r="B1326" s="33"/>
      <c r="C1326" s="33"/>
      <c r="D1326" s="33"/>
      <c r="E1326" s="33"/>
      <c r="F1326" s="33"/>
      <c r="G1326" s="33"/>
      <c r="H1326" s="33"/>
      <c r="I1326" s="33"/>
      <c r="J1326" s="30"/>
    </row>
    <row r="1327" spans="1:10" x14ac:dyDescent="0.15">
      <c r="A1327" s="111"/>
      <c r="B1327" s="33"/>
      <c r="C1327" s="33"/>
      <c r="D1327" s="33"/>
      <c r="E1327" s="33"/>
      <c r="F1327" s="33"/>
      <c r="G1327" s="33"/>
      <c r="H1327" s="33"/>
      <c r="I1327" s="33"/>
      <c r="J1327" s="30"/>
    </row>
    <row r="1328" spans="1:10" x14ac:dyDescent="0.15">
      <c r="A1328" s="111"/>
      <c r="B1328" s="33"/>
      <c r="C1328" s="33"/>
      <c r="D1328" s="33"/>
      <c r="E1328" s="33"/>
      <c r="F1328" s="33"/>
      <c r="G1328" s="33"/>
      <c r="H1328" s="33"/>
      <c r="I1328" s="33"/>
      <c r="J1328" s="30"/>
    </row>
    <row r="1329" spans="1:10" x14ac:dyDescent="0.15">
      <c r="A1329" s="111"/>
      <c r="B1329" s="33"/>
      <c r="C1329" s="33"/>
      <c r="D1329" s="33"/>
      <c r="E1329" s="33"/>
      <c r="F1329" s="33"/>
      <c r="G1329" s="33"/>
      <c r="H1329" s="33"/>
      <c r="I1329" s="33"/>
      <c r="J1329" s="30"/>
    </row>
    <row r="1330" spans="1:10" x14ac:dyDescent="0.15">
      <c r="A1330" s="111"/>
      <c r="B1330" s="33"/>
      <c r="C1330" s="33"/>
      <c r="D1330" s="33"/>
      <c r="E1330" s="33"/>
      <c r="F1330" s="33"/>
      <c r="G1330" s="33"/>
      <c r="H1330" s="33"/>
      <c r="I1330" s="33"/>
      <c r="J1330" s="30"/>
    </row>
    <row r="1331" spans="1:10" x14ac:dyDescent="0.15">
      <c r="A1331" s="111"/>
      <c r="B1331" s="33"/>
      <c r="C1331" s="33"/>
      <c r="D1331" s="33"/>
      <c r="E1331" s="33"/>
      <c r="F1331" s="33"/>
      <c r="G1331" s="33"/>
      <c r="H1331" s="33"/>
      <c r="I1331" s="33"/>
      <c r="J1331" s="30"/>
    </row>
    <row r="1332" spans="1:10" x14ac:dyDescent="0.15">
      <c r="A1332" s="111"/>
      <c r="B1332" s="33"/>
      <c r="C1332" s="33"/>
      <c r="D1332" s="33"/>
      <c r="E1332" s="33"/>
      <c r="F1332" s="33"/>
      <c r="G1332" s="33"/>
      <c r="H1332" s="33"/>
      <c r="I1332" s="33"/>
      <c r="J1332" s="30"/>
    </row>
    <row r="1333" spans="1:10" x14ac:dyDescent="0.15">
      <c r="A1333" s="111"/>
      <c r="B1333" s="33"/>
      <c r="C1333" s="33"/>
      <c r="D1333" s="33"/>
      <c r="E1333" s="33"/>
      <c r="F1333" s="33"/>
      <c r="G1333" s="33"/>
      <c r="H1333" s="33"/>
      <c r="I1333" s="33"/>
      <c r="J1333" s="30"/>
    </row>
    <row r="1334" spans="1:10" x14ac:dyDescent="0.15">
      <c r="A1334" s="111"/>
      <c r="B1334" s="33"/>
      <c r="C1334" s="33"/>
      <c r="D1334" s="33"/>
      <c r="E1334" s="33"/>
      <c r="F1334" s="33"/>
      <c r="G1334" s="33"/>
      <c r="H1334" s="33"/>
      <c r="I1334" s="33"/>
      <c r="J1334" s="30"/>
    </row>
    <row r="1335" spans="1:10" x14ac:dyDescent="0.15">
      <c r="A1335" s="111"/>
      <c r="B1335" s="33"/>
      <c r="C1335" s="33"/>
      <c r="D1335" s="33"/>
      <c r="E1335" s="33"/>
      <c r="F1335" s="33"/>
      <c r="G1335" s="33"/>
      <c r="H1335" s="33"/>
      <c r="I1335" s="33"/>
      <c r="J1335" s="30"/>
    </row>
    <row r="1336" spans="1:10" x14ac:dyDescent="0.15">
      <c r="A1336" s="111"/>
      <c r="B1336" s="33"/>
      <c r="C1336" s="33"/>
      <c r="D1336" s="33"/>
      <c r="E1336" s="33"/>
      <c r="F1336" s="33"/>
      <c r="G1336" s="33"/>
      <c r="H1336" s="33"/>
      <c r="I1336" s="33"/>
      <c r="J1336" s="30"/>
    </row>
    <row r="1337" spans="1:10" x14ac:dyDescent="0.15">
      <c r="A1337" s="111"/>
      <c r="B1337" s="33"/>
      <c r="C1337" s="33"/>
      <c r="D1337" s="33"/>
      <c r="E1337" s="33"/>
      <c r="F1337" s="33"/>
      <c r="G1337" s="33"/>
      <c r="H1337" s="33"/>
      <c r="I1337" s="33"/>
      <c r="J1337" s="30"/>
    </row>
    <row r="1338" spans="1:10" x14ac:dyDescent="0.15">
      <c r="A1338" s="111"/>
      <c r="B1338" s="33"/>
      <c r="C1338" s="33"/>
      <c r="D1338" s="33"/>
      <c r="E1338" s="33"/>
      <c r="F1338" s="33"/>
      <c r="G1338" s="33"/>
      <c r="H1338" s="33"/>
      <c r="I1338" s="33"/>
      <c r="J1338" s="30"/>
    </row>
    <row r="1339" spans="1:10" x14ac:dyDescent="0.15">
      <c r="A1339" s="111"/>
      <c r="B1339" s="33"/>
      <c r="C1339" s="33"/>
      <c r="D1339" s="33"/>
      <c r="E1339" s="33"/>
      <c r="F1339" s="33"/>
      <c r="G1339" s="33"/>
      <c r="H1339" s="33"/>
      <c r="I1339" s="33"/>
      <c r="J1339" s="30"/>
    </row>
    <row r="1340" spans="1:10" x14ac:dyDescent="0.15">
      <c r="A1340" s="111"/>
      <c r="B1340" s="33"/>
      <c r="C1340" s="33"/>
      <c r="D1340" s="33"/>
      <c r="E1340" s="33"/>
      <c r="F1340" s="33"/>
      <c r="G1340" s="33"/>
      <c r="H1340" s="33"/>
      <c r="I1340" s="33"/>
      <c r="J1340" s="30"/>
    </row>
    <row r="1341" spans="1:10" x14ac:dyDescent="0.15">
      <c r="A1341" s="111"/>
      <c r="B1341" s="33"/>
      <c r="C1341" s="33"/>
      <c r="D1341" s="33"/>
      <c r="E1341" s="33"/>
      <c r="F1341" s="33"/>
      <c r="G1341" s="33"/>
      <c r="H1341" s="33"/>
      <c r="I1341" s="33"/>
      <c r="J1341" s="30"/>
    </row>
    <row r="1342" spans="1:10" x14ac:dyDescent="0.15">
      <c r="A1342" s="111"/>
      <c r="B1342" s="33"/>
      <c r="C1342" s="33"/>
      <c r="D1342" s="33"/>
      <c r="E1342" s="33"/>
      <c r="F1342" s="33"/>
      <c r="G1342" s="33"/>
      <c r="H1342" s="33"/>
      <c r="I1342" s="33"/>
      <c r="J1342" s="30"/>
    </row>
    <row r="1343" spans="1:10" x14ac:dyDescent="0.15">
      <c r="A1343" s="111"/>
      <c r="B1343" s="33"/>
      <c r="C1343" s="33"/>
      <c r="D1343" s="33"/>
      <c r="E1343" s="33"/>
      <c r="F1343" s="33"/>
      <c r="G1343" s="33"/>
      <c r="H1343" s="33"/>
      <c r="I1343" s="33"/>
      <c r="J1343" s="30"/>
    </row>
    <row r="1344" spans="1:10" x14ac:dyDescent="0.15">
      <c r="A1344" s="111"/>
      <c r="B1344" s="33"/>
      <c r="C1344" s="33"/>
      <c r="D1344" s="33"/>
      <c r="E1344" s="33"/>
      <c r="F1344" s="33"/>
      <c r="G1344" s="33"/>
      <c r="H1344" s="33"/>
      <c r="I1344" s="33"/>
      <c r="J1344" s="30"/>
    </row>
    <row r="1345" spans="1:10" x14ac:dyDescent="0.15">
      <c r="A1345" s="111"/>
      <c r="B1345" s="33"/>
      <c r="C1345" s="33"/>
      <c r="D1345" s="33"/>
      <c r="E1345" s="33"/>
      <c r="F1345" s="33"/>
      <c r="G1345" s="33"/>
      <c r="H1345" s="33"/>
      <c r="I1345" s="33"/>
      <c r="J1345" s="30"/>
    </row>
    <row r="1346" spans="1:10" x14ac:dyDescent="0.15">
      <c r="A1346" s="111"/>
      <c r="B1346" s="33"/>
      <c r="C1346" s="33"/>
      <c r="D1346" s="33"/>
      <c r="E1346" s="33"/>
      <c r="F1346" s="33"/>
      <c r="G1346" s="33"/>
      <c r="H1346" s="33"/>
      <c r="I1346" s="33"/>
      <c r="J1346" s="30"/>
    </row>
    <row r="1347" spans="1:10" x14ac:dyDescent="0.15">
      <c r="A1347" s="111"/>
      <c r="B1347" s="33"/>
      <c r="C1347" s="33"/>
      <c r="D1347" s="33"/>
      <c r="E1347" s="33"/>
      <c r="F1347" s="33"/>
      <c r="G1347" s="33"/>
      <c r="H1347" s="33"/>
      <c r="I1347" s="33"/>
      <c r="J1347" s="30"/>
    </row>
    <row r="1348" spans="1:10" x14ac:dyDescent="0.15">
      <c r="A1348" s="111"/>
      <c r="B1348" s="33"/>
      <c r="C1348" s="33"/>
      <c r="D1348" s="33"/>
      <c r="E1348" s="33"/>
      <c r="F1348" s="33"/>
      <c r="G1348" s="33"/>
      <c r="H1348" s="33"/>
      <c r="I1348" s="33"/>
      <c r="J1348" s="30"/>
    </row>
    <row r="1349" spans="1:10" x14ac:dyDescent="0.15">
      <c r="A1349" s="111"/>
      <c r="B1349" s="33"/>
      <c r="C1349" s="33"/>
      <c r="D1349" s="33"/>
      <c r="E1349" s="33"/>
      <c r="F1349" s="33"/>
      <c r="G1349" s="33"/>
      <c r="H1349" s="33"/>
      <c r="I1349" s="33"/>
      <c r="J1349" s="30"/>
    </row>
    <row r="1350" spans="1:10" x14ac:dyDescent="0.15">
      <c r="A1350" s="111"/>
      <c r="B1350" s="33"/>
      <c r="C1350" s="33"/>
      <c r="D1350" s="33"/>
      <c r="E1350" s="33"/>
      <c r="F1350" s="33"/>
      <c r="G1350" s="33"/>
      <c r="H1350" s="33"/>
      <c r="I1350" s="33"/>
      <c r="J1350" s="30"/>
    </row>
    <row r="1351" spans="1:10" x14ac:dyDescent="0.15">
      <c r="A1351" s="111"/>
      <c r="B1351" s="33"/>
      <c r="C1351" s="33"/>
      <c r="D1351" s="33"/>
      <c r="E1351" s="33"/>
      <c r="F1351" s="33"/>
      <c r="G1351" s="33"/>
      <c r="H1351" s="33"/>
      <c r="I1351" s="33"/>
      <c r="J1351" s="30"/>
    </row>
    <row r="1352" spans="1:10" x14ac:dyDescent="0.15">
      <c r="A1352" s="111"/>
      <c r="B1352" s="33"/>
      <c r="C1352" s="33"/>
      <c r="D1352" s="33"/>
      <c r="E1352" s="33"/>
      <c r="F1352" s="33"/>
      <c r="G1352" s="33"/>
      <c r="H1352" s="33"/>
      <c r="I1352" s="33"/>
      <c r="J1352" s="30"/>
    </row>
    <row r="1353" spans="1:10" x14ac:dyDescent="0.15">
      <c r="A1353" s="111"/>
      <c r="B1353" s="33"/>
      <c r="C1353" s="33"/>
      <c r="D1353" s="33"/>
      <c r="E1353" s="33"/>
      <c r="F1353" s="33"/>
      <c r="G1353" s="33"/>
      <c r="H1353" s="33"/>
      <c r="I1353" s="33"/>
      <c r="J1353" s="30"/>
    </row>
    <row r="1354" spans="1:10" x14ac:dyDescent="0.15">
      <c r="A1354" s="111"/>
      <c r="B1354" s="33"/>
      <c r="C1354" s="33"/>
      <c r="D1354" s="33"/>
      <c r="E1354" s="33"/>
      <c r="F1354" s="33"/>
      <c r="G1354" s="33"/>
      <c r="H1354" s="33"/>
      <c r="I1354" s="33"/>
      <c r="J1354" s="30"/>
    </row>
    <row r="1355" spans="1:10" x14ac:dyDescent="0.15">
      <c r="A1355" s="111"/>
      <c r="B1355" s="33"/>
      <c r="C1355" s="33"/>
      <c r="D1355" s="33"/>
      <c r="E1355" s="33"/>
      <c r="F1355" s="33"/>
      <c r="G1355" s="33"/>
      <c r="H1355" s="33"/>
      <c r="I1355" s="33"/>
      <c r="J1355" s="30"/>
    </row>
    <row r="1356" spans="1:10" x14ac:dyDescent="0.15">
      <c r="A1356" s="111"/>
      <c r="B1356" s="33"/>
      <c r="C1356" s="33"/>
      <c r="D1356" s="33"/>
      <c r="E1356" s="33"/>
      <c r="F1356" s="33"/>
      <c r="G1356" s="33"/>
      <c r="H1356" s="33"/>
      <c r="I1356" s="33"/>
      <c r="J1356" s="30"/>
    </row>
    <row r="1357" spans="1:10" x14ac:dyDescent="0.15">
      <c r="A1357" s="111"/>
      <c r="B1357" s="33"/>
      <c r="C1357" s="33"/>
      <c r="D1357" s="33"/>
      <c r="E1357" s="33"/>
      <c r="F1357" s="33"/>
      <c r="G1357" s="33"/>
      <c r="H1357" s="33"/>
      <c r="I1357" s="33"/>
      <c r="J1357" s="30"/>
    </row>
    <row r="1358" spans="1:10" x14ac:dyDescent="0.15">
      <c r="A1358" s="111"/>
      <c r="B1358" s="33"/>
      <c r="C1358" s="33"/>
      <c r="D1358" s="33"/>
      <c r="E1358" s="33"/>
      <c r="F1358" s="33"/>
      <c r="G1358" s="33"/>
      <c r="H1358" s="33"/>
      <c r="I1358" s="33"/>
      <c r="J1358" s="30"/>
    </row>
    <row r="1359" spans="1:10" x14ac:dyDescent="0.15">
      <c r="A1359" s="111"/>
      <c r="B1359" s="33"/>
      <c r="C1359" s="33"/>
      <c r="D1359" s="33"/>
      <c r="E1359" s="33"/>
      <c r="F1359" s="33"/>
      <c r="G1359" s="33"/>
      <c r="H1359" s="33"/>
      <c r="I1359" s="33"/>
      <c r="J1359" s="30"/>
    </row>
    <row r="1360" spans="1:10" x14ac:dyDescent="0.15">
      <c r="A1360" s="111"/>
      <c r="B1360" s="33"/>
      <c r="C1360" s="33"/>
      <c r="D1360" s="33"/>
      <c r="E1360" s="33"/>
      <c r="F1360" s="33"/>
      <c r="G1360" s="33"/>
      <c r="H1360" s="33"/>
      <c r="I1360" s="33"/>
      <c r="J1360" s="30"/>
    </row>
    <row r="1361" spans="1:10" x14ac:dyDescent="0.15">
      <c r="A1361" s="111"/>
      <c r="B1361" s="33"/>
      <c r="C1361" s="33"/>
      <c r="D1361" s="33"/>
      <c r="E1361" s="33"/>
      <c r="F1361" s="33"/>
      <c r="G1361" s="33"/>
      <c r="H1361" s="33"/>
      <c r="I1361" s="33"/>
      <c r="J1361" s="30"/>
    </row>
    <row r="1362" spans="1:10" x14ac:dyDescent="0.15">
      <c r="A1362" s="111"/>
      <c r="B1362" s="33"/>
      <c r="C1362" s="33"/>
      <c r="D1362" s="33"/>
      <c r="E1362" s="33"/>
      <c r="F1362" s="33"/>
      <c r="G1362" s="33"/>
      <c r="H1362" s="33"/>
      <c r="I1362" s="33"/>
      <c r="J1362" s="30"/>
    </row>
    <row r="1363" spans="1:10" x14ac:dyDescent="0.15">
      <c r="A1363" s="111"/>
      <c r="B1363" s="33"/>
      <c r="C1363" s="33"/>
      <c r="D1363" s="33"/>
      <c r="E1363" s="33"/>
      <c r="F1363" s="33"/>
      <c r="G1363" s="33"/>
      <c r="H1363" s="33"/>
      <c r="I1363" s="33"/>
      <c r="J1363" s="30"/>
    </row>
    <row r="1364" spans="1:10" x14ac:dyDescent="0.15">
      <c r="A1364" s="111"/>
      <c r="B1364" s="33"/>
      <c r="C1364" s="33"/>
      <c r="D1364" s="33"/>
      <c r="E1364" s="33"/>
      <c r="F1364" s="33"/>
      <c r="G1364" s="33"/>
      <c r="H1364" s="33"/>
      <c r="I1364" s="33"/>
      <c r="J1364" s="30"/>
    </row>
    <row r="1365" spans="1:10" x14ac:dyDescent="0.15">
      <c r="A1365" s="111"/>
      <c r="B1365" s="33"/>
      <c r="C1365" s="33"/>
      <c r="D1365" s="33"/>
      <c r="E1365" s="33"/>
      <c r="F1365" s="33"/>
      <c r="G1365" s="33"/>
      <c r="H1365" s="33"/>
      <c r="I1365" s="33"/>
      <c r="J1365" s="30"/>
    </row>
    <row r="1366" spans="1:10" x14ac:dyDescent="0.15">
      <c r="A1366" s="111"/>
      <c r="B1366" s="33"/>
      <c r="C1366" s="33"/>
      <c r="D1366" s="33"/>
      <c r="E1366" s="33"/>
      <c r="F1366" s="33"/>
      <c r="G1366" s="33"/>
      <c r="H1366" s="33"/>
      <c r="I1366" s="33"/>
      <c r="J1366" s="30"/>
    </row>
    <row r="1367" spans="1:10" x14ac:dyDescent="0.15">
      <c r="A1367" s="111"/>
      <c r="B1367" s="33"/>
      <c r="C1367" s="33"/>
      <c r="D1367" s="33"/>
      <c r="E1367" s="33"/>
      <c r="F1367" s="33"/>
      <c r="G1367" s="33"/>
      <c r="H1367" s="33"/>
      <c r="I1367" s="33"/>
      <c r="J1367" s="30"/>
    </row>
    <row r="1368" spans="1:10" x14ac:dyDescent="0.15">
      <c r="A1368" s="111"/>
      <c r="B1368" s="33"/>
      <c r="C1368" s="33"/>
      <c r="D1368" s="33"/>
      <c r="E1368" s="33"/>
      <c r="F1368" s="33"/>
      <c r="G1368" s="33"/>
      <c r="H1368" s="33"/>
      <c r="I1368" s="33"/>
      <c r="J1368" s="30"/>
    </row>
    <row r="1369" spans="1:10" x14ac:dyDescent="0.15">
      <c r="A1369" s="111"/>
      <c r="B1369" s="33"/>
      <c r="C1369" s="33"/>
      <c r="D1369" s="33"/>
      <c r="E1369" s="33"/>
      <c r="F1369" s="33"/>
      <c r="G1369" s="33"/>
      <c r="H1369" s="33"/>
      <c r="I1369" s="33"/>
      <c r="J1369" s="30"/>
    </row>
    <row r="1370" spans="1:10" x14ac:dyDescent="0.15">
      <c r="A1370" s="111"/>
      <c r="B1370" s="33"/>
      <c r="C1370" s="33"/>
      <c r="D1370" s="33"/>
      <c r="E1370" s="33"/>
      <c r="F1370" s="33"/>
      <c r="G1370" s="33"/>
      <c r="H1370" s="33"/>
      <c r="I1370" s="33"/>
      <c r="J1370" s="30"/>
    </row>
    <row r="1371" spans="1:10" x14ac:dyDescent="0.15">
      <c r="A1371" s="111"/>
      <c r="B1371" s="33"/>
      <c r="C1371" s="33"/>
      <c r="D1371" s="33"/>
      <c r="E1371" s="33"/>
      <c r="F1371" s="33"/>
      <c r="G1371" s="33"/>
      <c r="H1371" s="33"/>
      <c r="I1371" s="33"/>
      <c r="J1371" s="30"/>
    </row>
    <row r="1372" spans="1:10" x14ac:dyDescent="0.15">
      <c r="A1372" s="111"/>
      <c r="B1372" s="33"/>
      <c r="C1372" s="33"/>
      <c r="D1372" s="33"/>
      <c r="E1372" s="33"/>
      <c r="F1372" s="33"/>
      <c r="G1372" s="33"/>
      <c r="H1372" s="33"/>
      <c r="I1372" s="33"/>
      <c r="J1372" s="30"/>
    </row>
    <row r="1373" spans="1:10" x14ac:dyDescent="0.15">
      <c r="A1373" s="111"/>
      <c r="B1373" s="33"/>
      <c r="C1373" s="33"/>
      <c r="D1373" s="33"/>
      <c r="E1373" s="33"/>
      <c r="F1373" s="33"/>
      <c r="G1373" s="33"/>
      <c r="H1373" s="33"/>
      <c r="I1373" s="33"/>
      <c r="J1373" s="30"/>
    </row>
    <row r="1374" spans="1:10" x14ac:dyDescent="0.15">
      <c r="A1374" s="111"/>
      <c r="B1374" s="33"/>
      <c r="C1374" s="33"/>
      <c r="D1374" s="33"/>
      <c r="E1374" s="33"/>
      <c r="F1374" s="33"/>
      <c r="G1374" s="33"/>
      <c r="H1374" s="33"/>
      <c r="I1374" s="33"/>
      <c r="J1374" s="30"/>
    </row>
    <row r="1375" spans="1:10" x14ac:dyDescent="0.15">
      <c r="A1375" s="111"/>
      <c r="B1375" s="33"/>
      <c r="C1375" s="33"/>
      <c r="D1375" s="33"/>
      <c r="E1375" s="33"/>
      <c r="F1375" s="33"/>
      <c r="G1375" s="33"/>
      <c r="H1375" s="33"/>
      <c r="I1375" s="33"/>
      <c r="J1375" s="30"/>
    </row>
    <row r="1376" spans="1:10" x14ac:dyDescent="0.15">
      <c r="A1376" s="111"/>
      <c r="B1376" s="33"/>
      <c r="C1376" s="33"/>
      <c r="D1376" s="33"/>
      <c r="E1376" s="33"/>
      <c r="F1376" s="33"/>
      <c r="G1376" s="33"/>
      <c r="H1376" s="33"/>
      <c r="I1376" s="33"/>
      <c r="J1376" s="30"/>
    </row>
    <row r="1377" spans="1:10" x14ac:dyDescent="0.15">
      <c r="A1377" s="111"/>
      <c r="B1377" s="33"/>
      <c r="C1377" s="33"/>
      <c r="D1377" s="33"/>
      <c r="E1377" s="33"/>
      <c r="F1377" s="33"/>
      <c r="G1377" s="33"/>
      <c r="H1377" s="33"/>
      <c r="I1377" s="33"/>
      <c r="J1377" s="30"/>
    </row>
    <row r="1378" spans="1:10" x14ac:dyDescent="0.15">
      <c r="A1378" s="111"/>
      <c r="B1378" s="33"/>
      <c r="C1378" s="33"/>
      <c r="D1378" s="33"/>
      <c r="E1378" s="33"/>
      <c r="F1378" s="33"/>
      <c r="G1378" s="33"/>
      <c r="H1378" s="33"/>
      <c r="I1378" s="33"/>
      <c r="J1378" s="30"/>
    </row>
    <row r="1379" spans="1:10" x14ac:dyDescent="0.15">
      <c r="A1379" s="111"/>
      <c r="B1379" s="33"/>
      <c r="C1379" s="33"/>
      <c r="D1379" s="33"/>
      <c r="E1379" s="33"/>
      <c r="F1379" s="33"/>
      <c r="G1379" s="33"/>
      <c r="H1379" s="33"/>
      <c r="I1379" s="33"/>
      <c r="J1379" s="30"/>
    </row>
    <row r="1380" spans="1:10" x14ac:dyDescent="0.15">
      <c r="A1380" s="111"/>
      <c r="B1380" s="33"/>
      <c r="C1380" s="33"/>
      <c r="D1380" s="33"/>
      <c r="E1380" s="33"/>
      <c r="F1380" s="33"/>
      <c r="G1380" s="33"/>
      <c r="H1380" s="33"/>
      <c r="I1380" s="33"/>
      <c r="J1380" s="30"/>
    </row>
    <row r="1381" spans="1:10" x14ac:dyDescent="0.15">
      <c r="A1381" s="111"/>
      <c r="B1381" s="33"/>
      <c r="C1381" s="33"/>
      <c r="D1381" s="33"/>
      <c r="E1381" s="33"/>
      <c r="F1381" s="33"/>
      <c r="G1381" s="33"/>
      <c r="H1381" s="33"/>
      <c r="I1381" s="33"/>
      <c r="J1381" s="30"/>
    </row>
    <row r="1382" spans="1:10" x14ac:dyDescent="0.15">
      <c r="A1382" s="111"/>
      <c r="B1382" s="33"/>
      <c r="C1382" s="33"/>
      <c r="D1382" s="33"/>
      <c r="E1382" s="33"/>
      <c r="F1382" s="33"/>
      <c r="G1382" s="33"/>
      <c r="H1382" s="33"/>
      <c r="I1382" s="33"/>
      <c r="J1382" s="30"/>
    </row>
    <row r="1383" spans="1:10" x14ac:dyDescent="0.15">
      <c r="A1383" s="111"/>
      <c r="B1383" s="33"/>
      <c r="C1383" s="33"/>
      <c r="D1383" s="33"/>
      <c r="E1383" s="33"/>
      <c r="F1383" s="33"/>
      <c r="G1383" s="33"/>
      <c r="H1383" s="33"/>
      <c r="I1383" s="33"/>
      <c r="J1383" s="30"/>
    </row>
    <row r="1384" spans="1:10" x14ac:dyDescent="0.15">
      <c r="A1384" s="111"/>
      <c r="B1384" s="33"/>
      <c r="C1384" s="33"/>
      <c r="D1384" s="33"/>
      <c r="E1384" s="33"/>
      <c r="F1384" s="33"/>
      <c r="G1384" s="33"/>
      <c r="H1384" s="33"/>
      <c r="I1384" s="33"/>
      <c r="J1384" s="30"/>
    </row>
    <row r="1385" spans="1:10" x14ac:dyDescent="0.15">
      <c r="A1385" s="111"/>
      <c r="B1385" s="33"/>
      <c r="C1385" s="33"/>
      <c r="D1385" s="33"/>
      <c r="E1385" s="33"/>
      <c r="F1385" s="33"/>
      <c r="G1385" s="33"/>
      <c r="H1385" s="33"/>
      <c r="I1385" s="33"/>
      <c r="J1385" s="30"/>
    </row>
    <row r="1386" spans="1:10" x14ac:dyDescent="0.15">
      <c r="A1386" s="111"/>
      <c r="B1386" s="33"/>
      <c r="C1386" s="33"/>
      <c r="D1386" s="33"/>
      <c r="E1386" s="33"/>
      <c r="F1386" s="33"/>
      <c r="G1386" s="33"/>
      <c r="H1386" s="33"/>
      <c r="I1386" s="33"/>
      <c r="J1386" s="30"/>
    </row>
    <row r="1387" spans="1:10" x14ac:dyDescent="0.15">
      <c r="A1387" s="111"/>
      <c r="B1387" s="33"/>
      <c r="C1387" s="33"/>
      <c r="D1387" s="33"/>
      <c r="E1387" s="33"/>
      <c r="F1387" s="33"/>
      <c r="G1387" s="33"/>
      <c r="H1387" s="33"/>
      <c r="I1387" s="33"/>
      <c r="J1387" s="30"/>
    </row>
    <row r="1388" spans="1:10" x14ac:dyDescent="0.15">
      <c r="A1388" s="111"/>
      <c r="B1388" s="33"/>
      <c r="C1388" s="33"/>
      <c r="D1388" s="33"/>
      <c r="E1388" s="33"/>
      <c r="F1388" s="33"/>
      <c r="G1388" s="33"/>
      <c r="H1388" s="33"/>
      <c r="I1388" s="33"/>
      <c r="J1388" s="30"/>
    </row>
    <row r="1389" spans="1:10" x14ac:dyDescent="0.15">
      <c r="A1389" s="111"/>
      <c r="B1389" s="33"/>
      <c r="C1389" s="33"/>
      <c r="D1389" s="33"/>
      <c r="E1389" s="33"/>
      <c r="F1389" s="33"/>
      <c r="G1389" s="33"/>
      <c r="H1389" s="33"/>
      <c r="I1389" s="33"/>
      <c r="J1389" s="30"/>
    </row>
    <row r="1390" spans="1:10" x14ac:dyDescent="0.15">
      <c r="A1390" s="111"/>
      <c r="B1390" s="33"/>
      <c r="C1390" s="33"/>
      <c r="D1390" s="33"/>
      <c r="E1390" s="33"/>
      <c r="F1390" s="33"/>
      <c r="G1390" s="33"/>
      <c r="H1390" s="33"/>
      <c r="I1390" s="33"/>
      <c r="J1390" s="30"/>
    </row>
    <row r="1391" spans="1:10" x14ac:dyDescent="0.15">
      <c r="A1391" s="111"/>
      <c r="B1391" s="33"/>
      <c r="C1391" s="33"/>
      <c r="D1391" s="33"/>
      <c r="E1391" s="33"/>
      <c r="F1391" s="33"/>
      <c r="G1391" s="33"/>
      <c r="H1391" s="33"/>
      <c r="I1391" s="33"/>
      <c r="J1391" s="30"/>
    </row>
    <row r="1392" spans="1:10" x14ac:dyDescent="0.15">
      <c r="A1392" s="111"/>
      <c r="B1392" s="33"/>
      <c r="C1392" s="33"/>
      <c r="D1392" s="33"/>
      <c r="E1392" s="33"/>
      <c r="F1392" s="33"/>
      <c r="G1392" s="33"/>
      <c r="H1392" s="33"/>
      <c r="I1392" s="33"/>
      <c r="J1392" s="30"/>
    </row>
    <row r="1393" spans="1:10" x14ac:dyDescent="0.15">
      <c r="A1393" s="111"/>
      <c r="B1393" s="33"/>
      <c r="C1393" s="33"/>
      <c r="D1393" s="33"/>
      <c r="E1393" s="33"/>
      <c r="F1393" s="33"/>
      <c r="G1393" s="33"/>
      <c r="H1393" s="33"/>
      <c r="I1393" s="33"/>
      <c r="J1393" s="30"/>
    </row>
    <row r="1394" spans="1:10" x14ac:dyDescent="0.15">
      <c r="A1394" s="111"/>
      <c r="B1394" s="33"/>
      <c r="C1394" s="33"/>
      <c r="D1394" s="33"/>
      <c r="E1394" s="33"/>
      <c r="F1394" s="33"/>
      <c r="G1394" s="33"/>
      <c r="H1394" s="33"/>
      <c r="I1394" s="33"/>
      <c r="J1394" s="30"/>
    </row>
    <row r="1395" spans="1:10" x14ac:dyDescent="0.15">
      <c r="A1395" s="111"/>
      <c r="B1395" s="33"/>
      <c r="C1395" s="33"/>
      <c r="D1395" s="33"/>
      <c r="E1395" s="33"/>
      <c r="F1395" s="33"/>
      <c r="G1395" s="33"/>
      <c r="H1395" s="33"/>
      <c r="I1395" s="33"/>
      <c r="J1395" s="30"/>
    </row>
    <row r="1396" spans="1:10" x14ac:dyDescent="0.15">
      <c r="A1396" s="111"/>
      <c r="B1396" s="33"/>
      <c r="C1396" s="33"/>
      <c r="D1396" s="33"/>
      <c r="E1396" s="33"/>
      <c r="F1396" s="33"/>
      <c r="G1396" s="33"/>
      <c r="H1396" s="33"/>
      <c r="I1396" s="33"/>
      <c r="J1396" s="30"/>
    </row>
    <row r="1397" spans="1:10" x14ac:dyDescent="0.15">
      <c r="A1397" s="111"/>
      <c r="B1397" s="33"/>
      <c r="C1397" s="33"/>
      <c r="D1397" s="33"/>
      <c r="E1397" s="33"/>
      <c r="F1397" s="33"/>
      <c r="G1397" s="33"/>
      <c r="H1397" s="33"/>
      <c r="I1397" s="33"/>
      <c r="J1397" s="30"/>
    </row>
    <row r="1398" spans="1:10" x14ac:dyDescent="0.15">
      <c r="A1398" s="111"/>
      <c r="B1398" s="33"/>
      <c r="C1398" s="33"/>
      <c r="D1398" s="33"/>
      <c r="E1398" s="33"/>
      <c r="F1398" s="33"/>
      <c r="G1398" s="33"/>
      <c r="H1398" s="33"/>
      <c r="I1398" s="33"/>
      <c r="J1398" s="30"/>
    </row>
    <row r="1399" spans="1:10" x14ac:dyDescent="0.15">
      <c r="A1399" s="111"/>
      <c r="B1399" s="33"/>
      <c r="C1399" s="33"/>
      <c r="D1399" s="33"/>
      <c r="E1399" s="33"/>
      <c r="F1399" s="33"/>
      <c r="G1399" s="33"/>
      <c r="H1399" s="33"/>
      <c r="I1399" s="33"/>
      <c r="J1399" s="30"/>
    </row>
    <row r="1400" spans="1:10" x14ac:dyDescent="0.15">
      <c r="A1400" s="111"/>
      <c r="B1400" s="33"/>
      <c r="C1400" s="33"/>
      <c r="D1400" s="33"/>
      <c r="E1400" s="33"/>
      <c r="F1400" s="33"/>
      <c r="G1400" s="33"/>
      <c r="H1400" s="33"/>
      <c r="I1400" s="33"/>
      <c r="J1400" s="30"/>
    </row>
    <row r="1401" spans="1:10" x14ac:dyDescent="0.15">
      <c r="A1401" s="111"/>
      <c r="B1401" s="33"/>
      <c r="C1401" s="33"/>
      <c r="D1401" s="33"/>
      <c r="E1401" s="33"/>
      <c r="F1401" s="33"/>
      <c r="G1401" s="33"/>
      <c r="H1401" s="33"/>
      <c r="I1401" s="33"/>
      <c r="J1401" s="30"/>
    </row>
    <row r="1402" spans="1:10" x14ac:dyDescent="0.15">
      <c r="A1402" s="111"/>
      <c r="B1402" s="33"/>
      <c r="C1402" s="33"/>
      <c r="D1402" s="33"/>
      <c r="E1402" s="33"/>
      <c r="F1402" s="33"/>
      <c r="G1402" s="33"/>
      <c r="H1402" s="33"/>
      <c r="I1402" s="33"/>
      <c r="J1402" s="30"/>
    </row>
    <row r="1403" spans="1:10" x14ac:dyDescent="0.15">
      <c r="A1403" s="111"/>
      <c r="B1403" s="33"/>
      <c r="C1403" s="33"/>
      <c r="D1403" s="33"/>
      <c r="E1403" s="33"/>
      <c r="F1403" s="33"/>
      <c r="G1403" s="33"/>
      <c r="H1403" s="33"/>
      <c r="I1403" s="33"/>
      <c r="J1403" s="30"/>
    </row>
    <row r="1404" spans="1:10" x14ac:dyDescent="0.15">
      <c r="A1404" s="111"/>
      <c r="B1404" s="33"/>
      <c r="C1404" s="33"/>
      <c r="D1404" s="33"/>
      <c r="E1404" s="33"/>
      <c r="F1404" s="33"/>
      <c r="G1404" s="33"/>
      <c r="H1404" s="33"/>
      <c r="I1404" s="33"/>
      <c r="J1404" s="30"/>
    </row>
    <row r="1405" spans="1:10" x14ac:dyDescent="0.15">
      <c r="A1405" s="111"/>
      <c r="B1405" s="33"/>
      <c r="C1405" s="33"/>
      <c r="D1405" s="33"/>
      <c r="E1405" s="33"/>
      <c r="F1405" s="33"/>
      <c r="G1405" s="33"/>
      <c r="H1405" s="33"/>
      <c r="I1405" s="33"/>
      <c r="J1405" s="30"/>
    </row>
    <row r="1406" spans="1:10" x14ac:dyDescent="0.15">
      <c r="A1406" s="111"/>
      <c r="B1406" s="33"/>
      <c r="C1406" s="33"/>
      <c r="D1406" s="33"/>
      <c r="E1406" s="33"/>
      <c r="F1406" s="33"/>
      <c r="G1406" s="33"/>
      <c r="H1406" s="33"/>
      <c r="I1406" s="33"/>
      <c r="J1406" s="30"/>
    </row>
    <row r="1407" spans="1:10" x14ac:dyDescent="0.15">
      <c r="A1407" s="111"/>
      <c r="B1407" s="33"/>
      <c r="C1407" s="33"/>
      <c r="D1407" s="33"/>
      <c r="E1407" s="33"/>
      <c r="F1407" s="33"/>
      <c r="G1407" s="33"/>
      <c r="H1407" s="33"/>
      <c r="I1407" s="33"/>
      <c r="J1407" s="30"/>
    </row>
    <row r="1408" spans="1:10" x14ac:dyDescent="0.15">
      <c r="A1408" s="111"/>
      <c r="B1408" s="33"/>
      <c r="C1408" s="33"/>
      <c r="D1408" s="33"/>
      <c r="E1408" s="33"/>
      <c r="F1408" s="33"/>
      <c r="G1408" s="33"/>
      <c r="H1408" s="33"/>
      <c r="I1408" s="33"/>
      <c r="J1408" s="30"/>
    </row>
    <row r="1409" spans="1:10" x14ac:dyDescent="0.15">
      <c r="A1409" s="111"/>
      <c r="B1409" s="33"/>
      <c r="C1409" s="33"/>
      <c r="D1409" s="33"/>
      <c r="E1409" s="33"/>
      <c r="F1409" s="33"/>
      <c r="G1409" s="33"/>
      <c r="H1409" s="33"/>
      <c r="I1409" s="33"/>
      <c r="J1409" s="30"/>
    </row>
    <row r="1410" spans="1:10" x14ac:dyDescent="0.15">
      <c r="A1410" s="111"/>
      <c r="B1410" s="33"/>
      <c r="C1410" s="33"/>
      <c r="D1410" s="33"/>
      <c r="E1410" s="33"/>
      <c r="F1410" s="33"/>
      <c r="G1410" s="33"/>
      <c r="H1410" s="33"/>
      <c r="I1410" s="33"/>
      <c r="J1410" s="30"/>
    </row>
    <row r="1411" spans="1:10" x14ac:dyDescent="0.15">
      <c r="A1411" s="111"/>
      <c r="B1411" s="33"/>
      <c r="C1411" s="33"/>
      <c r="D1411" s="33"/>
      <c r="E1411" s="33"/>
      <c r="F1411" s="33"/>
      <c r="G1411" s="33"/>
      <c r="H1411" s="33"/>
      <c r="I1411" s="33"/>
      <c r="J1411" s="30"/>
    </row>
    <row r="1412" spans="1:10" x14ac:dyDescent="0.15">
      <c r="A1412" s="111"/>
      <c r="B1412" s="33"/>
      <c r="C1412" s="33"/>
      <c r="D1412" s="33"/>
      <c r="E1412" s="33"/>
      <c r="F1412" s="33"/>
      <c r="G1412" s="33"/>
      <c r="H1412" s="33"/>
      <c r="I1412" s="33"/>
      <c r="J1412" s="30"/>
    </row>
    <row r="1413" spans="1:10" x14ac:dyDescent="0.15">
      <c r="A1413" s="111"/>
      <c r="B1413" s="33"/>
      <c r="C1413" s="33"/>
      <c r="D1413" s="33"/>
      <c r="E1413" s="33"/>
      <c r="F1413" s="33"/>
      <c r="G1413" s="33"/>
      <c r="H1413" s="33"/>
      <c r="I1413" s="33"/>
      <c r="J1413" s="30"/>
    </row>
    <row r="1414" spans="1:10" x14ac:dyDescent="0.15">
      <c r="A1414" s="111"/>
      <c r="B1414" s="33"/>
      <c r="C1414" s="33"/>
      <c r="D1414" s="33"/>
      <c r="E1414" s="33"/>
      <c r="F1414" s="33"/>
      <c r="G1414" s="33"/>
      <c r="H1414" s="33"/>
      <c r="I1414" s="33"/>
      <c r="J1414" s="30"/>
    </row>
    <row r="1415" spans="1:10" x14ac:dyDescent="0.15">
      <c r="A1415" s="111"/>
      <c r="B1415" s="33"/>
      <c r="C1415" s="33"/>
      <c r="D1415" s="33"/>
      <c r="E1415" s="33"/>
      <c r="F1415" s="33"/>
      <c r="G1415" s="33"/>
      <c r="H1415" s="33"/>
      <c r="I1415" s="33"/>
      <c r="J1415" s="30"/>
    </row>
    <row r="1416" spans="1:10" x14ac:dyDescent="0.15">
      <c r="A1416" s="111"/>
      <c r="B1416" s="33"/>
      <c r="C1416" s="33"/>
      <c r="D1416" s="33"/>
      <c r="E1416" s="33"/>
      <c r="F1416" s="33"/>
      <c r="G1416" s="33"/>
      <c r="H1416" s="33"/>
      <c r="I1416" s="33"/>
      <c r="J1416" s="30"/>
    </row>
    <row r="1417" spans="1:10" x14ac:dyDescent="0.15">
      <c r="A1417" s="111"/>
      <c r="B1417" s="33"/>
      <c r="C1417" s="33"/>
      <c r="D1417" s="33"/>
      <c r="E1417" s="33"/>
      <c r="F1417" s="33"/>
      <c r="G1417" s="33"/>
      <c r="H1417" s="33"/>
      <c r="I1417" s="33"/>
      <c r="J1417" s="30"/>
    </row>
    <row r="1418" spans="1:10" x14ac:dyDescent="0.15">
      <c r="A1418" s="111"/>
      <c r="B1418" s="33"/>
      <c r="C1418" s="33"/>
      <c r="D1418" s="33"/>
      <c r="E1418" s="33"/>
      <c r="F1418" s="33"/>
      <c r="G1418" s="33"/>
      <c r="H1418" s="33"/>
      <c r="I1418" s="33"/>
      <c r="J1418" s="30"/>
    </row>
    <row r="1419" spans="1:10" x14ac:dyDescent="0.15">
      <c r="A1419" s="111"/>
      <c r="B1419" s="33"/>
      <c r="C1419" s="33"/>
      <c r="D1419" s="33"/>
      <c r="E1419" s="33"/>
      <c r="F1419" s="33"/>
      <c r="G1419" s="33"/>
      <c r="H1419" s="33"/>
      <c r="I1419" s="33"/>
      <c r="J1419" s="30"/>
    </row>
    <row r="1420" spans="1:10" x14ac:dyDescent="0.15">
      <c r="A1420" s="111"/>
      <c r="B1420" s="33"/>
      <c r="C1420" s="33"/>
      <c r="D1420" s="33"/>
      <c r="E1420" s="33"/>
      <c r="F1420" s="33"/>
      <c r="G1420" s="33"/>
      <c r="H1420" s="33"/>
      <c r="I1420" s="33"/>
      <c r="J1420" s="30"/>
    </row>
    <row r="1421" spans="1:10" x14ac:dyDescent="0.15">
      <c r="A1421" s="111"/>
      <c r="B1421" s="33"/>
      <c r="C1421" s="33"/>
      <c r="D1421" s="33"/>
      <c r="E1421" s="33"/>
      <c r="F1421" s="33"/>
      <c r="G1421" s="33"/>
      <c r="H1421" s="33"/>
      <c r="I1421" s="33"/>
      <c r="J1421" s="30"/>
    </row>
    <row r="1422" spans="1:10" x14ac:dyDescent="0.15">
      <c r="A1422" s="111"/>
      <c r="B1422" s="33"/>
      <c r="C1422" s="33"/>
      <c r="D1422" s="33"/>
      <c r="E1422" s="33"/>
      <c r="F1422" s="33"/>
      <c r="G1422" s="33"/>
      <c r="H1422" s="33"/>
      <c r="I1422" s="33"/>
      <c r="J1422" s="30"/>
    </row>
    <row r="1423" spans="1:10" x14ac:dyDescent="0.15">
      <c r="A1423" s="111"/>
      <c r="B1423" s="33"/>
      <c r="C1423" s="33"/>
      <c r="D1423" s="33"/>
      <c r="E1423" s="33"/>
      <c r="F1423" s="33"/>
      <c r="G1423" s="33"/>
      <c r="H1423" s="33"/>
      <c r="I1423" s="33"/>
      <c r="J1423" s="30"/>
    </row>
    <row r="1424" spans="1:10" x14ac:dyDescent="0.15">
      <c r="A1424" s="111"/>
      <c r="B1424" s="33"/>
      <c r="C1424" s="33"/>
      <c r="D1424" s="33"/>
      <c r="E1424" s="33"/>
      <c r="F1424" s="33"/>
      <c r="G1424" s="33"/>
      <c r="H1424" s="33"/>
      <c r="I1424" s="33"/>
      <c r="J1424" s="30"/>
    </row>
    <row r="1425" spans="1:10" x14ac:dyDescent="0.15">
      <c r="A1425" s="111"/>
      <c r="B1425" s="33"/>
      <c r="C1425" s="33"/>
      <c r="D1425" s="33"/>
      <c r="E1425" s="33"/>
      <c r="F1425" s="33"/>
      <c r="G1425" s="33"/>
      <c r="H1425" s="33"/>
      <c r="I1425" s="33"/>
      <c r="J1425" s="30"/>
    </row>
    <row r="1426" spans="1:10" x14ac:dyDescent="0.15">
      <c r="A1426" s="111"/>
      <c r="B1426" s="33"/>
      <c r="C1426" s="33"/>
      <c r="D1426" s="33"/>
      <c r="E1426" s="33"/>
      <c r="F1426" s="33"/>
      <c r="G1426" s="33"/>
      <c r="H1426" s="33"/>
      <c r="I1426" s="33"/>
      <c r="J1426" s="30"/>
    </row>
    <row r="1427" spans="1:10" x14ac:dyDescent="0.15">
      <c r="A1427" s="111"/>
      <c r="B1427" s="33"/>
      <c r="C1427" s="33"/>
      <c r="D1427" s="33"/>
      <c r="E1427" s="33"/>
      <c r="F1427" s="33"/>
      <c r="G1427" s="33"/>
      <c r="H1427" s="33"/>
      <c r="I1427" s="33"/>
      <c r="J1427" s="30"/>
    </row>
    <row r="1428" spans="1:10" x14ac:dyDescent="0.15">
      <c r="A1428" s="111"/>
      <c r="B1428" s="33"/>
      <c r="C1428" s="33"/>
      <c r="D1428" s="33"/>
      <c r="E1428" s="33"/>
      <c r="F1428" s="33"/>
      <c r="G1428" s="33"/>
      <c r="H1428" s="33"/>
      <c r="I1428" s="33"/>
      <c r="J1428" s="30"/>
    </row>
    <row r="1429" spans="1:10" x14ac:dyDescent="0.15">
      <c r="A1429" s="111"/>
      <c r="B1429" s="33"/>
      <c r="C1429" s="33"/>
      <c r="D1429" s="33"/>
      <c r="E1429" s="33"/>
      <c r="F1429" s="33"/>
      <c r="G1429" s="33"/>
      <c r="H1429" s="33"/>
      <c r="I1429" s="33"/>
      <c r="J1429" s="30"/>
    </row>
    <row r="1430" spans="1:10" x14ac:dyDescent="0.15">
      <c r="A1430" s="111"/>
      <c r="B1430" s="33"/>
      <c r="C1430" s="33"/>
      <c r="D1430" s="33"/>
      <c r="E1430" s="33"/>
      <c r="F1430" s="33"/>
      <c r="G1430" s="33"/>
      <c r="H1430" s="33"/>
      <c r="I1430" s="33"/>
      <c r="J1430" s="30"/>
    </row>
    <row r="1431" spans="1:10" x14ac:dyDescent="0.15">
      <c r="A1431" s="111"/>
      <c r="B1431" s="33"/>
      <c r="C1431" s="33"/>
      <c r="D1431" s="33"/>
      <c r="E1431" s="33"/>
      <c r="F1431" s="33"/>
      <c r="G1431" s="33"/>
      <c r="H1431" s="33"/>
      <c r="I1431" s="33"/>
      <c r="J1431" s="30"/>
    </row>
    <row r="1432" spans="1:10" x14ac:dyDescent="0.15">
      <c r="A1432" s="111"/>
      <c r="B1432" s="33"/>
      <c r="C1432" s="33"/>
      <c r="D1432" s="33"/>
      <c r="E1432" s="33"/>
      <c r="F1432" s="33"/>
      <c r="G1432" s="33"/>
      <c r="H1432" s="33"/>
      <c r="I1432" s="33"/>
      <c r="J1432" s="30"/>
    </row>
    <row r="1433" spans="1:10" x14ac:dyDescent="0.15">
      <c r="A1433" s="111"/>
      <c r="B1433" s="33"/>
      <c r="C1433" s="33"/>
      <c r="D1433" s="33"/>
      <c r="E1433" s="33"/>
      <c r="F1433" s="33"/>
      <c r="G1433" s="33"/>
      <c r="H1433" s="33"/>
      <c r="I1433" s="33"/>
      <c r="J1433" s="30"/>
    </row>
    <row r="1434" spans="1:10" x14ac:dyDescent="0.15">
      <c r="A1434" s="111"/>
      <c r="B1434" s="33"/>
      <c r="C1434" s="33"/>
      <c r="D1434" s="33"/>
      <c r="E1434" s="33"/>
      <c r="F1434" s="33"/>
      <c r="G1434" s="33"/>
      <c r="H1434" s="33"/>
      <c r="I1434" s="33"/>
      <c r="J1434" s="30"/>
    </row>
    <row r="1435" spans="1:10" x14ac:dyDescent="0.15">
      <c r="A1435" s="111"/>
      <c r="B1435" s="33"/>
      <c r="C1435" s="33"/>
      <c r="D1435" s="33"/>
      <c r="E1435" s="33"/>
      <c r="F1435" s="33"/>
      <c r="G1435" s="33"/>
      <c r="H1435" s="33"/>
      <c r="I1435" s="33"/>
      <c r="J1435" s="30"/>
    </row>
    <row r="1436" spans="1:10" x14ac:dyDescent="0.15">
      <c r="A1436" s="111"/>
      <c r="B1436" s="33"/>
      <c r="C1436" s="33"/>
      <c r="D1436" s="33"/>
      <c r="E1436" s="33"/>
      <c r="F1436" s="33"/>
      <c r="G1436" s="33"/>
      <c r="H1436" s="33"/>
      <c r="I1436" s="33"/>
      <c r="J1436" s="30"/>
    </row>
    <row r="1437" spans="1:10" x14ac:dyDescent="0.15">
      <c r="A1437" s="111"/>
      <c r="B1437" s="33"/>
      <c r="C1437" s="33"/>
      <c r="D1437" s="33"/>
      <c r="E1437" s="33"/>
      <c r="F1437" s="33"/>
      <c r="G1437" s="33"/>
      <c r="H1437" s="33"/>
      <c r="I1437" s="33"/>
      <c r="J1437" s="30"/>
    </row>
    <row r="1438" spans="1:10" x14ac:dyDescent="0.15">
      <c r="A1438" s="111"/>
      <c r="B1438" s="33"/>
      <c r="C1438" s="33"/>
      <c r="D1438" s="33"/>
      <c r="E1438" s="33"/>
      <c r="F1438" s="33"/>
      <c r="G1438" s="33"/>
      <c r="H1438" s="33"/>
      <c r="I1438" s="33"/>
      <c r="J1438" s="30"/>
    </row>
    <row r="1439" spans="1:10" x14ac:dyDescent="0.15">
      <c r="A1439" s="111"/>
      <c r="B1439" s="33"/>
      <c r="C1439" s="33"/>
      <c r="D1439" s="33"/>
      <c r="E1439" s="33"/>
      <c r="F1439" s="33"/>
      <c r="G1439" s="33"/>
      <c r="H1439" s="33"/>
      <c r="I1439" s="33"/>
      <c r="J1439" s="30"/>
    </row>
    <row r="1440" spans="1:10" x14ac:dyDescent="0.15">
      <c r="A1440" s="111"/>
      <c r="B1440" s="33"/>
      <c r="C1440" s="33"/>
      <c r="D1440" s="33"/>
      <c r="E1440" s="33"/>
      <c r="F1440" s="33"/>
      <c r="G1440" s="33"/>
      <c r="H1440" s="33"/>
      <c r="I1440" s="33"/>
      <c r="J1440" s="30"/>
    </row>
    <row r="1441" spans="1:10" x14ac:dyDescent="0.15">
      <c r="A1441" s="111"/>
      <c r="B1441" s="33"/>
      <c r="C1441" s="33"/>
      <c r="D1441" s="33"/>
      <c r="E1441" s="33"/>
      <c r="F1441" s="33"/>
      <c r="G1441" s="33"/>
      <c r="H1441" s="33"/>
      <c r="I1441" s="33"/>
      <c r="J1441" s="30"/>
    </row>
    <row r="1442" spans="1:10" x14ac:dyDescent="0.15">
      <c r="A1442" s="111"/>
      <c r="B1442" s="33"/>
      <c r="C1442" s="33"/>
      <c r="D1442" s="33"/>
      <c r="E1442" s="33"/>
      <c r="F1442" s="33"/>
      <c r="G1442" s="33"/>
      <c r="H1442" s="33"/>
      <c r="I1442" s="33"/>
      <c r="J1442" s="30"/>
    </row>
    <row r="1443" spans="1:10" x14ac:dyDescent="0.15">
      <c r="A1443" s="111"/>
      <c r="B1443" s="33"/>
      <c r="C1443" s="33"/>
      <c r="D1443" s="33"/>
      <c r="E1443" s="33"/>
      <c r="F1443" s="33"/>
      <c r="G1443" s="33"/>
      <c r="H1443" s="33"/>
      <c r="I1443" s="33"/>
      <c r="J1443" s="30"/>
    </row>
    <row r="1444" spans="1:10" x14ac:dyDescent="0.15">
      <c r="A1444" s="111"/>
      <c r="B1444" s="33"/>
      <c r="C1444" s="33"/>
      <c r="D1444" s="33"/>
      <c r="E1444" s="33"/>
      <c r="F1444" s="33"/>
      <c r="G1444" s="33"/>
      <c r="H1444" s="33"/>
      <c r="I1444" s="33"/>
      <c r="J1444" s="30"/>
    </row>
    <row r="1445" spans="1:10" x14ac:dyDescent="0.15">
      <c r="A1445" s="111"/>
      <c r="B1445" s="33"/>
      <c r="C1445" s="33"/>
      <c r="D1445" s="33"/>
      <c r="E1445" s="33"/>
      <c r="F1445" s="33"/>
      <c r="G1445" s="33"/>
      <c r="H1445" s="33"/>
      <c r="I1445" s="33"/>
      <c r="J1445" s="30"/>
    </row>
    <row r="1446" spans="1:10" x14ac:dyDescent="0.15">
      <c r="A1446" s="111"/>
      <c r="B1446" s="33"/>
      <c r="C1446" s="33"/>
      <c r="D1446" s="33"/>
      <c r="E1446" s="33"/>
      <c r="F1446" s="33"/>
      <c r="G1446" s="33"/>
      <c r="H1446" s="33"/>
      <c r="I1446" s="33"/>
      <c r="J1446" s="30"/>
    </row>
    <row r="1447" spans="1:10" x14ac:dyDescent="0.15">
      <c r="A1447" s="111"/>
      <c r="B1447" s="33"/>
      <c r="C1447" s="33"/>
      <c r="D1447" s="33"/>
      <c r="E1447" s="33"/>
      <c r="F1447" s="33"/>
      <c r="G1447" s="33"/>
      <c r="H1447" s="33"/>
      <c r="I1447" s="33"/>
      <c r="J1447" s="30"/>
    </row>
    <row r="1448" spans="1:10" x14ac:dyDescent="0.15">
      <c r="A1448" s="111"/>
      <c r="B1448" s="33"/>
      <c r="C1448" s="33"/>
      <c r="D1448" s="33"/>
      <c r="E1448" s="33"/>
      <c r="F1448" s="33"/>
      <c r="G1448" s="33"/>
      <c r="H1448" s="33"/>
      <c r="I1448" s="33"/>
      <c r="J1448" s="30"/>
    </row>
    <row r="1449" spans="1:10" x14ac:dyDescent="0.15">
      <c r="A1449" s="111"/>
      <c r="B1449" s="33"/>
      <c r="C1449" s="33"/>
      <c r="D1449" s="33"/>
      <c r="E1449" s="33"/>
      <c r="F1449" s="33"/>
      <c r="G1449" s="33"/>
      <c r="H1449" s="33"/>
      <c r="I1449" s="33"/>
      <c r="J1449" s="30"/>
    </row>
    <row r="1450" spans="1:10" x14ac:dyDescent="0.15">
      <c r="A1450" s="111"/>
      <c r="B1450" s="33"/>
      <c r="C1450" s="33"/>
      <c r="D1450" s="33"/>
      <c r="E1450" s="33"/>
      <c r="F1450" s="33"/>
      <c r="G1450" s="33"/>
      <c r="H1450" s="33"/>
      <c r="I1450" s="33"/>
      <c r="J1450" s="30"/>
    </row>
    <row r="1451" spans="1:10" x14ac:dyDescent="0.15">
      <c r="A1451" s="111"/>
      <c r="B1451" s="33"/>
      <c r="C1451" s="33"/>
      <c r="D1451" s="33"/>
      <c r="E1451" s="33"/>
      <c r="F1451" s="33"/>
      <c r="G1451" s="33"/>
      <c r="H1451" s="33"/>
      <c r="I1451" s="33"/>
      <c r="J1451" s="30"/>
    </row>
    <row r="1452" spans="1:10" x14ac:dyDescent="0.15">
      <c r="A1452" s="111"/>
      <c r="B1452" s="33"/>
      <c r="C1452" s="33"/>
      <c r="D1452" s="33"/>
      <c r="E1452" s="33"/>
      <c r="F1452" s="33"/>
      <c r="G1452" s="33"/>
      <c r="H1452" s="33"/>
      <c r="I1452" s="33"/>
      <c r="J1452" s="30"/>
    </row>
    <row r="1453" spans="1:10" x14ac:dyDescent="0.15">
      <c r="A1453" s="111"/>
      <c r="B1453" s="33"/>
      <c r="C1453" s="33"/>
      <c r="D1453" s="33"/>
      <c r="E1453" s="33"/>
      <c r="F1453" s="33"/>
      <c r="G1453" s="33"/>
      <c r="H1453" s="33"/>
      <c r="I1453" s="33"/>
      <c r="J1453" s="30"/>
    </row>
    <row r="1454" spans="1:10" x14ac:dyDescent="0.15">
      <c r="A1454" s="111"/>
      <c r="B1454" s="33"/>
      <c r="C1454" s="33"/>
      <c r="D1454" s="33"/>
      <c r="E1454" s="33"/>
      <c r="F1454" s="33"/>
      <c r="G1454" s="33"/>
      <c r="H1454" s="33"/>
      <c r="I1454" s="33"/>
      <c r="J1454" s="30"/>
    </row>
    <row r="1455" spans="1:10" x14ac:dyDescent="0.15">
      <c r="A1455" s="111"/>
      <c r="B1455" s="33"/>
      <c r="C1455" s="33"/>
      <c r="D1455" s="33"/>
      <c r="E1455" s="33"/>
      <c r="F1455" s="33"/>
      <c r="G1455" s="33"/>
      <c r="H1455" s="33"/>
      <c r="I1455" s="33"/>
      <c r="J1455" s="30"/>
    </row>
    <row r="1456" spans="1:10" x14ac:dyDescent="0.15">
      <c r="A1456" s="111"/>
      <c r="B1456" s="33"/>
      <c r="C1456" s="33"/>
      <c r="D1456" s="33"/>
      <c r="E1456" s="33"/>
      <c r="F1456" s="33"/>
      <c r="G1456" s="33"/>
      <c r="H1456" s="33"/>
      <c r="I1456" s="33"/>
      <c r="J1456" s="30"/>
    </row>
    <row r="1457" spans="1:10" x14ac:dyDescent="0.15">
      <c r="A1457" s="111"/>
      <c r="B1457" s="33"/>
      <c r="C1457" s="33"/>
      <c r="D1457" s="33"/>
      <c r="E1457" s="33"/>
      <c r="F1457" s="33"/>
      <c r="G1457" s="33"/>
      <c r="H1457" s="33"/>
      <c r="I1457" s="33"/>
      <c r="J1457" s="30"/>
    </row>
    <row r="1458" spans="1:10" x14ac:dyDescent="0.15">
      <c r="A1458" s="111"/>
      <c r="B1458" s="33"/>
      <c r="C1458" s="33"/>
      <c r="D1458" s="33"/>
      <c r="E1458" s="33"/>
      <c r="F1458" s="33"/>
      <c r="G1458" s="33"/>
      <c r="H1458" s="33"/>
      <c r="I1458" s="33"/>
      <c r="J1458" s="30"/>
    </row>
    <row r="1459" spans="1:10" x14ac:dyDescent="0.15">
      <c r="A1459" s="111"/>
      <c r="B1459" s="33"/>
      <c r="C1459" s="33"/>
      <c r="D1459" s="33"/>
      <c r="E1459" s="33"/>
      <c r="F1459" s="33"/>
      <c r="G1459" s="33"/>
      <c r="H1459" s="33"/>
      <c r="I1459" s="33"/>
      <c r="J1459" s="30"/>
    </row>
    <row r="1460" spans="1:10" x14ac:dyDescent="0.15">
      <c r="A1460" s="111"/>
      <c r="B1460" s="33"/>
      <c r="C1460" s="33"/>
      <c r="D1460" s="33"/>
      <c r="E1460" s="33"/>
      <c r="F1460" s="33"/>
      <c r="G1460" s="33"/>
      <c r="H1460" s="33"/>
      <c r="I1460" s="33"/>
      <c r="J1460" s="30"/>
    </row>
    <row r="1461" spans="1:10" x14ac:dyDescent="0.15">
      <c r="A1461" s="111"/>
      <c r="B1461" s="33"/>
      <c r="C1461" s="33"/>
      <c r="D1461" s="33"/>
      <c r="E1461" s="33"/>
      <c r="F1461" s="33"/>
      <c r="G1461" s="33"/>
      <c r="H1461" s="33"/>
      <c r="I1461" s="33"/>
      <c r="J1461" s="30"/>
    </row>
    <row r="1462" spans="1:10" x14ac:dyDescent="0.15">
      <c r="A1462" s="111"/>
      <c r="B1462" s="33"/>
      <c r="C1462" s="33"/>
      <c r="D1462" s="33"/>
      <c r="E1462" s="33"/>
      <c r="F1462" s="33"/>
      <c r="G1462" s="33"/>
      <c r="H1462" s="33"/>
      <c r="I1462" s="33"/>
      <c r="J1462" s="30"/>
    </row>
    <row r="1463" spans="1:10" x14ac:dyDescent="0.15">
      <c r="A1463" s="111"/>
      <c r="B1463" s="33"/>
      <c r="C1463" s="33"/>
      <c r="D1463" s="33"/>
      <c r="E1463" s="33"/>
      <c r="F1463" s="33"/>
      <c r="G1463" s="33"/>
      <c r="H1463" s="33"/>
      <c r="I1463" s="33"/>
      <c r="J1463" s="30"/>
    </row>
    <row r="1464" spans="1:10" x14ac:dyDescent="0.15">
      <c r="A1464" s="111"/>
      <c r="B1464" s="33"/>
      <c r="C1464" s="33"/>
      <c r="D1464" s="33"/>
      <c r="E1464" s="33"/>
      <c r="F1464" s="33"/>
      <c r="G1464" s="33"/>
      <c r="H1464" s="33"/>
      <c r="I1464" s="33"/>
      <c r="J1464" s="30"/>
    </row>
    <row r="1465" spans="1:10" x14ac:dyDescent="0.15">
      <c r="A1465" s="111"/>
      <c r="B1465" s="33"/>
      <c r="C1465" s="33"/>
      <c r="D1465" s="33"/>
      <c r="E1465" s="33"/>
      <c r="F1465" s="33"/>
      <c r="G1465" s="33"/>
      <c r="H1465" s="33"/>
      <c r="I1465" s="33"/>
      <c r="J1465" s="30"/>
    </row>
    <row r="1466" spans="1:10" x14ac:dyDescent="0.15">
      <c r="A1466" s="111"/>
      <c r="B1466" s="33"/>
      <c r="C1466" s="33"/>
      <c r="D1466" s="33"/>
      <c r="E1466" s="33"/>
      <c r="F1466" s="33"/>
      <c r="G1466" s="33"/>
      <c r="H1466" s="33"/>
      <c r="I1466" s="33"/>
      <c r="J1466" s="30"/>
    </row>
    <row r="1467" spans="1:10" x14ac:dyDescent="0.15">
      <c r="A1467" s="111"/>
      <c r="B1467" s="33"/>
      <c r="C1467" s="33"/>
      <c r="D1467" s="33"/>
      <c r="E1467" s="33"/>
      <c r="F1467" s="33"/>
      <c r="G1467" s="33"/>
      <c r="H1467" s="33"/>
      <c r="I1467" s="33"/>
      <c r="J1467" s="30"/>
    </row>
    <row r="1468" spans="1:10" x14ac:dyDescent="0.15">
      <c r="A1468" s="111"/>
      <c r="B1468" s="33"/>
      <c r="C1468" s="33"/>
      <c r="D1468" s="33"/>
      <c r="E1468" s="33"/>
      <c r="F1468" s="33"/>
      <c r="G1468" s="33"/>
      <c r="H1468" s="33"/>
      <c r="I1468" s="33"/>
      <c r="J1468" s="30"/>
    </row>
    <row r="1469" spans="1:10" x14ac:dyDescent="0.15">
      <c r="A1469" s="111"/>
      <c r="B1469" s="33"/>
      <c r="C1469" s="33"/>
      <c r="D1469" s="33"/>
      <c r="E1469" s="33"/>
      <c r="F1469" s="33"/>
      <c r="G1469" s="33"/>
      <c r="H1469" s="33"/>
      <c r="I1469" s="33"/>
      <c r="J1469" s="30"/>
    </row>
    <row r="1470" spans="1:10" x14ac:dyDescent="0.15">
      <c r="A1470" s="111"/>
      <c r="B1470" s="33"/>
      <c r="C1470" s="33"/>
      <c r="D1470" s="33"/>
      <c r="E1470" s="33"/>
      <c r="F1470" s="33"/>
      <c r="G1470" s="33"/>
      <c r="H1470" s="33"/>
      <c r="I1470" s="33"/>
      <c r="J1470" s="30"/>
    </row>
    <row r="1471" spans="1:10" x14ac:dyDescent="0.15">
      <c r="A1471" s="111"/>
      <c r="B1471" s="33"/>
      <c r="C1471" s="33"/>
      <c r="D1471" s="33"/>
      <c r="E1471" s="33"/>
      <c r="F1471" s="33"/>
      <c r="G1471" s="33"/>
      <c r="H1471" s="33"/>
      <c r="I1471" s="33"/>
      <c r="J1471" s="30"/>
    </row>
    <row r="1472" spans="1:10" x14ac:dyDescent="0.15">
      <c r="A1472" s="111"/>
      <c r="B1472" s="33"/>
      <c r="C1472" s="33"/>
      <c r="D1472" s="33"/>
      <c r="E1472" s="33"/>
      <c r="F1472" s="33"/>
      <c r="G1472" s="33"/>
      <c r="H1472" s="33"/>
      <c r="I1472" s="33"/>
      <c r="J1472" s="30"/>
    </row>
    <row r="1473" spans="1:10" x14ac:dyDescent="0.15">
      <c r="A1473" s="111"/>
      <c r="B1473" s="33"/>
      <c r="C1473" s="33"/>
      <c r="D1473" s="33"/>
      <c r="E1473" s="33"/>
      <c r="F1473" s="33"/>
      <c r="G1473" s="33"/>
      <c r="H1473" s="33"/>
      <c r="I1473" s="33"/>
      <c r="J1473" s="30"/>
    </row>
    <row r="1474" spans="1:10" x14ac:dyDescent="0.15">
      <c r="A1474" s="111"/>
      <c r="B1474" s="33"/>
      <c r="C1474" s="33"/>
      <c r="D1474" s="33"/>
      <c r="E1474" s="33"/>
      <c r="F1474" s="33"/>
      <c r="G1474" s="33"/>
      <c r="H1474" s="33"/>
      <c r="I1474" s="33"/>
      <c r="J1474" s="30"/>
    </row>
    <row r="1475" spans="1:10" x14ac:dyDescent="0.15">
      <c r="A1475" s="111"/>
      <c r="B1475" s="33"/>
      <c r="C1475" s="33"/>
      <c r="D1475" s="33"/>
      <c r="E1475" s="33"/>
      <c r="F1475" s="33"/>
      <c r="G1475" s="33"/>
      <c r="H1475" s="33"/>
      <c r="I1475" s="33"/>
      <c r="J1475" s="30"/>
    </row>
    <row r="1476" spans="1:10" x14ac:dyDescent="0.15">
      <c r="A1476" s="111"/>
      <c r="B1476" s="33"/>
      <c r="C1476" s="33"/>
      <c r="D1476" s="33"/>
      <c r="E1476" s="33"/>
      <c r="F1476" s="33"/>
      <c r="G1476" s="33"/>
      <c r="H1476" s="33"/>
      <c r="I1476" s="33"/>
      <c r="J1476" s="30"/>
    </row>
    <row r="1477" spans="1:10" x14ac:dyDescent="0.15">
      <c r="A1477" s="111"/>
      <c r="B1477" s="33"/>
      <c r="C1477" s="33"/>
      <c r="D1477" s="33"/>
      <c r="E1477" s="33"/>
      <c r="F1477" s="33"/>
      <c r="G1477" s="33"/>
      <c r="H1477" s="33"/>
      <c r="I1477" s="33"/>
      <c r="J1477" s="30"/>
    </row>
    <row r="1478" spans="1:10" x14ac:dyDescent="0.15">
      <c r="A1478" s="111"/>
      <c r="B1478" s="33"/>
      <c r="C1478" s="33"/>
      <c r="D1478" s="33"/>
      <c r="E1478" s="33"/>
      <c r="F1478" s="33"/>
      <c r="G1478" s="33"/>
      <c r="H1478" s="33"/>
      <c r="I1478" s="33"/>
      <c r="J1478" s="30"/>
    </row>
    <row r="1479" spans="1:10" x14ac:dyDescent="0.15">
      <c r="A1479" s="111"/>
      <c r="B1479" s="33"/>
      <c r="C1479" s="33"/>
      <c r="D1479" s="33"/>
      <c r="E1479" s="33"/>
      <c r="F1479" s="33"/>
      <c r="G1479" s="33"/>
      <c r="H1479" s="33"/>
      <c r="I1479" s="33"/>
      <c r="J1479" s="30"/>
    </row>
    <row r="1480" spans="1:10" x14ac:dyDescent="0.15">
      <c r="A1480" s="111"/>
      <c r="B1480" s="33"/>
      <c r="C1480" s="33"/>
      <c r="D1480" s="33"/>
      <c r="E1480" s="33"/>
      <c r="F1480" s="33"/>
      <c r="G1480" s="33"/>
      <c r="H1480" s="33"/>
      <c r="I1480" s="33"/>
      <c r="J1480" s="30"/>
    </row>
    <row r="1481" spans="1:10" x14ac:dyDescent="0.15">
      <c r="A1481" s="111"/>
      <c r="B1481" s="33"/>
      <c r="C1481" s="33"/>
      <c r="D1481" s="33"/>
      <c r="E1481" s="33"/>
      <c r="F1481" s="33"/>
      <c r="G1481" s="33"/>
      <c r="H1481" s="33"/>
      <c r="I1481" s="33"/>
      <c r="J1481" s="30"/>
    </row>
    <row r="1482" spans="1:10" x14ac:dyDescent="0.15">
      <c r="A1482" s="111"/>
      <c r="B1482" s="33"/>
      <c r="C1482" s="33"/>
      <c r="D1482" s="33"/>
      <c r="E1482" s="33"/>
      <c r="F1482" s="33"/>
      <c r="G1482" s="33"/>
      <c r="H1482" s="33"/>
      <c r="I1482" s="33"/>
      <c r="J1482" s="30"/>
    </row>
    <row r="1483" spans="1:10" x14ac:dyDescent="0.15">
      <c r="A1483" s="111"/>
      <c r="B1483" s="33"/>
      <c r="C1483" s="33"/>
      <c r="D1483" s="33"/>
      <c r="E1483" s="33"/>
      <c r="F1483" s="33"/>
      <c r="G1483" s="33"/>
      <c r="H1483" s="33"/>
      <c r="I1483" s="33"/>
      <c r="J1483" s="30"/>
    </row>
    <row r="1484" spans="1:10" x14ac:dyDescent="0.15">
      <c r="A1484" s="111"/>
      <c r="B1484" s="33"/>
      <c r="C1484" s="33"/>
      <c r="D1484" s="33"/>
      <c r="E1484" s="33"/>
      <c r="F1484" s="33"/>
      <c r="G1484" s="33"/>
      <c r="H1484" s="33"/>
      <c r="I1484" s="33"/>
      <c r="J1484" s="30"/>
    </row>
    <row r="1485" spans="1:10" x14ac:dyDescent="0.15">
      <c r="A1485" s="111"/>
      <c r="B1485" s="33"/>
      <c r="C1485" s="33"/>
      <c r="D1485" s="33"/>
      <c r="E1485" s="33"/>
      <c r="F1485" s="33"/>
      <c r="G1485" s="33"/>
      <c r="H1485" s="33"/>
      <c r="I1485" s="33"/>
      <c r="J1485" s="30"/>
    </row>
    <row r="1486" spans="1:10" x14ac:dyDescent="0.15">
      <c r="A1486" s="111"/>
      <c r="B1486" s="33"/>
      <c r="C1486" s="33"/>
      <c r="D1486" s="33"/>
      <c r="E1486" s="33"/>
      <c r="F1486" s="33"/>
      <c r="G1486" s="33"/>
      <c r="H1486" s="33"/>
      <c r="I1486" s="33"/>
      <c r="J1486" s="30"/>
    </row>
    <row r="1487" spans="1:10" x14ac:dyDescent="0.15">
      <c r="A1487" s="111"/>
      <c r="B1487" s="33"/>
      <c r="C1487" s="33"/>
      <c r="D1487" s="33"/>
      <c r="E1487" s="33"/>
      <c r="F1487" s="33"/>
      <c r="G1487" s="33"/>
      <c r="H1487" s="33"/>
      <c r="I1487" s="33"/>
      <c r="J1487" s="30"/>
    </row>
    <row r="1488" spans="1:10" x14ac:dyDescent="0.15">
      <c r="A1488" s="111"/>
      <c r="B1488" s="33"/>
      <c r="C1488" s="33"/>
      <c r="D1488" s="33"/>
      <c r="E1488" s="33"/>
      <c r="F1488" s="33"/>
      <c r="G1488" s="33"/>
      <c r="H1488" s="33"/>
      <c r="I1488" s="33"/>
      <c r="J1488" s="30"/>
    </row>
    <row r="1489" spans="1:10" x14ac:dyDescent="0.15">
      <c r="A1489" s="111"/>
      <c r="B1489" s="33"/>
      <c r="C1489" s="33"/>
      <c r="D1489" s="33"/>
      <c r="E1489" s="33"/>
      <c r="F1489" s="33"/>
      <c r="G1489" s="33"/>
      <c r="H1489" s="33"/>
      <c r="I1489" s="33"/>
      <c r="J1489" s="30"/>
    </row>
    <row r="1490" spans="1:10" x14ac:dyDescent="0.15">
      <c r="A1490" s="111"/>
      <c r="B1490" s="33"/>
      <c r="C1490" s="33"/>
      <c r="D1490" s="33"/>
      <c r="E1490" s="33"/>
      <c r="F1490" s="33"/>
      <c r="G1490" s="33"/>
      <c r="H1490" s="33"/>
      <c r="I1490" s="33"/>
      <c r="J1490" s="30"/>
    </row>
    <row r="1491" spans="1:10" x14ac:dyDescent="0.15">
      <c r="A1491" s="111"/>
      <c r="B1491" s="33"/>
      <c r="C1491" s="33"/>
      <c r="D1491" s="33"/>
      <c r="E1491" s="33"/>
      <c r="F1491" s="33"/>
      <c r="G1491" s="33"/>
      <c r="H1491" s="33"/>
      <c r="I1491" s="33"/>
      <c r="J1491" s="30"/>
    </row>
    <row r="1492" spans="1:10" x14ac:dyDescent="0.15">
      <c r="A1492" s="111"/>
      <c r="B1492" s="33"/>
      <c r="C1492" s="33"/>
      <c r="D1492" s="33"/>
      <c r="E1492" s="33"/>
      <c r="F1492" s="33"/>
      <c r="G1492" s="33"/>
      <c r="H1492" s="33"/>
      <c r="I1492" s="33"/>
      <c r="J1492" s="30"/>
    </row>
    <row r="1493" spans="1:10" x14ac:dyDescent="0.15">
      <c r="A1493" s="111"/>
      <c r="B1493" s="33"/>
      <c r="C1493" s="33"/>
      <c r="D1493" s="33"/>
      <c r="E1493" s="33"/>
      <c r="F1493" s="33"/>
      <c r="G1493" s="33"/>
      <c r="H1493" s="33"/>
      <c r="I1493" s="33"/>
      <c r="J1493" s="30"/>
    </row>
    <row r="1494" spans="1:10" x14ac:dyDescent="0.15">
      <c r="A1494" s="111"/>
      <c r="B1494" s="33"/>
      <c r="C1494" s="33"/>
      <c r="D1494" s="33"/>
      <c r="E1494" s="33"/>
      <c r="F1494" s="33"/>
      <c r="G1494" s="33"/>
      <c r="H1494" s="33"/>
      <c r="I1494" s="33"/>
      <c r="J1494" s="30"/>
    </row>
    <row r="1495" spans="1:10" x14ac:dyDescent="0.15">
      <c r="A1495" s="111"/>
      <c r="B1495" s="33"/>
      <c r="C1495" s="33"/>
      <c r="D1495" s="33"/>
      <c r="E1495" s="33"/>
      <c r="F1495" s="33"/>
      <c r="G1495" s="33"/>
      <c r="H1495" s="33"/>
      <c r="I1495" s="33"/>
      <c r="J1495" s="30"/>
    </row>
    <row r="1496" spans="1:10" x14ac:dyDescent="0.15">
      <c r="A1496" s="111"/>
      <c r="B1496" s="33"/>
      <c r="C1496" s="33"/>
      <c r="D1496" s="33"/>
      <c r="E1496" s="33"/>
      <c r="F1496" s="33"/>
      <c r="G1496" s="33"/>
      <c r="H1496" s="33"/>
      <c r="I1496" s="33"/>
      <c r="J1496" s="30"/>
    </row>
    <row r="1497" spans="1:10" x14ac:dyDescent="0.15">
      <c r="A1497" s="111"/>
      <c r="B1497" s="33"/>
      <c r="C1497" s="33"/>
      <c r="D1497" s="33"/>
      <c r="E1497" s="33"/>
      <c r="F1497" s="33"/>
      <c r="G1497" s="33"/>
      <c r="H1497" s="33"/>
      <c r="I1497" s="33"/>
      <c r="J1497" s="30"/>
    </row>
    <row r="1498" spans="1:10" x14ac:dyDescent="0.15">
      <c r="A1498" s="111"/>
      <c r="B1498" s="33"/>
      <c r="C1498" s="33"/>
      <c r="D1498" s="33"/>
      <c r="E1498" s="33"/>
      <c r="F1498" s="33"/>
      <c r="G1498" s="33"/>
      <c r="H1498" s="33"/>
      <c r="I1498" s="33"/>
      <c r="J1498" s="30"/>
    </row>
    <row r="1499" spans="1:10" x14ac:dyDescent="0.15">
      <c r="A1499" s="111"/>
      <c r="B1499" s="33"/>
      <c r="C1499" s="33"/>
      <c r="D1499" s="33"/>
      <c r="E1499" s="33"/>
      <c r="F1499" s="33"/>
      <c r="G1499" s="33"/>
      <c r="H1499" s="33"/>
      <c r="I1499" s="33"/>
      <c r="J1499" s="30"/>
    </row>
    <row r="1500" spans="1:10" x14ac:dyDescent="0.15">
      <c r="A1500" s="111"/>
      <c r="B1500" s="33"/>
      <c r="C1500" s="33"/>
      <c r="D1500" s="33"/>
      <c r="E1500" s="33"/>
      <c r="F1500" s="33"/>
      <c r="G1500" s="33"/>
      <c r="H1500" s="33"/>
      <c r="I1500" s="33"/>
      <c r="J1500" s="30"/>
    </row>
    <row r="1501" spans="1:10" x14ac:dyDescent="0.15">
      <c r="A1501" s="111"/>
      <c r="B1501" s="33"/>
      <c r="C1501" s="33"/>
      <c r="D1501" s="33"/>
      <c r="E1501" s="33"/>
      <c r="F1501" s="33"/>
      <c r="G1501" s="33"/>
      <c r="H1501" s="33"/>
      <c r="I1501" s="33"/>
      <c r="J1501" s="30"/>
    </row>
    <row r="1502" spans="1:10" x14ac:dyDescent="0.15">
      <c r="A1502" s="111"/>
      <c r="B1502" s="33"/>
      <c r="C1502" s="33"/>
      <c r="D1502" s="33"/>
      <c r="E1502" s="33"/>
      <c r="F1502" s="33"/>
      <c r="G1502" s="33"/>
      <c r="H1502" s="33"/>
      <c r="I1502" s="33"/>
      <c r="J1502" s="30"/>
    </row>
    <row r="1503" spans="1:10" x14ac:dyDescent="0.15">
      <c r="A1503" s="111"/>
      <c r="B1503" s="33"/>
      <c r="C1503" s="33"/>
      <c r="D1503" s="33"/>
      <c r="E1503" s="33"/>
      <c r="F1503" s="33"/>
      <c r="G1503" s="33"/>
      <c r="H1503" s="33"/>
      <c r="I1503" s="33"/>
      <c r="J1503" s="30"/>
    </row>
    <row r="1504" spans="1:10" x14ac:dyDescent="0.15">
      <c r="A1504" s="111"/>
      <c r="B1504" s="33"/>
      <c r="C1504" s="33"/>
      <c r="D1504" s="33"/>
      <c r="E1504" s="33"/>
      <c r="F1504" s="33"/>
      <c r="G1504" s="33"/>
      <c r="H1504" s="33"/>
      <c r="I1504" s="33"/>
      <c r="J1504" s="30"/>
    </row>
    <row r="1505" spans="1:220" x14ac:dyDescent="0.15">
      <c r="A1505" s="111"/>
      <c r="B1505" s="33"/>
      <c r="C1505" s="33"/>
      <c r="D1505" s="33"/>
      <c r="E1505" s="33"/>
      <c r="F1505" s="33"/>
      <c r="G1505" s="33"/>
      <c r="H1505" s="33"/>
      <c r="I1505" s="33"/>
      <c r="J1505" s="30"/>
    </row>
    <row r="1506" spans="1:220" x14ac:dyDescent="0.15">
      <c r="A1506" s="111"/>
      <c r="B1506" s="33"/>
      <c r="C1506" s="33"/>
      <c r="D1506" s="33"/>
      <c r="E1506" s="33"/>
      <c r="F1506" s="33"/>
      <c r="G1506" s="33"/>
      <c r="H1506" s="33"/>
      <c r="I1506" s="33"/>
      <c r="J1506" s="30"/>
    </row>
    <row r="1507" spans="1:220" x14ac:dyDescent="0.15">
      <c r="A1507" s="111"/>
      <c r="B1507" s="33"/>
      <c r="C1507" s="33"/>
      <c r="D1507" s="33"/>
      <c r="E1507" s="33"/>
      <c r="F1507" s="33"/>
      <c r="G1507" s="33"/>
      <c r="H1507" s="33"/>
      <c r="I1507" s="33"/>
      <c r="J1507" s="30"/>
    </row>
    <row r="1508" spans="1:220" x14ac:dyDescent="0.15">
      <c r="A1508" s="111"/>
      <c r="B1508" s="33"/>
      <c r="C1508" s="33"/>
      <c r="D1508" s="33"/>
      <c r="E1508" s="33"/>
      <c r="F1508" s="33"/>
      <c r="G1508" s="33"/>
      <c r="H1508" s="33"/>
      <c r="I1508" s="33"/>
      <c r="J1508" s="30"/>
    </row>
    <row r="1509" spans="1:220" s="36" customFormat="1" x14ac:dyDescent="0.15">
      <c r="A1509" s="111"/>
      <c r="B1509" s="33"/>
      <c r="C1509" s="33"/>
      <c r="D1509" s="33"/>
      <c r="E1509" s="33"/>
      <c r="F1509" s="33"/>
      <c r="G1509" s="33"/>
      <c r="H1509" s="33"/>
      <c r="I1509" s="33"/>
      <c r="J1509" s="30"/>
      <c r="K1509" s="33"/>
      <c r="L1509" s="33"/>
      <c r="M1509" s="33"/>
      <c r="N1509" s="33"/>
      <c r="O1509" s="33"/>
      <c r="P1509" s="33"/>
      <c r="Q1509" s="33"/>
      <c r="R1509" s="33"/>
      <c r="S1509" s="33"/>
      <c r="T1509" s="33"/>
      <c r="U1509" s="33"/>
      <c r="V1509" s="33"/>
      <c r="W1509" s="33"/>
      <c r="X1509" s="33"/>
      <c r="Y1509" s="33"/>
      <c r="Z1509" s="33"/>
      <c r="AA1509" s="33"/>
      <c r="AB1509" s="33"/>
      <c r="AC1509" s="33"/>
      <c r="AD1509" s="33"/>
      <c r="AE1509" s="33"/>
      <c r="AF1509" s="33"/>
      <c r="AG1509" s="33"/>
      <c r="AH1509" s="33"/>
      <c r="AI1509" s="33"/>
      <c r="AJ1509" s="33"/>
      <c r="AK1509" s="33"/>
      <c r="AL1509" s="33"/>
      <c r="AM1509" s="33"/>
      <c r="AN1509" s="33"/>
      <c r="AO1509" s="33"/>
      <c r="AP1509" s="33"/>
      <c r="AQ1509" s="33"/>
      <c r="AR1509" s="33"/>
      <c r="AS1509" s="33"/>
      <c r="AT1509" s="33"/>
      <c r="AU1509" s="33"/>
      <c r="AV1509" s="33"/>
      <c r="AW1509" s="33"/>
      <c r="AX1509" s="33"/>
      <c r="AY1509" s="33"/>
      <c r="AZ1509" s="33"/>
      <c r="BA1509" s="33"/>
      <c r="BB1509" s="33"/>
      <c r="BC1509" s="33"/>
      <c r="BD1509" s="33"/>
      <c r="BE1509" s="33"/>
      <c r="BF1509" s="33"/>
      <c r="BG1509" s="33"/>
      <c r="BH1509" s="33"/>
      <c r="BI1509" s="33"/>
      <c r="BJ1509" s="33"/>
      <c r="BK1509" s="33"/>
      <c r="BL1509" s="33"/>
      <c r="BM1509" s="33"/>
      <c r="BN1509" s="33"/>
      <c r="BO1509" s="33"/>
      <c r="BP1509" s="33"/>
      <c r="BQ1509" s="33"/>
      <c r="BR1509" s="33"/>
      <c r="BS1509" s="33"/>
      <c r="BT1509" s="33"/>
      <c r="BU1509" s="33"/>
      <c r="BV1509" s="33"/>
      <c r="BW1509" s="33"/>
      <c r="BX1509" s="33"/>
      <c r="BY1509" s="33"/>
      <c r="BZ1509" s="33"/>
      <c r="CA1509" s="33"/>
      <c r="CB1509" s="33"/>
      <c r="CC1509" s="33"/>
      <c r="CD1509" s="33"/>
      <c r="CE1509" s="33"/>
      <c r="CF1509" s="33"/>
      <c r="CG1509" s="33"/>
      <c r="CH1509" s="33"/>
      <c r="CI1509" s="33"/>
      <c r="CJ1509" s="33"/>
      <c r="CK1509" s="33"/>
      <c r="CL1509" s="33"/>
      <c r="CM1509" s="33"/>
      <c r="CN1509" s="33"/>
      <c r="CO1509" s="33"/>
      <c r="CP1509" s="33"/>
      <c r="CQ1509" s="33"/>
      <c r="CR1509" s="33"/>
      <c r="CS1509" s="33"/>
      <c r="CT1509" s="33"/>
      <c r="CU1509" s="33"/>
      <c r="CV1509" s="33"/>
      <c r="CW1509" s="33"/>
      <c r="CX1509" s="33"/>
      <c r="CY1509" s="33"/>
      <c r="CZ1509" s="33"/>
      <c r="DA1509" s="33"/>
      <c r="DB1509" s="33"/>
      <c r="DC1509" s="33"/>
      <c r="DD1509" s="33"/>
      <c r="DE1509" s="33"/>
      <c r="DF1509" s="33"/>
      <c r="DG1509" s="33"/>
      <c r="DH1509" s="33"/>
      <c r="DI1509" s="33"/>
      <c r="DJ1509" s="33"/>
      <c r="DK1509" s="33"/>
      <c r="DL1509" s="33"/>
      <c r="DM1509" s="33"/>
      <c r="DN1509" s="33"/>
      <c r="DO1509" s="33"/>
      <c r="DP1509" s="33"/>
      <c r="DQ1509" s="33"/>
      <c r="DR1509" s="33"/>
      <c r="DS1509" s="33"/>
      <c r="DT1509" s="33"/>
      <c r="DU1509" s="33"/>
      <c r="DV1509" s="33"/>
      <c r="DW1509" s="33"/>
      <c r="DX1509" s="33"/>
      <c r="DY1509" s="33"/>
      <c r="DZ1509" s="33"/>
      <c r="EA1509" s="33"/>
      <c r="EB1509" s="33"/>
      <c r="EC1509" s="33"/>
      <c r="ED1509" s="33"/>
      <c r="EE1509" s="33"/>
      <c r="EF1509" s="33"/>
      <c r="EG1509" s="33"/>
      <c r="EH1509" s="33"/>
      <c r="EI1509" s="33"/>
      <c r="EJ1509" s="33"/>
      <c r="EK1509" s="33"/>
      <c r="EL1509" s="33"/>
      <c r="EM1509" s="33"/>
      <c r="EN1509" s="33"/>
      <c r="EO1509" s="33"/>
      <c r="EP1509" s="33"/>
      <c r="EQ1509" s="33"/>
      <c r="ER1509" s="33"/>
      <c r="ES1509" s="33"/>
      <c r="ET1509" s="33"/>
      <c r="EU1509" s="33"/>
      <c r="EV1509" s="33"/>
      <c r="EW1509" s="33"/>
      <c r="EX1509" s="33"/>
      <c r="EY1509" s="33"/>
      <c r="EZ1509" s="33"/>
      <c r="FA1509" s="33"/>
      <c r="FB1509" s="33"/>
      <c r="FC1509" s="33"/>
      <c r="FD1509" s="33"/>
      <c r="FE1509" s="33"/>
      <c r="FF1509" s="33"/>
      <c r="FG1509" s="33"/>
      <c r="FH1509" s="33"/>
      <c r="FI1509" s="33"/>
      <c r="FJ1509" s="33"/>
      <c r="FK1509" s="33"/>
      <c r="FL1509" s="33"/>
      <c r="FM1509" s="33"/>
      <c r="FN1509" s="33"/>
      <c r="FO1509" s="33"/>
      <c r="FP1509" s="33"/>
      <c r="FQ1509" s="33"/>
      <c r="FR1509" s="33"/>
      <c r="FS1509" s="33"/>
      <c r="FT1509" s="33"/>
      <c r="FU1509" s="33"/>
      <c r="FV1509" s="33"/>
      <c r="FW1509" s="33"/>
      <c r="FX1509" s="33"/>
      <c r="FY1509" s="33"/>
      <c r="FZ1509" s="33"/>
      <c r="GA1509" s="33"/>
      <c r="GB1509" s="33"/>
      <c r="GC1509" s="33"/>
      <c r="GD1509" s="33"/>
      <c r="GE1509" s="33"/>
      <c r="GF1509" s="33"/>
      <c r="GG1509" s="33"/>
      <c r="GH1509" s="33"/>
      <c r="GI1509" s="33"/>
      <c r="GJ1509" s="33"/>
      <c r="GK1509" s="33"/>
      <c r="GL1509" s="33"/>
      <c r="GM1509" s="33"/>
      <c r="GN1509" s="33"/>
      <c r="GO1509" s="33"/>
      <c r="GP1509" s="33"/>
      <c r="GQ1509" s="33"/>
      <c r="GR1509" s="33"/>
      <c r="GS1509" s="33"/>
      <c r="GT1509" s="33"/>
      <c r="GU1509" s="33"/>
      <c r="GV1509" s="33"/>
      <c r="GW1509" s="33"/>
      <c r="GX1509" s="33"/>
      <c r="GY1509" s="33"/>
      <c r="GZ1509" s="33"/>
      <c r="HA1509" s="33"/>
      <c r="HB1509" s="33"/>
      <c r="HC1509" s="33"/>
      <c r="HD1509" s="33"/>
      <c r="HE1509" s="33"/>
      <c r="HF1509" s="33"/>
      <c r="HG1509" s="33"/>
      <c r="HH1509" s="33"/>
      <c r="HI1509" s="33"/>
      <c r="HJ1509" s="33"/>
      <c r="HK1509" s="33"/>
      <c r="HL1509" s="33"/>
    </row>
    <row r="1510" spans="1:220" s="33" customFormat="1" x14ac:dyDescent="0.15">
      <c r="A1510" s="111"/>
      <c r="J1510" s="30"/>
    </row>
    <row r="1511" spans="1:220" s="33" customFormat="1" x14ac:dyDescent="0.15">
      <c r="A1511" s="111"/>
      <c r="J1511" s="30"/>
    </row>
    <row r="1512" spans="1:220" s="33" customFormat="1" x14ac:dyDescent="0.15">
      <c r="A1512" s="111"/>
      <c r="J1512" s="30"/>
    </row>
    <row r="1513" spans="1:220" s="33" customFormat="1" x14ac:dyDescent="0.15">
      <c r="A1513" s="111"/>
      <c r="J1513" s="30"/>
    </row>
    <row r="1514" spans="1:220" s="33" customFormat="1" x14ac:dyDescent="0.15">
      <c r="A1514" s="111"/>
      <c r="J1514" s="30"/>
    </row>
    <row r="1515" spans="1:220" s="33" customFormat="1" x14ac:dyDescent="0.15">
      <c r="A1515" s="111"/>
      <c r="J1515" s="30"/>
    </row>
    <row r="1516" spans="1:220" s="33" customFormat="1" x14ac:dyDescent="0.15">
      <c r="A1516" s="111"/>
      <c r="J1516" s="30"/>
    </row>
    <row r="1517" spans="1:220" s="33" customFormat="1" x14ac:dyDescent="0.15">
      <c r="A1517" s="111"/>
      <c r="J1517" s="30"/>
    </row>
  </sheetData>
  <mergeCells count="156">
    <mergeCell ref="C412:C414"/>
    <mergeCell ref="C415:C417"/>
    <mergeCell ref="C601:C602"/>
    <mergeCell ref="A564:A566"/>
    <mergeCell ref="A569:A571"/>
    <mergeCell ref="A574:A576"/>
    <mergeCell ref="C526:C527"/>
    <mergeCell ref="C529:C531"/>
    <mergeCell ref="C532:C534"/>
    <mergeCell ref="C535:C537"/>
    <mergeCell ref="C538:C540"/>
    <mergeCell ref="C541:C543"/>
    <mergeCell ref="C544:C546"/>
    <mergeCell ref="C547:C549"/>
    <mergeCell ref="C550:C552"/>
    <mergeCell ref="C497:C503"/>
    <mergeCell ref="A52:A134"/>
    <mergeCell ref="A33:A51"/>
    <mergeCell ref="C18:C21"/>
    <mergeCell ref="C16:C17"/>
    <mergeCell ref="C279:C286"/>
    <mergeCell ref="C22:C25"/>
    <mergeCell ref="C135:C140"/>
    <mergeCell ref="C33:C40"/>
    <mergeCell ref="C48:C49"/>
    <mergeCell ref="C50:C51"/>
    <mergeCell ref="C355:C362"/>
    <mergeCell ref="C363:C370"/>
    <mergeCell ref="C296:C302"/>
    <mergeCell ref="C303:C309"/>
    <mergeCell ref="C310:C316"/>
    <mergeCell ref="C317:C323"/>
    <mergeCell ref="C324:C330"/>
    <mergeCell ref="C347:C354"/>
    <mergeCell ref="C125:C129"/>
    <mergeCell ref="C130:C134"/>
    <mergeCell ref="A412:A417"/>
    <mergeCell ref="G288:I288"/>
    <mergeCell ref="A1:I1"/>
    <mergeCell ref="A9:A30"/>
    <mergeCell ref="G8:I8"/>
    <mergeCell ref="E2:F2"/>
    <mergeCell ref="E3:F3"/>
    <mergeCell ref="E4:F4"/>
    <mergeCell ref="E5:F5"/>
    <mergeCell ref="A6:J6"/>
    <mergeCell ref="A287:J287"/>
    <mergeCell ref="A7:J7"/>
    <mergeCell ref="A31:J31"/>
    <mergeCell ref="G32:I32"/>
    <mergeCell ref="A278:A286"/>
    <mergeCell ref="A151:A165"/>
    <mergeCell ref="A135:A150"/>
    <mergeCell ref="C14:C15"/>
    <mergeCell ref="C65:C69"/>
    <mergeCell ref="C70:C74"/>
    <mergeCell ref="C75:C79"/>
    <mergeCell ref="C80:C90"/>
    <mergeCell ref="C109:C113"/>
    <mergeCell ref="C114:C119"/>
    <mergeCell ref="C120:C124"/>
    <mergeCell ref="A608:A615"/>
    <mergeCell ref="A289:A387"/>
    <mergeCell ref="A511:A522"/>
    <mergeCell ref="A524:J524"/>
    <mergeCell ref="G525:I525"/>
    <mergeCell ref="A562:J562"/>
    <mergeCell ref="G563:I563"/>
    <mergeCell ref="A572:J572"/>
    <mergeCell ref="G573:I573"/>
    <mergeCell ref="C371:C378"/>
    <mergeCell ref="C379:C387"/>
    <mergeCell ref="C599:C600"/>
    <mergeCell ref="A606:J606"/>
    <mergeCell ref="G607:I607"/>
    <mergeCell ref="A579:A605"/>
    <mergeCell ref="A427:A510"/>
    <mergeCell ref="C427:C433"/>
    <mergeCell ref="C434:C440"/>
    <mergeCell ref="C441:C447"/>
    <mergeCell ref="C448:C454"/>
    <mergeCell ref="C455:C461"/>
    <mergeCell ref="C462:C468"/>
    <mergeCell ref="C469:C475"/>
    <mergeCell ref="C476:C482"/>
    <mergeCell ref="C26:C27"/>
    <mergeCell ref="C91:C98"/>
    <mergeCell ref="C99:C103"/>
    <mergeCell ref="C104:C108"/>
    <mergeCell ref="C596:C598"/>
    <mergeCell ref="C579:C580"/>
    <mergeCell ref="C581:C582"/>
    <mergeCell ref="C418:C419"/>
    <mergeCell ref="C44:C47"/>
    <mergeCell ref="C41:C43"/>
    <mergeCell ref="C52:C64"/>
    <mergeCell ref="C188:C190"/>
    <mergeCell ref="C191:C192"/>
    <mergeCell ref="C193:C194"/>
    <mergeCell ref="C195:C201"/>
    <mergeCell ref="C584:C585"/>
    <mergeCell ref="C586:C587"/>
    <mergeCell ref="C588:C589"/>
    <mergeCell ref="C590:C591"/>
    <mergeCell ref="C592:C593"/>
    <mergeCell ref="C594:C595"/>
    <mergeCell ref="C483:C489"/>
    <mergeCell ref="C504:C510"/>
    <mergeCell ref="C490:C496"/>
    <mergeCell ref="A526:A561"/>
    <mergeCell ref="A567:J567"/>
    <mergeCell ref="G568:I568"/>
    <mergeCell ref="A577:J577"/>
    <mergeCell ref="G578:I578"/>
    <mergeCell ref="A418:A426"/>
    <mergeCell ref="C425:C426"/>
    <mergeCell ref="C141:C146"/>
    <mergeCell ref="C147:C150"/>
    <mergeCell ref="C331:C338"/>
    <mergeCell ref="C339:C346"/>
    <mergeCell ref="C420:C423"/>
    <mergeCell ref="C289:C295"/>
    <mergeCell ref="C166:C167"/>
    <mergeCell ref="C176:C180"/>
    <mergeCell ref="C181:C185"/>
    <mergeCell ref="A166:A201"/>
    <mergeCell ref="C168:C169"/>
    <mergeCell ref="C186:C187"/>
    <mergeCell ref="C170:C171"/>
    <mergeCell ref="C160:C165"/>
    <mergeCell ref="C151:C159"/>
    <mergeCell ref="C172:C173"/>
    <mergeCell ref="C174:C175"/>
    <mergeCell ref="A246:A251"/>
    <mergeCell ref="A252:A257"/>
    <mergeCell ref="C246:C251"/>
    <mergeCell ref="C252:C257"/>
    <mergeCell ref="C203:C206"/>
    <mergeCell ref="C239:C242"/>
    <mergeCell ref="C211:C222"/>
    <mergeCell ref="C223:C238"/>
    <mergeCell ref="C243:C245"/>
    <mergeCell ref="A202:A245"/>
    <mergeCell ref="C207:C210"/>
    <mergeCell ref="A258:A275"/>
    <mergeCell ref="C258:C263"/>
    <mergeCell ref="C264:C275"/>
    <mergeCell ref="A388:A411"/>
    <mergeCell ref="C393:C395"/>
    <mergeCell ref="C396:C398"/>
    <mergeCell ref="C399:C401"/>
    <mergeCell ref="C402:C404"/>
    <mergeCell ref="C405:C407"/>
    <mergeCell ref="C408:C411"/>
    <mergeCell ref="C388:C389"/>
    <mergeCell ref="C390:C392"/>
  </mergeCells>
  <phoneticPr fontId="1" type="noConversion"/>
  <hyperlinks>
    <hyperlink ref="J69" r:id="rId1" display="http://192.168.29.162:8080/browse/MTG-8567"/>
    <hyperlink ref="J99" r:id="rId2" display="http://192.168.29.162:8080/browse/MTG-8571"/>
    <hyperlink ref="J116" r:id="rId3" display="http://192.168.29.162:8080/browse/MTG-8572"/>
    <hyperlink ref="J169" r:id="rId4" display="http://192.168.29.162:8080/browse/MTG-8577"/>
    <hyperlink ref="J401" r:id="rId5" display="http://192.168.29.162:8080/browse/MTG-8592"/>
    <hyperlink ref="J595" r:id="rId6" display="http://192.168.29.162:8080/browse/MTG-8594"/>
    <hyperlink ref="J583" r:id="rId7"/>
    <hyperlink ref="J170" r:id="rId8" display="http://192.168.29.162:8080/browse/MTG-8549"/>
    <hyperlink ref="J519" r:id="rId9" display="http://192.168.29.162:8080/browse/MTG-8631"/>
    <hyperlink ref="J603" r:id="rId10" display="http://192.168.29.162:8080/browse/MTG-8628"/>
  </hyperlinks>
  <pageMargins left="0.7" right="0.7" top="0.75" bottom="0.75" header="0.3" footer="0.3"/>
  <pageSetup paperSize="9" orientation="portrait" horizontalDpi="200" verticalDpi="200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"/>
  <sheetViews>
    <sheetView workbookViewId="0"/>
  </sheetViews>
  <sheetFormatPr defaultRowHeight="16.5" x14ac:dyDescent="0.15"/>
  <cols>
    <col min="1" max="1" width="9" style="39" customWidth="1"/>
    <col min="2" max="16384" width="9" style="39"/>
  </cols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249977111117893"/>
  </sheetPr>
  <dimension ref="A1:D36"/>
  <sheetViews>
    <sheetView workbookViewId="0">
      <selection activeCell="G17" sqref="G17"/>
    </sheetView>
  </sheetViews>
  <sheetFormatPr defaultRowHeight="16.5" x14ac:dyDescent="0.15"/>
  <cols>
    <col min="1" max="2" width="9" style="39"/>
    <col min="3" max="3" width="15.25" style="39" customWidth="1"/>
    <col min="4" max="4" width="73.375" style="39" customWidth="1"/>
    <col min="5" max="16384" width="9" style="39"/>
  </cols>
  <sheetData>
    <row r="1" spans="1:4" x14ac:dyDescent="0.15">
      <c r="A1" s="40" t="s">
        <v>2</v>
      </c>
      <c r="B1" s="40" t="s">
        <v>3</v>
      </c>
      <c r="C1" s="40" t="s">
        <v>4</v>
      </c>
      <c r="D1" s="40" t="s">
        <v>5</v>
      </c>
    </row>
    <row r="2" spans="1:4" x14ac:dyDescent="0.15">
      <c r="A2" s="47"/>
      <c r="B2" s="20"/>
      <c r="C2" s="47"/>
      <c r="D2" s="20"/>
    </row>
    <row r="3" spans="1:4" x14ac:dyDescent="0.15">
      <c r="A3" s="47"/>
      <c r="B3" s="20"/>
      <c r="C3" s="47"/>
      <c r="D3" s="20"/>
    </row>
    <row r="4" spans="1:4" x14ac:dyDescent="0.15">
      <c r="A4" s="47"/>
      <c r="B4" s="20"/>
      <c r="C4" s="47"/>
      <c r="D4" s="41"/>
    </row>
    <row r="5" spans="1:4" x14ac:dyDescent="0.15">
      <c r="A5" s="47"/>
      <c r="B5" s="20"/>
      <c r="C5" s="47"/>
      <c r="D5" s="20"/>
    </row>
    <row r="6" spans="1:4" x14ac:dyDescent="0.15">
      <c r="A6" s="47"/>
      <c r="B6" s="20"/>
      <c r="C6" s="47"/>
      <c r="D6" s="41"/>
    </row>
    <row r="7" spans="1:4" x14ac:dyDescent="0.15">
      <c r="A7" s="47"/>
      <c r="B7" s="20"/>
      <c r="C7" s="47"/>
      <c r="D7" s="41"/>
    </row>
    <row r="8" spans="1:4" x14ac:dyDescent="0.15">
      <c r="A8" s="47"/>
      <c r="B8" s="20"/>
      <c r="C8" s="47"/>
      <c r="D8" s="20"/>
    </row>
    <row r="9" spans="1:4" x14ac:dyDescent="0.15">
      <c r="A9" s="47"/>
      <c r="B9" s="20"/>
      <c r="C9" s="47"/>
      <c r="D9" s="20"/>
    </row>
    <row r="10" spans="1:4" x14ac:dyDescent="0.15">
      <c r="A10" s="47"/>
      <c r="B10" s="20"/>
      <c r="C10" s="47"/>
      <c r="D10" s="41"/>
    </row>
    <row r="11" spans="1:4" x14ac:dyDescent="0.15">
      <c r="A11" s="47"/>
      <c r="B11" s="20"/>
      <c r="C11" s="47"/>
      <c r="D11" s="20"/>
    </row>
    <row r="12" spans="1:4" x14ac:dyDescent="0.15">
      <c r="A12" s="47"/>
      <c r="B12" s="20"/>
      <c r="C12" s="47"/>
      <c r="D12" s="42"/>
    </row>
    <row r="13" spans="1:4" x14ac:dyDescent="0.15">
      <c r="A13" s="47"/>
      <c r="B13" s="20"/>
      <c r="C13" s="47"/>
      <c r="D13" s="42"/>
    </row>
    <row r="14" spans="1:4" x14ac:dyDescent="0.15">
      <c r="A14" s="47"/>
      <c r="B14" s="20"/>
      <c r="C14" s="47"/>
      <c r="D14" s="42"/>
    </row>
    <row r="15" spans="1:4" x14ac:dyDescent="0.15">
      <c r="A15" s="47"/>
      <c r="B15" s="20"/>
      <c r="C15" s="47"/>
      <c r="D15" s="42"/>
    </row>
    <row r="16" spans="1:4" x14ac:dyDescent="0.15">
      <c r="A16" s="47"/>
      <c r="B16" s="20"/>
      <c r="C16" s="47"/>
      <c r="D16" s="43"/>
    </row>
    <row r="17" spans="1:4" x14ac:dyDescent="0.15">
      <c r="A17" s="47"/>
      <c r="B17" s="20"/>
      <c r="C17" s="47"/>
      <c r="D17" s="42"/>
    </row>
    <row r="18" spans="1:4" x14ac:dyDescent="0.15">
      <c r="A18" s="47"/>
      <c r="B18" s="20"/>
      <c r="C18" s="47"/>
      <c r="D18" s="42"/>
    </row>
    <row r="19" spans="1:4" x14ac:dyDescent="0.15">
      <c r="A19" s="47"/>
      <c r="B19" s="20"/>
      <c r="C19" s="47"/>
      <c r="D19" s="42"/>
    </row>
    <row r="20" spans="1:4" x14ac:dyDescent="0.15">
      <c r="A20" s="47"/>
      <c r="B20" s="20"/>
      <c r="C20" s="47"/>
      <c r="D20" s="42"/>
    </row>
    <row r="21" spans="1:4" x14ac:dyDescent="0.15">
      <c r="A21" s="47"/>
      <c r="B21" s="20"/>
      <c r="C21" s="47"/>
      <c r="D21" s="42"/>
    </row>
    <row r="22" spans="1:4" x14ac:dyDescent="0.15">
      <c r="A22" s="44"/>
      <c r="B22" s="45"/>
      <c r="C22" s="46"/>
      <c r="D22" s="42"/>
    </row>
    <row r="23" spans="1:4" x14ac:dyDescent="0.15">
      <c r="A23" s="44"/>
      <c r="B23" s="45"/>
      <c r="C23" s="46"/>
      <c r="D23" s="42"/>
    </row>
    <row r="24" spans="1:4" x14ac:dyDescent="0.15">
      <c r="A24" s="44"/>
      <c r="B24" s="45"/>
      <c r="C24" s="47"/>
      <c r="D24" s="42"/>
    </row>
    <row r="25" spans="1:4" x14ac:dyDescent="0.15">
      <c r="A25" s="44"/>
      <c r="B25" s="45"/>
      <c r="C25" s="46"/>
      <c r="D25" s="42"/>
    </row>
    <row r="26" spans="1:4" x14ac:dyDescent="0.15">
      <c r="A26" s="44"/>
      <c r="B26" s="45"/>
      <c r="C26" s="46"/>
      <c r="D26" s="42"/>
    </row>
    <row r="27" spans="1:4" x14ac:dyDescent="0.15">
      <c r="A27" s="47"/>
      <c r="B27" s="20"/>
      <c r="C27" s="47"/>
      <c r="D27" s="42"/>
    </row>
    <row r="28" spans="1:4" x14ac:dyDescent="0.15">
      <c r="A28" s="47"/>
      <c r="B28" s="20"/>
      <c r="C28" s="47"/>
      <c r="D28" s="42"/>
    </row>
    <row r="29" spans="1:4" x14ac:dyDescent="0.15">
      <c r="A29" s="7"/>
      <c r="B29" s="7"/>
      <c r="C29" s="7"/>
      <c r="D29" s="7"/>
    </row>
    <row r="30" spans="1:4" x14ac:dyDescent="0.15">
      <c r="A30" s="7"/>
      <c r="B30" s="7"/>
      <c r="C30" s="7"/>
      <c r="D30" s="7"/>
    </row>
    <row r="31" spans="1:4" x14ac:dyDescent="0.15">
      <c r="A31" s="7"/>
      <c r="B31" s="7"/>
      <c r="C31" s="7"/>
      <c r="D31" s="7"/>
    </row>
    <row r="32" spans="1:4" x14ac:dyDescent="0.15">
      <c r="A32" s="7"/>
      <c r="B32" s="7"/>
      <c r="C32" s="7"/>
      <c r="D32" s="7"/>
    </row>
    <row r="33" spans="1:4" x14ac:dyDescent="0.15">
      <c r="A33" s="7"/>
      <c r="B33" s="7"/>
      <c r="C33" s="7"/>
      <c r="D33" s="7"/>
    </row>
    <row r="34" spans="1:4" x14ac:dyDescent="0.15">
      <c r="A34" s="7"/>
      <c r="B34" s="7"/>
      <c r="C34" s="7"/>
      <c r="D34" s="7"/>
    </row>
    <row r="35" spans="1:4" x14ac:dyDescent="0.15">
      <c r="A35" s="7"/>
      <c r="B35" s="7"/>
      <c r="C35" s="7"/>
      <c r="D35" s="7"/>
    </row>
    <row r="36" spans="1:4" x14ac:dyDescent="0.15">
      <c r="A36" s="7"/>
      <c r="B36" s="7"/>
      <c r="C36" s="7"/>
      <c r="D36" s="7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sqref="A1:F27"/>
    </sheetView>
  </sheetViews>
  <sheetFormatPr defaultRowHeight="16.5" x14ac:dyDescent="0.15"/>
  <cols>
    <col min="1" max="16384" width="9" style="39"/>
  </cols>
  <sheetData>
    <row r="1" spans="1:6" x14ac:dyDescent="0.15">
      <c r="A1" s="105" t="s">
        <v>996</v>
      </c>
      <c r="B1" s="106"/>
      <c r="C1" s="106"/>
      <c r="D1" s="106"/>
      <c r="E1" s="106"/>
      <c r="F1" s="106"/>
    </row>
    <row r="2" spans="1:6" x14ac:dyDescent="0.15">
      <c r="A2" s="106"/>
      <c r="B2" s="106"/>
      <c r="C2" s="106"/>
      <c r="D2" s="106"/>
      <c r="E2" s="106"/>
      <c r="F2" s="106"/>
    </row>
    <row r="3" spans="1:6" x14ac:dyDescent="0.15">
      <c r="A3" s="106"/>
      <c r="B3" s="106"/>
      <c r="C3" s="106"/>
      <c r="D3" s="106"/>
      <c r="E3" s="106"/>
      <c r="F3" s="106"/>
    </row>
    <row r="4" spans="1:6" x14ac:dyDescent="0.15">
      <c r="A4" s="106"/>
      <c r="B4" s="106"/>
      <c r="C4" s="106"/>
      <c r="D4" s="106"/>
      <c r="E4" s="106"/>
      <c r="F4" s="106"/>
    </row>
    <row r="5" spans="1:6" x14ac:dyDescent="0.15">
      <c r="A5" s="106"/>
      <c r="B5" s="106"/>
      <c r="C5" s="106"/>
      <c r="D5" s="106"/>
      <c r="E5" s="106"/>
      <c r="F5" s="106"/>
    </row>
    <row r="6" spans="1:6" x14ac:dyDescent="0.15">
      <c r="A6" s="106"/>
      <c r="B6" s="106"/>
      <c r="C6" s="106"/>
      <c r="D6" s="106"/>
      <c r="E6" s="106"/>
      <c r="F6" s="106"/>
    </row>
    <row r="7" spans="1:6" x14ac:dyDescent="0.15">
      <c r="A7" s="106"/>
      <c r="B7" s="106"/>
      <c r="C7" s="106"/>
      <c r="D7" s="106"/>
      <c r="E7" s="106"/>
      <c r="F7" s="106"/>
    </row>
    <row r="8" spans="1:6" x14ac:dyDescent="0.15">
      <c r="A8" s="106"/>
      <c r="B8" s="106"/>
      <c r="C8" s="106"/>
      <c r="D8" s="106"/>
      <c r="E8" s="106"/>
      <c r="F8" s="106"/>
    </row>
    <row r="9" spans="1:6" x14ac:dyDescent="0.15">
      <c r="A9" s="106"/>
      <c r="B9" s="106"/>
      <c r="C9" s="106"/>
      <c r="D9" s="106"/>
      <c r="E9" s="106"/>
      <c r="F9" s="106"/>
    </row>
    <row r="10" spans="1:6" x14ac:dyDescent="0.15">
      <c r="A10" s="106"/>
      <c r="B10" s="106"/>
      <c r="C10" s="106"/>
      <c r="D10" s="106"/>
      <c r="E10" s="106"/>
      <c r="F10" s="106"/>
    </row>
    <row r="11" spans="1:6" x14ac:dyDescent="0.15">
      <c r="A11" s="106"/>
      <c r="B11" s="106"/>
      <c r="C11" s="106"/>
      <c r="D11" s="106"/>
      <c r="E11" s="106"/>
      <c r="F11" s="106"/>
    </row>
    <row r="12" spans="1:6" x14ac:dyDescent="0.15">
      <c r="A12" s="106"/>
      <c r="B12" s="106"/>
      <c r="C12" s="106"/>
      <c r="D12" s="106"/>
      <c r="E12" s="106"/>
      <c r="F12" s="106"/>
    </row>
    <row r="13" spans="1:6" x14ac:dyDescent="0.15">
      <c r="A13" s="106"/>
      <c r="B13" s="106"/>
      <c r="C13" s="106"/>
      <c r="D13" s="106"/>
      <c r="E13" s="106"/>
      <c r="F13" s="106"/>
    </row>
    <row r="14" spans="1:6" x14ac:dyDescent="0.15">
      <c r="A14" s="106"/>
      <c r="B14" s="106"/>
      <c r="C14" s="106"/>
      <c r="D14" s="106"/>
      <c r="E14" s="106"/>
      <c r="F14" s="106"/>
    </row>
    <row r="15" spans="1:6" x14ac:dyDescent="0.15">
      <c r="A15" s="106"/>
      <c r="B15" s="106"/>
      <c r="C15" s="106"/>
      <c r="D15" s="106"/>
      <c r="E15" s="106"/>
      <c r="F15" s="106"/>
    </row>
    <row r="16" spans="1:6" x14ac:dyDescent="0.15">
      <c r="A16" s="106"/>
      <c r="B16" s="106"/>
      <c r="C16" s="106"/>
      <c r="D16" s="106"/>
      <c r="E16" s="106"/>
      <c r="F16" s="106"/>
    </row>
    <row r="17" spans="1:6" x14ac:dyDescent="0.15">
      <c r="A17" s="106"/>
      <c r="B17" s="106"/>
      <c r="C17" s="106"/>
      <c r="D17" s="106"/>
      <c r="E17" s="106"/>
      <c r="F17" s="106"/>
    </row>
    <row r="18" spans="1:6" x14ac:dyDescent="0.15">
      <c r="A18" s="106"/>
      <c r="B18" s="106"/>
      <c r="C18" s="106"/>
      <c r="D18" s="106"/>
      <c r="E18" s="106"/>
      <c r="F18" s="106"/>
    </row>
    <row r="19" spans="1:6" x14ac:dyDescent="0.15">
      <c r="A19" s="106"/>
      <c r="B19" s="106"/>
      <c r="C19" s="106"/>
      <c r="D19" s="106"/>
      <c r="E19" s="106"/>
      <c r="F19" s="106"/>
    </row>
    <row r="20" spans="1:6" x14ac:dyDescent="0.15">
      <c r="A20" s="106"/>
      <c r="B20" s="106"/>
      <c r="C20" s="106"/>
      <c r="D20" s="106"/>
      <c r="E20" s="106"/>
      <c r="F20" s="106"/>
    </row>
    <row r="21" spans="1:6" x14ac:dyDescent="0.15">
      <c r="A21" s="106"/>
      <c r="B21" s="106"/>
      <c r="C21" s="106"/>
      <c r="D21" s="106"/>
      <c r="E21" s="106"/>
      <c r="F21" s="106"/>
    </row>
    <row r="22" spans="1:6" x14ac:dyDescent="0.15">
      <c r="A22" s="106"/>
      <c r="B22" s="106"/>
      <c r="C22" s="106"/>
      <c r="D22" s="106"/>
      <c r="E22" s="106"/>
      <c r="F22" s="106"/>
    </row>
    <row r="23" spans="1:6" x14ac:dyDescent="0.15">
      <c r="A23" s="106"/>
      <c r="B23" s="106"/>
      <c r="C23" s="106"/>
      <c r="D23" s="106"/>
      <c r="E23" s="106"/>
      <c r="F23" s="106"/>
    </row>
    <row r="24" spans="1:6" x14ac:dyDescent="0.15">
      <c r="A24" s="106"/>
      <c r="B24" s="106"/>
      <c r="C24" s="106"/>
      <c r="D24" s="106"/>
      <c r="E24" s="106"/>
      <c r="F24" s="106"/>
    </row>
    <row r="25" spans="1:6" x14ac:dyDescent="0.15">
      <c r="A25" s="106"/>
      <c r="B25" s="106"/>
      <c r="C25" s="106"/>
      <c r="D25" s="106"/>
      <c r="E25" s="106"/>
      <c r="F25" s="106"/>
    </row>
    <row r="26" spans="1:6" x14ac:dyDescent="0.15">
      <c r="A26" s="106"/>
      <c r="B26" s="106"/>
      <c r="C26" s="106"/>
      <c r="D26" s="106"/>
      <c r="E26" s="106"/>
      <c r="F26" s="106"/>
    </row>
    <row r="27" spans="1:6" x14ac:dyDescent="0.15">
      <c r="A27" s="106"/>
      <c r="B27" s="106"/>
      <c r="C27" s="106"/>
      <c r="D27" s="106"/>
      <c r="E27" s="106"/>
      <c r="F27" s="106"/>
    </row>
  </sheetData>
  <mergeCells count="1">
    <mergeCell ref="A1:F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测试用例</vt:lpstr>
      <vt:lpstr>策划相关</vt:lpstr>
      <vt:lpstr>修改内容</vt:lpstr>
      <vt:lpstr>第一次测试报告</vt:lpstr>
      <vt:lpstr>策划相关!_名词解释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2016-03-19T08:11:05Z</dcterms:modified>
</cp:coreProperties>
</file>