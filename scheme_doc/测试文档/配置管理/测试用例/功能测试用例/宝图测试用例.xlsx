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30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5621" concurrentCalc="0"/>
</workbook>
</file>

<file path=xl/calcChain.xml><?xml version="1.0" encoding="utf-8"?>
<calcChain xmlns="http://schemas.openxmlformats.org/spreadsheetml/2006/main">
  <c r="P6" i="1" l="1"/>
  <c r="O6" i="1"/>
  <c r="N6" i="1"/>
  <c r="M6" i="1"/>
  <c r="L6" i="1"/>
  <c r="P5" i="1"/>
  <c r="O5" i="1"/>
  <c r="N5" i="1"/>
  <c r="M5" i="1"/>
  <c r="L5" i="1"/>
  <c r="P4" i="1"/>
  <c r="O4" i="1"/>
  <c r="N4" i="1"/>
  <c r="M4" i="1"/>
  <c r="L4" i="1"/>
  <c r="P3" i="1"/>
  <c r="O3" i="1"/>
  <c r="N3" i="1"/>
  <c r="M3" i="1"/>
  <c r="L3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<sst xmlns="http://schemas.openxmlformats.org/spreadsheetml/2006/main" count="408" uniqueCount="294">
  <si>
    <t>宝图测试用例</t>
  </si>
  <si>
    <t xml:space="preserve">设 计 人 : </t>
  </si>
  <si>
    <t>赵新晨</t>
  </si>
  <si>
    <t>暂不处理</t>
  </si>
  <si>
    <t>主要功能分类</t>
  </si>
  <si>
    <t>测试记录</t>
  </si>
  <si>
    <t>备注</t>
  </si>
  <si>
    <t>Case总量</t>
  </si>
  <si>
    <t>设计时间 :</t>
  </si>
  <si>
    <t>2015.9.14</t>
  </si>
  <si>
    <t>需程序自测</t>
  </si>
  <si>
    <t>子功能测试序列</t>
  </si>
  <si>
    <t>测试时间</t>
  </si>
  <si>
    <t>P</t>
  </si>
  <si>
    <t>程    序 ：</t>
  </si>
  <si>
    <t>需策划评估</t>
  </si>
  <si>
    <t>测试序列分类</t>
  </si>
  <si>
    <t>测试版本</t>
  </si>
  <si>
    <t>F</t>
  </si>
  <si>
    <t>策    划 ：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</si>
  <si>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</si>
  <si>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</si>
  <si>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</si>
  <si>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</si>
  <si>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family val="2"/>
        <charset val="134"/>
      </rPr>
      <t>说明：添加或修改测试序列，请使用</t>
    </r>
    <r>
      <rPr>
        <sz val="10"/>
        <color indexed="12"/>
        <rFont val="微软雅黑"/>
        <family val="2"/>
        <charset val="134"/>
      </rPr>
      <t>蓝字</t>
    </r>
    <r>
      <rPr>
        <sz val="10"/>
        <color indexed="8"/>
        <rFont val="微软雅黑"/>
        <family val="2"/>
        <charset val="134"/>
      </rPr>
      <t>标注，有疑问的测试序列请使用</t>
    </r>
    <r>
      <rPr>
        <sz val="10"/>
        <color indexed="10"/>
        <rFont val="微软雅黑"/>
        <family val="2"/>
        <charset val="134"/>
      </rPr>
      <t>红字</t>
    </r>
    <r>
      <rPr>
        <sz val="10"/>
        <color indexed="8"/>
        <rFont val="微软雅黑"/>
        <family val="2"/>
        <charset val="134"/>
      </rPr>
      <t>标注。</t>
    </r>
  </si>
  <si>
    <t>/</t>
  </si>
  <si>
    <t>一、任务入口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</si>
  <si>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</si>
  <si>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</si>
  <si>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</si>
  <si>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</si>
  <si>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</si>
  <si>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</si>
  <si>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</si>
  <si>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t>测试结果(</t>
    </r>
    <r>
      <rPr>
        <sz val="10"/>
        <color indexed="12"/>
        <rFont val="微软雅黑"/>
        <family val="2"/>
        <charset val="134"/>
      </rPr>
      <t>P</t>
    </r>
    <r>
      <rPr>
        <sz val="10"/>
        <color indexed="8"/>
        <rFont val="微软雅黑"/>
        <family val="2"/>
        <charset val="134"/>
      </rPr>
      <t>/</t>
    </r>
    <r>
      <rPr>
        <sz val="10"/>
        <color indexed="10"/>
        <rFont val="微软雅黑"/>
        <family val="2"/>
        <charset val="134"/>
      </rPr>
      <t>F</t>
    </r>
    <r>
      <rPr>
        <sz val="10"/>
        <color indexed="8"/>
        <rFont val="微软雅黑"/>
        <family val="2"/>
        <charset val="134"/>
      </rPr>
      <t>)</t>
    </r>
  </si>
  <si>
    <t>入口</t>
  </si>
  <si>
    <t>MT-G-BT-001</t>
  </si>
  <si>
    <t>1、玩家等级大于等于25级
2、点击NPC弹出的“考古任务”服务按钮
3、查看</t>
  </si>
  <si>
    <t>成功领取宝图任务</t>
  </si>
  <si>
    <t>MT-G-BT-002</t>
  </si>
  <si>
    <t>1、玩家等级大于等于25级
2、点击活动界面活动</t>
  </si>
  <si>
    <t>寻路至NPC,成功领取宝图任务</t>
  </si>
  <si>
    <t>二、活动玩法</t>
  </si>
  <si>
    <r>
      <rPr>
        <sz val="10"/>
        <color indexed="8"/>
        <rFont val="微软雅黑"/>
        <family val="2"/>
        <charset val="134"/>
      </rPr>
      <t>测试结果(</t>
    </r>
    <r>
      <rPr>
        <sz val="10"/>
        <color indexed="12"/>
        <rFont val="微软雅黑"/>
        <family val="2"/>
        <charset val="134"/>
      </rPr>
      <t>P</t>
    </r>
    <r>
      <rPr>
        <sz val="10"/>
        <color indexed="8"/>
        <rFont val="微软雅黑"/>
        <family val="2"/>
        <charset val="134"/>
      </rPr>
      <t>/</t>
    </r>
    <r>
      <rPr>
        <sz val="10"/>
        <color indexed="10"/>
        <rFont val="微软雅黑"/>
        <family val="2"/>
        <charset val="134"/>
      </rPr>
      <t>F</t>
    </r>
    <r>
      <rPr>
        <sz val="10"/>
        <color indexed="8"/>
        <rFont val="微软雅黑"/>
        <family val="2"/>
        <charset val="134"/>
      </rPr>
      <t>)</t>
    </r>
  </si>
  <si>
    <t>领取任务</t>
  </si>
  <si>
    <t>MT-G-BT-003</t>
  </si>
  <si>
    <t>1.玩家大于等于25级
2.点击宝图NPC</t>
  </si>
  <si>
    <t>弹出服务窗口和闲话</t>
  </si>
  <si>
    <t>MT-G-BT-004</t>
  </si>
  <si>
    <t>闲话内容清晰、无错别字</t>
  </si>
  <si>
    <t>MT-G-BT-005</t>
  </si>
  <si>
    <t>MT-G-BT-006</t>
  </si>
  <si>
    <t>MT-G-BT-007</t>
  </si>
  <si>
    <t>1、玩家等级小于25级
2、点击宝图NPC</t>
  </si>
  <si>
    <t>没有“考古任务”按钮</t>
  </si>
  <si>
    <t>MT-G-BT-008</t>
  </si>
  <si>
    <t>1、玩家为队长
2、接取任务</t>
  </si>
  <si>
    <t>队员不共享任务</t>
  </si>
  <si>
    <t>MT-G-BT-009</t>
  </si>
  <si>
    <t>1、玩家为队员
2、暂离队伍
3、接取任务</t>
  </si>
  <si>
    <t>成功领取</t>
  </si>
  <si>
    <t>MT-G-BT-010</t>
  </si>
  <si>
    <t>其余队员不共享任务</t>
  </si>
  <si>
    <t>MT-G-BT-011</t>
  </si>
  <si>
    <t>1、在活动界面点击宝图任务</t>
  </si>
  <si>
    <t>寻路至NPC领取任务</t>
  </si>
  <si>
    <t>MT-G-BT-012</t>
  </si>
  <si>
    <t>弹出交互界面</t>
  </si>
  <si>
    <t>MT-G-BT-013</t>
  </si>
  <si>
    <t>1、点击任务追踪面板追踪</t>
  </si>
  <si>
    <t>寻路至贼王处直接战斗</t>
  </si>
  <si>
    <t>玩法</t>
  </si>
  <si>
    <t>MT-G-BT-014</t>
  </si>
  <si>
    <t>1、点击任务面板追踪任务后
2、不进行任何操作</t>
  </si>
  <si>
    <t>MT-G-BT-015</t>
  </si>
  <si>
    <t>宝图任务重置</t>
  </si>
  <si>
    <t>MT-G-BT-016</t>
  </si>
  <si>
    <t>1、领取任务后
2、查看</t>
  </si>
  <si>
    <t>该场景出现明雷怪</t>
  </si>
  <si>
    <t>MT-G-BT-017</t>
  </si>
  <si>
    <t>只能看见自己的明雷怪</t>
  </si>
  <si>
    <t>MT-G-BT-018</t>
  </si>
  <si>
    <t>点击明雷怪直接触发战斗</t>
  </si>
  <si>
    <t>MT-G-BT-019</t>
  </si>
  <si>
    <t>MT-G-BT-020</t>
  </si>
  <si>
    <t>明雷怪NPC外形与战斗主怪相同</t>
  </si>
  <si>
    <t>MT-G-BT-021</t>
  </si>
  <si>
    <t>可以组队和助战进入战斗</t>
  </si>
  <si>
    <t>MT-G-BT-022</t>
  </si>
  <si>
    <t>1、战斗胜利</t>
  </si>
  <si>
    <t>明雷怪消失</t>
  </si>
  <si>
    <t>MT-G-BT-023</t>
  </si>
  <si>
    <t>MT-G-BT-024</t>
  </si>
  <si>
    <t>随机获得藏宝图</t>
  </si>
  <si>
    <t>MT-G-BT-025</t>
  </si>
  <si>
    <t>MT-G-BT-026</t>
  </si>
  <si>
    <t>2、战斗失败</t>
  </si>
  <si>
    <t>明雷怪不消失</t>
  </si>
  <si>
    <t>MT-G-BT-027</t>
  </si>
  <si>
    <t>可继续挑战</t>
  </si>
  <si>
    <t>MT-G-BT-028</t>
  </si>
  <si>
    <t>MT-G-BT-029</t>
  </si>
  <si>
    <t>1、放弃任务</t>
  </si>
  <si>
    <t>不计次数。删除相应明雷怪</t>
  </si>
  <si>
    <t>MT-G-BT-030</t>
  </si>
  <si>
    <t>1、存在时间</t>
  </si>
  <si>
    <t>存在24小时，24小时后删除明雷怪；任务失败</t>
  </si>
  <si>
    <t>MT-G-BT-031</t>
  </si>
  <si>
    <t>提示：你已经领取了考古任务</t>
  </si>
  <si>
    <t>藏宝图属性</t>
  </si>
  <si>
    <t>MT-G-BT-032</t>
  </si>
  <si>
    <t>1、随机坐标</t>
  </si>
  <si>
    <t>每张宝图坐标都不一样</t>
  </si>
  <si>
    <t>MT-G-BT-033</t>
  </si>
  <si>
    <t>1、不可叠加</t>
  </si>
  <si>
    <t>每张宝图都是一个道具，不能叠加</t>
  </si>
  <si>
    <t>MT-G-BT-034</t>
  </si>
  <si>
    <t>1、打开宝图TIPS
2、点击丢弃
3、确定</t>
  </si>
  <si>
    <t>宝图被丢弃</t>
  </si>
  <si>
    <t>自动寻路</t>
  </si>
  <si>
    <t>MT-G-BT-035</t>
  </si>
  <si>
    <t>1、使用宝图
2、人物位置不在宝图所在坐标</t>
  </si>
  <si>
    <t>MT-G-BT-036</t>
  </si>
  <si>
    <t>1、使用宝图
2、人物在宝图所在坐标</t>
  </si>
  <si>
    <t>MT-G-BT-037</t>
  </si>
  <si>
    <t>1、使用宝图
2、挖宝完成
3、背包还有宝图</t>
  </si>
  <si>
    <t xml:space="preserve">自动寻路下张宝图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</si>
  <si>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MT-G-BT-038</t>
  </si>
  <si>
    <t>提示：自动寻路至下一宝图点</t>
  </si>
  <si>
    <t>MT-G-BT-039</t>
  </si>
  <si>
    <t>1、使用宝图
2、挖宝完成
3、背包没有宝图</t>
  </si>
  <si>
    <t>原地不动</t>
  </si>
  <si>
    <t>MT-G-BT-040</t>
  </si>
  <si>
    <t>寻路至宝图点</t>
  </si>
  <si>
    <t>MT-G-BT-041</t>
  </si>
  <si>
    <t>MT-G-BT-042</t>
  </si>
  <si>
    <t>1、使用宝图
2、再使用另一张宝图</t>
  </si>
  <si>
    <t>寻路至第二张宝图</t>
  </si>
  <si>
    <t>挖宝界面</t>
  </si>
  <si>
    <t>MT-G-BT-043</t>
  </si>
  <si>
    <t>1、检查界面</t>
  </si>
  <si>
    <t>20个格子，图标对应正确，无错别字</t>
  </si>
  <si>
    <t>MT-G-BT-044</t>
  </si>
  <si>
    <t>1、正在挖宝中</t>
  </si>
  <si>
    <t>不可移动、不可打断</t>
  </si>
  <si>
    <t>MT-G-BT-045</t>
  </si>
  <si>
    <t>1、随机动画</t>
  </si>
  <si>
    <t>从左至右，从上至下顺序移动，逐步减慢，至少转2圈</t>
  </si>
  <si>
    <t>MT-G-BT-046</t>
  </si>
  <si>
    <t>1、完成后点击确定关闭界面</t>
  </si>
  <si>
    <t>获得奖励</t>
  </si>
  <si>
    <t>MT-G-BT-047</t>
  </si>
  <si>
    <t>1、未完成直接关闭界面</t>
  </si>
  <si>
    <t>挖宝事件</t>
  </si>
  <si>
    <t>MT-G-BT-048</t>
  </si>
  <si>
    <t>1、奖励为道具</t>
  </si>
  <si>
    <t>道具放入背包动画</t>
  </si>
  <si>
    <t>MT-G-BT-049</t>
  </si>
  <si>
    <t>提示：你挖到了怪物留下来的宝物且提示获得“XXX”</t>
  </si>
  <si>
    <t>MT-G-BT-050</t>
  </si>
  <si>
    <t>1、奖励为金钱</t>
  </si>
  <si>
    <t>银币放入背包动画</t>
  </si>
  <si>
    <t>MT-G-BT-051</t>
  </si>
  <si>
    <t>提示：获得XXX银币</t>
  </si>
  <si>
    <t>MT-G-BT-052</t>
  </si>
  <si>
    <t>1、奖励为稀有道具</t>
  </si>
  <si>
    <t>MT-G-BT-053</t>
  </si>
  <si>
    <t>MT-G-BT-054</t>
  </si>
  <si>
    <t>1、挖到怪物
2、战斗胜利</t>
  </si>
  <si>
    <t>获得战斗奖励，有几率获得低级宠物技能书</t>
  </si>
  <si>
    <t>MT-G-BT-055</t>
  </si>
  <si>
    <t>1、挖到怪物
2、战斗胜利
3、获得稀有奖励</t>
  </si>
  <si>
    <t>全服系统公告，XX打败了藏宝图挖出的怪物，惊喜的发现XXX。</t>
  </si>
  <si>
    <t>MT-G-BT-056</t>
  </si>
  <si>
    <t>1、挖到怪物
2、战斗失败</t>
  </si>
  <si>
    <t>没有奖励</t>
  </si>
  <si>
    <t>MT-G-BT-057</t>
  </si>
  <si>
    <t>MT-G-BT-058</t>
  </si>
  <si>
    <t>MT-G-BT-059</t>
  </si>
  <si>
    <t>MT-G-BT-060</t>
  </si>
  <si>
    <t>1、挖到陷阱</t>
  </si>
  <si>
    <t>血蓝扣光</t>
  </si>
  <si>
    <t>MT-G-BT-061</t>
  </si>
  <si>
    <t>提示：踩到哪个混蛋放的陷阱了</t>
  </si>
  <si>
    <t>高级藏宝图</t>
  </si>
  <si>
    <t>MT-G-BT-062</t>
  </si>
  <si>
    <t>1、背包有兑换所需的五个道具
2、到NPCXXX处兑换高级藏宝图</t>
  </si>
  <si>
    <t>5个材料道具被扣除</t>
  </si>
  <si>
    <t>MT-G-BT-063</t>
  </si>
  <si>
    <t>宝图放入背包动画</t>
  </si>
  <si>
    <t>MT-G-BT-064</t>
  </si>
  <si>
    <t>MT-G-BT-065</t>
  </si>
  <si>
    <t>立刻弹出藏宝图使用界面</t>
  </si>
  <si>
    <t>MT-G-BT-066</t>
  </si>
  <si>
    <t>1、背包不够兑换所需的五个道具
2、到NPCXXX处兑换高级藏宝图</t>
  </si>
  <si>
    <t>材料未扣除</t>
  </si>
  <si>
    <t>MT-G-BT-067</t>
  </si>
  <si>
    <t>MT-G-BT-068</t>
  </si>
  <si>
    <t>1、使用高级藏宝图</t>
  </si>
  <si>
    <t>自动寻路到宝图所在场景</t>
  </si>
  <si>
    <t>MT-G-BT-069</t>
  </si>
  <si>
    <t>1、使用高级藏宝图
2、到达宝图场景</t>
  </si>
  <si>
    <t>打开寻宝雷达界面</t>
  </si>
  <si>
    <t>MT-G-BT-070</t>
  </si>
  <si>
    <t>雷达方向已当前角色坐标为原点指向宝图坐标方向，每秒更新</t>
  </si>
  <si>
    <t>MT-G-BT-071</t>
  </si>
  <si>
    <t>可手动关闭雷达</t>
  </si>
  <si>
    <t>MT-G-BT-072</t>
  </si>
  <si>
    <t>到达坐标点范围雷达关闭</t>
  </si>
  <si>
    <t>MT-G-BT-073</t>
  </si>
  <si>
    <t>提示：似乎感受到宝藏就在脚下</t>
  </si>
  <si>
    <t>MT-G-BT-074</t>
  </si>
  <si>
    <t>MT-G-BT-075</t>
  </si>
  <si>
    <t>1、使用高级藏宝图
2、再使用另一张藏宝图</t>
  </si>
  <si>
    <t>场景切换正确，雷达对应正确</t>
  </si>
  <si>
    <t>MT-G-BT-076</t>
  </si>
  <si>
    <t>1、使用高级藏宝图
2、点击雷达上的关闭</t>
  </si>
  <si>
    <t>雷达正常关闭</t>
  </si>
  <si>
    <t>MT-G-BT-077</t>
  </si>
  <si>
    <t>雷达被关闭</t>
  </si>
  <si>
    <t>MT-G-BT-078</t>
  </si>
  <si>
    <t>1、挖到稀有道具</t>
  </si>
  <si>
    <t>MT-G-BT-079</t>
  </si>
  <si>
    <t>获得战斗奖励，有几率获得高级宠物技能书</t>
  </si>
  <si>
    <t>MT-G-BT-080</t>
  </si>
  <si>
    <t>MT-G-BT-081</t>
  </si>
  <si>
    <t>MT-G-BT-082</t>
  </si>
  <si>
    <t>MT-G-BT-083</t>
  </si>
  <si>
    <t>MT-G-BT-084</t>
  </si>
  <si>
    <t>MT-G-BT-085</t>
  </si>
  <si>
    <t xml:space="preserve"> 1、挖塌宝宝幼儿园</t>
  </si>
  <si>
    <t>在指定场景放出明雷怪宝宝</t>
  </si>
  <si>
    <t>MT-G-BT-086</t>
  </si>
  <si>
    <t>有几率刷出变异宝宝</t>
  </si>
  <si>
    <t>MT-G-BT-087</t>
  </si>
  <si>
    <t>玩家可进入战斗直接捕捉</t>
  </si>
  <si>
    <t>MT-G-BT-088</t>
  </si>
  <si>
    <t>每个战斗只有与NPC相同的一个宝宝</t>
  </si>
  <si>
    <t>MT-G-BT-089</t>
  </si>
  <si>
    <t>MT-G-BT-090</t>
  </si>
  <si>
    <t>六、特殊操作</t>
  </si>
  <si>
    <t>MT-G-BT-091</t>
  </si>
  <si>
    <t>1.有宝图任务时
2.服务器重启</t>
  </si>
  <si>
    <t>1.任务与掉线前一致</t>
  </si>
  <si>
    <t>MT-G-BT-092</t>
  </si>
  <si>
    <t>1.有宝图任务时
2.玩家上下线</t>
  </si>
  <si>
    <t>MT-G-BT-093</t>
  </si>
  <si>
    <t>1.有宝图任务时
2.玩家断线重连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</si>
  <si>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</si>
  <si>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</si>
  <si>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</si>
  <si>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</si>
  <si>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</si>
  <si>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</si>
  <si>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family val="2"/>
        <charset val="134"/>
      </rPr>
      <t>一、执行情况
Case总量 283</t>
    </r>
    <r>
      <rPr>
        <sz val="10"/>
        <color indexed="8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indexed="8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indexed="8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indexed="8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indexed="8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indexed="8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indexed="8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indexed="8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indexed="8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indexed="8"/>
        <rFont val="微软雅黑"/>
        <family val="2"/>
        <charset val="134"/>
      </rPr>
      <t>%
五、较严重的Bug
无</t>
    </r>
  </si>
  <si>
    <t>佟长彬</t>
    <phoneticPr fontId="13" type="noConversion"/>
  </si>
  <si>
    <t>第一次测试</t>
    <phoneticPr fontId="13" type="noConversion"/>
  </si>
  <si>
    <t>2016-3-16</t>
    <phoneticPr fontId="13" type="noConversion"/>
  </si>
  <si>
    <t>P</t>
    <phoneticPr fontId="13" type="noConversion"/>
  </si>
  <si>
    <t>交互界面菜单依次显示：考古任务、兑换高级藏宝图</t>
    <phoneticPr fontId="13" type="noConversion"/>
  </si>
  <si>
    <t>交互界面菜单title显示：请选择要做的事</t>
    <phoneticPr fontId="13" type="noConversion"/>
  </si>
  <si>
    <t>开始寻路，完成15次考古任务后自动停止</t>
    <phoneticPr fontId="13" type="noConversion"/>
  </si>
  <si>
    <t>1、完成15次宝图任务后
2、第二天00：00再看</t>
    <phoneticPr fontId="13" type="noConversion"/>
  </si>
  <si>
    <t>B</t>
    <phoneticPr fontId="13" type="noConversion"/>
  </si>
  <si>
    <t>怪物名称随机，固定前缀“盗匪头目”</t>
    <phoneticPr fontId="13" type="noConversion"/>
  </si>
  <si>
    <t>提示：你获得了1张藏宝图！</t>
    <phoneticPr fontId="13" type="noConversion"/>
  </si>
  <si>
    <t>获得藏宝图播放宝图放入背包动画</t>
    <phoneticPr fontId="13" type="noConversion"/>
  </si>
  <si>
    <t>弹出通用失败提示</t>
    <phoneticPr fontId="13" type="noConversion"/>
  </si>
  <si>
    <t>1、重复接取</t>
    <phoneticPr fontId="13" type="noConversion"/>
  </si>
  <si>
    <t>B</t>
    <phoneticPr fontId="13" type="noConversion"/>
  </si>
  <si>
    <t>/</t>
    <phoneticPr fontId="13" type="noConversion"/>
  </si>
  <si>
    <t>P</t>
    <phoneticPr fontId="13" type="noConversion"/>
  </si>
  <si>
    <t>自动寻路至所在坐标后弹出挖宝提示界面</t>
    <phoneticPr fontId="13" type="noConversion"/>
  </si>
  <si>
    <t>直接挖宝弹出掘金界面</t>
    <phoneticPr fontId="13" type="noConversion"/>
  </si>
  <si>
    <t>1、使用宝图
2、自动寻路后再移动位置
3、再点击使用</t>
    <phoneticPr fontId="13" type="noConversion"/>
  </si>
  <si>
    <t>1、使用宝图
2、自动寻路后再切换地图场景
3、再点击使用</t>
    <phoneticPr fontId="13" type="noConversion"/>
  </si>
  <si>
    <t>自动传送至所在场景并寻路至宝图点</t>
    <phoneticPr fontId="13" type="noConversion"/>
  </si>
  <si>
    <t>提示：你解开了古神爪牙的封印</t>
    <phoneticPr fontId="13" type="noConversion"/>
  </si>
  <si>
    <t>全服通告：XX在考古时解开了XXX（场景）古神爪牙的封印，英雄们速去封印他们！</t>
    <phoneticPr fontId="13" type="noConversion"/>
  </si>
  <si>
    <t>全服系统通告：XX在考古时挖掘到一团黑乎乎的东西，小心清理干净后发现竟然是XXXX</t>
    <phoneticPr fontId="13" type="noConversion"/>
  </si>
  <si>
    <t>全服系统公告：XX击败考古时意外解开封印的上古支配者，获得XXX</t>
    <phoneticPr fontId="13" type="noConversion"/>
  </si>
  <si>
    <t>兑换成功对话：五色龙鳞都集齐了，这个高级藏宝图你拿走吧</t>
    <phoneticPr fontId="13" type="noConversion"/>
  </si>
  <si>
    <t>道具不足兑换时对话“无法合成，缺少XXX,不要消遣我了“</t>
    <phoneticPr fontId="13" type="noConversion"/>
  </si>
  <si>
    <t>出现宝图使用界面</t>
    <phoneticPr fontId="13" type="noConversion"/>
  </si>
  <si>
    <t>1、使用高级藏宝图
2、切换到其他场景</t>
    <phoneticPr fontId="13" type="noConversion"/>
  </si>
  <si>
    <t>提示：你挖塌了宝宝幼儿园</t>
    <phoneticPr fontId="13" type="noConversion"/>
  </si>
  <si>
    <t>全服系统公告：XX在XXX考古时触发了地震，当地幼儿园宝宝四处逃窜、无家可归，大家快去收留他们吧！</t>
    <phoneticPr fontId="13" type="noConversion"/>
  </si>
  <si>
    <t>全服系统通告：太难以置信了！XX根据高级藏宝图所示位置进行考古挖掘，竟然获得了XXX！</t>
    <phoneticPr fontId="13" type="noConversion"/>
  </si>
  <si>
    <t>1、挖到古神爪牙</t>
    <phoneticPr fontId="13" type="noConversion"/>
  </si>
  <si>
    <t>1、挖到古神</t>
    <phoneticPr fontId="13" type="noConversion"/>
  </si>
  <si>
    <t>提示：你解开了古神的封印</t>
    <phoneticPr fontId="13" type="noConversion"/>
  </si>
  <si>
    <t>全服通告：XX不得了，在考古时解开了古神的封印，古神已经到了XXX（场景）英雄快去封印呀！</t>
    <phoneticPr fontId="13" type="noConversion"/>
  </si>
  <si>
    <t>古神随机出现在7个场景</t>
    <phoneticPr fontId="13" type="noConversion"/>
  </si>
  <si>
    <t>古神爪牙等级随挖宝人等级，根据等级决定放怪场景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</si>
</sst>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1"/>
      <color indexed="1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sz val="10"/>
      <color rgb="FF00B0F0"/>
      <name val="微软雅黑"/>
      <family val="2"/>
      <charset val="134"/>
    </font>
    <font>
      <b/>
      <sz val="10"/>
      <color rgb="FF00B0F0"/>
      <name val="微软雅黑"/>
      <family val="2"/>
      <charset val="134"/>
    </font>
    <font>
      <sz val="10"/>
      <color theme="0" tint="-0.249977111117893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 wrapText="1"/>
    </xf>
    <xf numFmtId="0" fontId="9" fillId="0" borderId="2" xfId="0" applyFont="1" applyBorder="1">
      <alignment vertical="center"/>
    </xf>
    <xf numFmtId="0" fontId="10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8" fillId="3" borderId="2" xfId="0" applyFont="1" applyFill="1" applyBorder="1" applyAlignment="1" applyProtection="1">
      <alignment horizontal="center" vertical="center" wrapText="1"/>
    </xf>
    <xf numFmtId="0" fontId="2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8" fillId="11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7</xdr:col>
          <xdr:colOff>666750</xdr:colOff>
          <xdr:row>24</xdr:row>
          <xdr:rowOff>161925</xdr:rowOff>
        </xdr:to>
        <xdr:sp macro="" textlink="">
          <xdr:nvSpPr>
            <xdr:cNvPr id="3073" name="Object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L952"/>
  <sheetViews>
    <sheetView tabSelected="1" workbookViewId="0">
      <pane ySplit="6" topLeftCell="A7" activePane="bottomLeft" state="frozen"/>
      <selection pane="bottomLeft" activeCell="A9" sqref="A9:A10"/>
    </sheetView>
  </sheetViews>
  <sheetFormatPr defaultColWidth="9" defaultRowHeight="16.5" x14ac:dyDescent="0.15"/>
  <cols>
    <col min="1" max="1" width="10.5" style="11" customWidth="1"/>
    <col min="2" max="2" width="12.75" style="11" customWidth="1"/>
    <col min="3" max="3" width="38.625" style="11" customWidth="1"/>
    <col min="4" max="4" width="34.5" style="11" customWidth="1"/>
    <col min="5" max="6" width="9" style="11"/>
    <col min="7" max="7" width="9.5" style="11" customWidth="1"/>
    <col min="8" max="8" width="9.125" style="16" customWidth="1"/>
    <col min="9" max="9" width="9" style="11"/>
    <col min="10" max="10" width="15.625" style="17" customWidth="1"/>
    <col min="11" max="220" width="9" style="15"/>
    <col min="221" max="16384" width="9" style="11"/>
  </cols>
  <sheetData>
    <row r="1" spans="1:220" s="12" customFormat="1" ht="21" x14ac:dyDescent="0.15">
      <c r="A1" s="55" t="s">
        <v>0</v>
      </c>
      <c r="B1" s="56"/>
      <c r="C1" s="56"/>
      <c r="D1" s="56"/>
      <c r="E1" s="56"/>
      <c r="F1" s="56"/>
      <c r="G1" s="56"/>
      <c r="H1" s="56"/>
      <c r="I1" s="57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</row>
    <row r="2" spans="1:220" x14ac:dyDescent="0.15">
      <c r="A2" s="18" t="s">
        <v>1</v>
      </c>
      <c r="B2" s="19" t="s">
        <v>2</v>
      </c>
      <c r="C2" s="20" t="s">
        <v>3</v>
      </c>
      <c r="D2" s="21" t="s">
        <v>4</v>
      </c>
      <c r="E2" s="58" t="s">
        <v>5</v>
      </c>
      <c r="F2" s="58"/>
      <c r="G2" s="22">
        <v>1</v>
      </c>
      <c r="H2" s="23">
        <v>2</v>
      </c>
      <c r="I2" s="22">
        <v>3</v>
      </c>
      <c r="J2" s="37" t="s">
        <v>6</v>
      </c>
      <c r="K2" s="4" t="s">
        <v>7</v>
      </c>
      <c r="L2" s="4">
        <f t="shared" ref="L2" si="0">SUM(L3:L6)</f>
        <v>93</v>
      </c>
      <c r="M2" s="4">
        <f>SUM(M3:M6)</f>
        <v>0</v>
      </c>
      <c r="N2" s="4">
        <f>SUM(N3:N6)</f>
        <v>0</v>
      </c>
      <c r="O2" s="4">
        <f>SUM(O3:O6)</f>
        <v>93</v>
      </c>
      <c r="P2" s="4">
        <f>SUM(P3:P6)</f>
        <v>0</v>
      </c>
    </row>
    <row r="3" spans="1:220" x14ac:dyDescent="0.15">
      <c r="A3" s="18" t="s">
        <v>8</v>
      </c>
      <c r="B3" s="24" t="s">
        <v>9</v>
      </c>
      <c r="C3" s="25" t="s">
        <v>10</v>
      </c>
      <c r="D3" s="21" t="s">
        <v>11</v>
      </c>
      <c r="E3" s="59" t="s">
        <v>12</v>
      </c>
      <c r="F3" s="59"/>
      <c r="G3" s="26" t="s">
        <v>257</v>
      </c>
      <c r="H3" s="27"/>
      <c r="I3" s="38"/>
      <c r="J3" s="39"/>
      <c r="K3" s="40" t="s">
        <v>13</v>
      </c>
      <c r="L3" s="4">
        <f>COUNTIF(G:G,"P")</f>
        <v>86</v>
      </c>
      <c r="M3" s="4">
        <f>COUNTIF(H:H,"P")</f>
        <v>0</v>
      </c>
      <c r="N3" s="4">
        <f t="shared" ref="N3" si="1">COUNTIF(F:F,"P")</f>
        <v>0</v>
      </c>
      <c r="O3" s="4">
        <f>COUNTIF(G:G,"P")</f>
        <v>86</v>
      </c>
      <c r="P3" s="4">
        <f>COUNTIF(H:H,"P")</f>
        <v>0</v>
      </c>
    </row>
    <row r="4" spans="1:220" x14ac:dyDescent="0.15">
      <c r="A4" s="11" t="s">
        <v>14</v>
      </c>
      <c r="B4" s="19"/>
      <c r="C4" s="28" t="s">
        <v>15</v>
      </c>
      <c r="D4" s="21" t="s">
        <v>16</v>
      </c>
      <c r="E4" s="59" t="s">
        <v>17</v>
      </c>
      <c r="F4" s="59"/>
      <c r="G4" s="26" t="s">
        <v>256</v>
      </c>
      <c r="H4" s="27"/>
      <c r="I4" s="38"/>
      <c r="J4" s="39"/>
      <c r="K4" s="41" t="s">
        <v>18</v>
      </c>
      <c r="L4" s="4">
        <f>COUNTIF(G:G,"F")</f>
        <v>0</v>
      </c>
      <c r="M4" s="4">
        <f t="shared" ref="M4" si="2">COUNTIF(E:E,"F")</f>
        <v>0</v>
      </c>
      <c r="N4" s="4">
        <f>COUNTIF(F:F,"F")</f>
        <v>0</v>
      </c>
      <c r="O4" s="4">
        <f>COUNTIF(G:G,"F")</f>
        <v>0</v>
      </c>
      <c r="P4" s="4">
        <f>COUNTIF(H:H,"F")</f>
        <v>0</v>
      </c>
    </row>
    <row r="5" spans="1:220" ht="13.5" customHeight="1" x14ac:dyDescent="0.15">
      <c r="A5" s="11" t="s">
        <v>19</v>
      </c>
      <c r="B5" s="19"/>
      <c r="C5" s="29" t="s">
        <v>20</v>
      </c>
      <c r="D5" s="30" t="s">
        <v>21</v>
      </c>
      <c r="E5" s="59" t="s">
        <v>22</v>
      </c>
      <c r="F5" s="59"/>
      <c r="G5" s="26" t="s">
        <v>255</v>
      </c>
      <c r="H5" s="27"/>
      <c r="I5" s="38"/>
      <c r="J5" s="39"/>
      <c r="K5" s="4" t="s">
        <v>23</v>
      </c>
      <c r="L5" s="4">
        <f>COUNTIF(G:G,"B")</f>
        <v>3</v>
      </c>
      <c r="M5" s="4">
        <f t="shared" ref="M5" si="3">COUNTIF(E:E,"B")</f>
        <v>0</v>
      </c>
      <c r="N5" s="4">
        <f>COUNTIF(F:F,"B")</f>
        <v>0</v>
      </c>
      <c r="O5" s="4">
        <f>COUNTIF(G:G,"B")</f>
        <v>3</v>
      </c>
      <c r="P5" s="4">
        <f>COUNTIF(H:H,"B")</f>
        <v>0</v>
      </c>
    </row>
    <row r="6" spans="1:220" x14ac:dyDescent="0.15">
      <c r="A6" s="60" t="s">
        <v>24</v>
      </c>
      <c r="B6" s="61"/>
      <c r="C6" s="61"/>
      <c r="D6" s="61"/>
      <c r="E6" s="61"/>
      <c r="F6" s="61"/>
      <c r="G6" s="61"/>
      <c r="H6" s="61"/>
      <c r="I6" s="61"/>
      <c r="J6" s="62"/>
      <c r="K6" s="11" t="s">
        <v>25</v>
      </c>
      <c r="L6" s="4">
        <f>COUNTIF(G:G,"/")</f>
        <v>4</v>
      </c>
      <c r="M6" s="4">
        <f t="shared" ref="M6" si="4">COUNTIF(E:E,"/")</f>
        <v>0</v>
      </c>
      <c r="N6" s="4">
        <f>COUNTIF(F:F,"/")</f>
        <v>0</v>
      </c>
      <c r="O6" s="4">
        <f>COUNTIF(G:G,"/")</f>
        <v>4</v>
      </c>
      <c r="P6" s="4">
        <f>COUNTIF(H:H,"/")</f>
        <v>0</v>
      </c>
    </row>
    <row r="7" spans="1:220" s="13" customFormat="1" x14ac:dyDescent="0.15">
      <c r="A7" s="63" t="s">
        <v>26</v>
      </c>
      <c r="B7" s="64"/>
      <c r="C7" s="64"/>
      <c r="D7" s="64"/>
      <c r="E7" s="64"/>
      <c r="F7" s="64"/>
      <c r="G7" s="64"/>
      <c r="H7" s="64"/>
      <c r="I7" s="64"/>
      <c r="J7" s="65"/>
      <c r="K7" s="42" t="s">
        <v>27</v>
      </c>
      <c r="L7" s="43">
        <v>0</v>
      </c>
      <c r="M7" s="43"/>
      <c r="N7" s="43"/>
      <c r="O7" s="43"/>
      <c r="P7" s="43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6"/>
      <c r="EE7" s="46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6"/>
      <c r="EQ7" s="46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</row>
    <row r="8" spans="1:220" x14ac:dyDescent="0.15">
      <c r="A8" s="31" t="s">
        <v>28</v>
      </c>
      <c r="B8" s="32" t="s">
        <v>29</v>
      </c>
      <c r="C8" s="33" t="s">
        <v>30</v>
      </c>
      <c r="D8" s="21" t="s">
        <v>31</v>
      </c>
      <c r="E8" s="32" t="s">
        <v>32</v>
      </c>
      <c r="F8" s="32" t="s">
        <v>33</v>
      </c>
      <c r="G8" s="66" t="s">
        <v>34</v>
      </c>
      <c r="H8" s="66"/>
      <c r="I8" s="66"/>
      <c r="J8" s="44" t="s">
        <v>6</v>
      </c>
    </row>
    <row r="9" spans="1:220" ht="57" customHeight="1" x14ac:dyDescent="0.15">
      <c r="A9" s="70" t="s">
        <v>35</v>
      </c>
      <c r="B9" s="19" t="s">
        <v>36</v>
      </c>
      <c r="C9" s="17" t="s">
        <v>37</v>
      </c>
      <c r="D9" s="11" t="s">
        <v>38</v>
      </c>
      <c r="G9" s="53" t="s">
        <v>258</v>
      </c>
    </row>
    <row r="10" spans="1:220" ht="33" x14ac:dyDescent="0.15">
      <c r="A10" s="71"/>
      <c r="B10" s="19" t="s">
        <v>39</v>
      </c>
      <c r="C10" s="17" t="s">
        <v>40</v>
      </c>
      <c r="D10" s="11" t="s">
        <v>41</v>
      </c>
      <c r="G10" s="53" t="s">
        <v>258</v>
      </c>
    </row>
    <row r="11" spans="1:220" s="13" customFormat="1" x14ac:dyDescent="0.15">
      <c r="A11" s="63" t="s">
        <v>42</v>
      </c>
      <c r="B11" s="64"/>
      <c r="C11" s="64"/>
      <c r="D11" s="64"/>
      <c r="E11" s="64"/>
      <c r="F11" s="64"/>
      <c r="G11" s="64"/>
      <c r="H11" s="64"/>
      <c r="I11" s="64"/>
      <c r="J11" s="65"/>
      <c r="K11" s="42" t="s">
        <v>27</v>
      </c>
      <c r="L11" s="43">
        <v>0</v>
      </c>
      <c r="M11" s="43"/>
      <c r="N11" s="43"/>
      <c r="O11" s="43"/>
      <c r="P11" s="43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  <c r="DK11" s="46"/>
      <c r="DL11" s="46"/>
      <c r="DM11" s="46"/>
      <c r="DN11" s="46"/>
      <c r="DO11" s="46"/>
      <c r="DP11" s="46"/>
      <c r="DQ11" s="46"/>
      <c r="DR11" s="46"/>
      <c r="DS11" s="46"/>
      <c r="DT11" s="46"/>
      <c r="DU11" s="46"/>
      <c r="DV11" s="46"/>
      <c r="DW11" s="46"/>
      <c r="DX11" s="46"/>
      <c r="DY11" s="46"/>
      <c r="DZ11" s="46"/>
      <c r="EA11" s="46"/>
      <c r="EB11" s="46"/>
      <c r="EC11" s="46"/>
      <c r="ED11" s="46"/>
      <c r="EE11" s="46"/>
      <c r="EF11" s="46"/>
      <c r="EG11" s="46"/>
      <c r="EH11" s="46"/>
      <c r="EI11" s="46"/>
      <c r="EJ11" s="46"/>
      <c r="EK11" s="46"/>
      <c r="EL11" s="46"/>
      <c r="EM11" s="46"/>
      <c r="EN11" s="46"/>
      <c r="EO11" s="46"/>
      <c r="EP11" s="46"/>
      <c r="EQ11" s="46"/>
      <c r="ER11" s="46"/>
      <c r="ES11" s="46"/>
      <c r="ET11" s="46"/>
      <c r="EU11" s="46"/>
      <c r="EV11" s="46"/>
      <c r="EW11" s="46"/>
      <c r="EX11" s="46"/>
      <c r="EY11" s="46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</row>
    <row r="12" spans="1:220" ht="13.5" customHeight="1" x14ac:dyDescent="0.15">
      <c r="A12" s="31" t="s">
        <v>28</v>
      </c>
      <c r="B12" s="32" t="s">
        <v>29</v>
      </c>
      <c r="C12" s="33" t="s">
        <v>30</v>
      </c>
      <c r="D12" s="21" t="s">
        <v>31</v>
      </c>
      <c r="E12" s="32" t="s">
        <v>32</v>
      </c>
      <c r="F12" s="32" t="s">
        <v>33</v>
      </c>
      <c r="G12" s="66" t="s">
        <v>43</v>
      </c>
      <c r="H12" s="66"/>
      <c r="I12" s="66"/>
      <c r="J12" s="44" t="s">
        <v>6</v>
      </c>
    </row>
    <row r="13" spans="1:220" ht="18" customHeight="1" x14ac:dyDescent="0.15">
      <c r="A13" s="72" t="s">
        <v>44</v>
      </c>
      <c r="B13" s="19" t="s">
        <v>45</v>
      </c>
      <c r="C13" s="73" t="s">
        <v>46</v>
      </c>
      <c r="D13" s="18" t="s">
        <v>47</v>
      </c>
      <c r="G13" s="54" t="s">
        <v>258</v>
      </c>
      <c r="H13" s="35"/>
      <c r="I13" s="35"/>
    </row>
    <row r="14" spans="1:220" s="14" customFormat="1" ht="13.5" customHeight="1" x14ac:dyDescent="0.15">
      <c r="A14" s="72"/>
      <c r="B14" s="19" t="s">
        <v>48</v>
      </c>
      <c r="C14" s="73"/>
      <c r="D14" s="18" t="s">
        <v>49</v>
      </c>
      <c r="E14" s="11"/>
      <c r="F14" s="11"/>
      <c r="G14" s="54" t="s">
        <v>258</v>
      </c>
      <c r="H14" s="35"/>
      <c r="I14" s="35"/>
      <c r="J14" s="11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</row>
    <row r="15" spans="1:220" s="4" customFormat="1" x14ac:dyDescent="0.15">
      <c r="A15" s="72"/>
      <c r="B15" s="19" t="s">
        <v>50</v>
      </c>
      <c r="C15" s="73"/>
      <c r="D15" s="18" t="s">
        <v>260</v>
      </c>
      <c r="E15" s="11"/>
      <c r="F15" s="11"/>
      <c r="G15" s="54" t="s">
        <v>258</v>
      </c>
      <c r="H15" s="35"/>
      <c r="I15" s="35"/>
      <c r="J15" s="17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</row>
    <row r="16" spans="1:220" s="4" customFormat="1" ht="33" x14ac:dyDescent="0.15">
      <c r="A16" s="72"/>
      <c r="B16" s="19" t="s">
        <v>51</v>
      </c>
      <c r="C16" s="73"/>
      <c r="D16" s="17" t="s">
        <v>259</v>
      </c>
      <c r="E16" s="11"/>
      <c r="F16" s="11"/>
      <c r="G16" s="54" t="s">
        <v>258</v>
      </c>
      <c r="H16" s="35"/>
      <c r="I16" s="35"/>
      <c r="J16" s="17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</row>
    <row r="17" spans="1:220" s="4" customFormat="1" ht="33" x14ac:dyDescent="0.15">
      <c r="A17" s="72"/>
      <c r="B17" s="19" t="s">
        <v>52</v>
      </c>
      <c r="C17" s="34" t="s">
        <v>53</v>
      </c>
      <c r="D17" s="34" t="s">
        <v>54</v>
      </c>
      <c r="E17" s="11"/>
      <c r="F17" s="11"/>
      <c r="G17" s="54" t="s">
        <v>258</v>
      </c>
      <c r="H17" s="35"/>
      <c r="I17" s="35"/>
      <c r="J17" s="17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</row>
    <row r="18" spans="1:220" s="4" customFormat="1" ht="33" x14ac:dyDescent="0.15">
      <c r="A18" s="72"/>
      <c r="B18" s="19" t="s">
        <v>55</v>
      </c>
      <c r="C18" s="34" t="s">
        <v>56</v>
      </c>
      <c r="D18" s="34" t="s">
        <v>57</v>
      </c>
      <c r="E18" s="11"/>
      <c r="F18" s="11"/>
      <c r="G18" s="54" t="s">
        <v>258</v>
      </c>
      <c r="H18" s="35"/>
      <c r="I18" s="35"/>
      <c r="J18" s="17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</row>
    <row r="19" spans="1:220" s="4" customFormat="1" ht="24" customHeight="1" x14ac:dyDescent="0.15">
      <c r="A19" s="72"/>
      <c r="B19" s="19" t="s">
        <v>58</v>
      </c>
      <c r="C19" s="73" t="s">
        <v>59</v>
      </c>
      <c r="D19" s="34" t="s">
        <v>60</v>
      </c>
      <c r="E19" s="11"/>
      <c r="F19" s="11"/>
      <c r="G19" s="54" t="s">
        <v>258</v>
      </c>
      <c r="H19" s="35"/>
      <c r="I19" s="35"/>
      <c r="J19" s="17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</row>
    <row r="20" spans="1:220" s="4" customFormat="1" ht="27" customHeight="1" x14ac:dyDescent="0.15">
      <c r="A20" s="72"/>
      <c r="B20" s="19" t="s">
        <v>61</v>
      </c>
      <c r="C20" s="73"/>
      <c r="D20" s="34" t="s">
        <v>62</v>
      </c>
      <c r="E20" s="11"/>
      <c r="F20" s="11"/>
      <c r="G20" s="54" t="s">
        <v>258</v>
      </c>
      <c r="H20" s="35"/>
      <c r="I20" s="35"/>
      <c r="J20" s="17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</row>
    <row r="21" spans="1:220" s="4" customFormat="1" x14ac:dyDescent="0.15">
      <c r="A21" s="72"/>
      <c r="B21" s="19" t="s">
        <v>63</v>
      </c>
      <c r="C21" s="73" t="s">
        <v>64</v>
      </c>
      <c r="D21" s="34" t="s">
        <v>65</v>
      </c>
      <c r="E21" s="11"/>
      <c r="F21" s="11"/>
      <c r="G21" s="54" t="s">
        <v>258</v>
      </c>
      <c r="H21" s="35"/>
      <c r="I21" s="35"/>
      <c r="J21" s="17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</row>
    <row r="22" spans="1:220" s="4" customFormat="1" x14ac:dyDescent="0.15">
      <c r="A22" s="72"/>
      <c r="B22" s="19" t="s">
        <v>66</v>
      </c>
      <c r="C22" s="73"/>
      <c r="D22" s="34" t="s">
        <v>67</v>
      </c>
      <c r="E22" s="11"/>
      <c r="F22" s="11"/>
      <c r="G22" s="54" t="s">
        <v>258</v>
      </c>
      <c r="H22" s="35"/>
      <c r="I22" s="35"/>
      <c r="J22" s="17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/>
      <c r="GK22" s="45"/>
      <c r="GL22" s="45"/>
      <c r="GM22" s="45"/>
      <c r="GN22" s="45"/>
      <c r="GO22" s="45"/>
      <c r="GP22" s="45"/>
      <c r="GQ22" s="45"/>
      <c r="GR22" s="45"/>
      <c r="GS22" s="45"/>
      <c r="GT22" s="45"/>
      <c r="GU22" s="45"/>
      <c r="GV22" s="45"/>
      <c r="GW22" s="45"/>
      <c r="GX22" s="45"/>
      <c r="GY22" s="45"/>
      <c r="GZ22" s="45"/>
      <c r="HA22" s="45"/>
      <c r="HB22" s="45"/>
      <c r="HC22" s="45"/>
      <c r="HD22" s="45"/>
      <c r="HE22" s="45"/>
      <c r="HF22" s="45"/>
      <c r="HG22" s="45"/>
      <c r="HH22" s="45"/>
      <c r="HI22" s="45"/>
      <c r="HJ22" s="45"/>
      <c r="HK22" s="45"/>
      <c r="HL22" s="45"/>
    </row>
    <row r="23" spans="1:220" s="4" customFormat="1" x14ac:dyDescent="0.15">
      <c r="A23" s="72"/>
      <c r="B23" s="19" t="s">
        <v>68</v>
      </c>
      <c r="C23" s="34" t="s">
        <v>69</v>
      </c>
      <c r="D23" s="34" t="s">
        <v>70</v>
      </c>
      <c r="E23" s="11"/>
      <c r="F23" s="11"/>
      <c r="G23" s="54" t="s">
        <v>258</v>
      </c>
      <c r="H23" s="35"/>
      <c r="I23" s="35"/>
      <c r="J23" s="17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  <c r="GL23" s="45"/>
      <c r="GM23" s="45"/>
      <c r="GN23" s="45"/>
      <c r="GO23" s="45"/>
      <c r="GP23" s="45"/>
      <c r="GQ23" s="45"/>
      <c r="GR23" s="45"/>
      <c r="GS23" s="45"/>
      <c r="GT23" s="45"/>
      <c r="GU23" s="45"/>
      <c r="GV23" s="45"/>
      <c r="GW23" s="45"/>
      <c r="GX23" s="45"/>
      <c r="GY23" s="45"/>
      <c r="GZ23" s="45"/>
      <c r="HA23" s="45"/>
      <c r="HB23" s="45"/>
      <c r="HC23" s="45"/>
      <c r="HD23" s="45"/>
      <c r="HE23" s="45"/>
      <c r="HF23" s="45"/>
      <c r="HG23" s="45"/>
      <c r="HH23" s="45"/>
      <c r="HI23" s="45"/>
      <c r="HJ23" s="45"/>
      <c r="HK23" s="45"/>
      <c r="HL23" s="45"/>
    </row>
    <row r="24" spans="1:220" s="4" customFormat="1" ht="33" x14ac:dyDescent="0.15">
      <c r="A24" s="72" t="s">
        <v>71</v>
      </c>
      <c r="B24" s="19" t="s">
        <v>72</v>
      </c>
      <c r="C24" s="34" t="s">
        <v>73</v>
      </c>
      <c r="D24" s="34" t="s">
        <v>261</v>
      </c>
      <c r="E24" s="11"/>
      <c r="F24" s="11"/>
      <c r="G24" s="54" t="s">
        <v>258</v>
      </c>
      <c r="H24" s="35"/>
      <c r="I24" s="35"/>
      <c r="J24" s="17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  <c r="GL24" s="45"/>
      <c r="GM24" s="45"/>
      <c r="GN24" s="45"/>
      <c r="GO24" s="45"/>
      <c r="GP24" s="45"/>
      <c r="GQ24" s="45"/>
      <c r="GR24" s="45"/>
      <c r="GS24" s="45"/>
      <c r="GT24" s="45"/>
      <c r="GU24" s="45"/>
      <c r="GV24" s="45"/>
      <c r="GW24" s="45"/>
      <c r="GX24" s="45"/>
      <c r="GY24" s="45"/>
      <c r="GZ24" s="45"/>
      <c r="HA24" s="45"/>
      <c r="HB24" s="45"/>
      <c r="HC24" s="45"/>
      <c r="HD24" s="45"/>
      <c r="HE24" s="45"/>
      <c r="HF24" s="45"/>
      <c r="HG24" s="45"/>
      <c r="HH24" s="45"/>
      <c r="HI24" s="45"/>
      <c r="HJ24" s="45"/>
      <c r="HK24" s="45"/>
      <c r="HL24" s="45"/>
    </row>
    <row r="25" spans="1:220" s="4" customFormat="1" ht="33" x14ac:dyDescent="0.15">
      <c r="A25" s="72"/>
      <c r="B25" s="19" t="s">
        <v>74</v>
      </c>
      <c r="C25" s="34" t="s">
        <v>262</v>
      </c>
      <c r="D25" s="34" t="s">
        <v>75</v>
      </c>
      <c r="E25" s="11"/>
      <c r="F25" s="11"/>
      <c r="G25" s="35" t="s">
        <v>263</v>
      </c>
      <c r="H25" s="35"/>
      <c r="I25" s="35"/>
      <c r="J25" s="17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</row>
    <row r="26" spans="1:220" s="4" customFormat="1" x14ac:dyDescent="0.15">
      <c r="A26" s="72"/>
      <c r="B26" s="19" t="s">
        <v>76</v>
      </c>
      <c r="C26" s="73" t="s">
        <v>77</v>
      </c>
      <c r="D26" s="34" t="s">
        <v>78</v>
      </c>
      <c r="E26" s="11"/>
      <c r="F26" s="11"/>
      <c r="G26" s="54" t="s">
        <v>258</v>
      </c>
      <c r="H26" s="35"/>
      <c r="I26" s="35"/>
      <c r="J26" s="17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  <c r="GL26" s="45"/>
      <c r="GM26" s="45"/>
      <c r="GN26" s="45"/>
      <c r="GO26" s="45"/>
      <c r="GP26" s="45"/>
      <c r="GQ26" s="45"/>
      <c r="GR26" s="45"/>
      <c r="GS26" s="45"/>
      <c r="GT26" s="45"/>
      <c r="GU26" s="45"/>
      <c r="GV26" s="45"/>
      <c r="GW26" s="45"/>
      <c r="GX26" s="45"/>
      <c r="GY26" s="45"/>
      <c r="GZ26" s="45"/>
      <c r="HA26" s="45"/>
      <c r="HB26" s="45"/>
      <c r="HC26" s="45"/>
      <c r="HD26" s="45"/>
      <c r="HE26" s="45"/>
      <c r="HF26" s="45"/>
      <c r="HG26" s="45"/>
      <c r="HH26" s="45"/>
      <c r="HI26" s="45"/>
      <c r="HJ26" s="45"/>
      <c r="HK26" s="45"/>
      <c r="HL26" s="45"/>
    </row>
    <row r="27" spans="1:220" s="4" customFormat="1" x14ac:dyDescent="0.15">
      <c r="A27" s="72"/>
      <c r="B27" s="19" t="s">
        <v>79</v>
      </c>
      <c r="C27" s="73"/>
      <c r="D27" s="34" t="s">
        <v>80</v>
      </c>
      <c r="E27" s="11"/>
      <c r="F27" s="11"/>
      <c r="G27" s="54" t="s">
        <v>258</v>
      </c>
      <c r="H27" s="35"/>
      <c r="I27" s="35"/>
      <c r="J27" s="17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L27" s="45"/>
    </row>
    <row r="28" spans="1:220" s="4" customFormat="1" x14ac:dyDescent="0.15">
      <c r="A28" s="72"/>
      <c r="B28" s="19" t="s">
        <v>81</v>
      </c>
      <c r="C28" s="73"/>
      <c r="D28" s="4" t="s">
        <v>82</v>
      </c>
      <c r="E28" s="11"/>
      <c r="F28" s="11"/>
      <c r="G28" s="54" t="s">
        <v>258</v>
      </c>
      <c r="H28" s="35"/>
      <c r="I28" s="35"/>
      <c r="J28" s="17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  <c r="GL28" s="45"/>
      <c r="GM28" s="45"/>
      <c r="GN28" s="45"/>
      <c r="GO28" s="45"/>
      <c r="GP28" s="45"/>
      <c r="GQ28" s="45"/>
      <c r="GR28" s="45"/>
      <c r="GS28" s="45"/>
      <c r="GT28" s="45"/>
      <c r="GU28" s="45"/>
      <c r="GV28" s="45"/>
      <c r="GW28" s="45"/>
      <c r="GX28" s="45"/>
      <c r="GY28" s="45"/>
      <c r="GZ28" s="45"/>
      <c r="HA28" s="45"/>
      <c r="HB28" s="45"/>
      <c r="HC28" s="45"/>
      <c r="HD28" s="45"/>
      <c r="HE28" s="45"/>
      <c r="HF28" s="45"/>
      <c r="HG28" s="45"/>
      <c r="HH28" s="45"/>
      <c r="HI28" s="45"/>
      <c r="HJ28" s="45"/>
      <c r="HK28" s="45"/>
      <c r="HL28" s="45"/>
    </row>
    <row r="29" spans="1:220" s="4" customFormat="1" x14ac:dyDescent="0.15">
      <c r="A29" s="72"/>
      <c r="B29" s="19" t="s">
        <v>83</v>
      </c>
      <c r="C29" s="73"/>
      <c r="D29" s="34" t="s">
        <v>264</v>
      </c>
      <c r="E29" s="11"/>
      <c r="F29" s="11"/>
      <c r="G29" s="54" t="s">
        <v>258</v>
      </c>
      <c r="H29" s="35"/>
      <c r="I29" s="35"/>
      <c r="J29" s="17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  <c r="FL29" s="45"/>
      <c r="FM29" s="45"/>
      <c r="FN29" s="45"/>
      <c r="FO29" s="45"/>
      <c r="FP29" s="45"/>
      <c r="FQ29" s="45"/>
      <c r="FR29" s="45"/>
      <c r="FS29" s="45"/>
      <c r="FT29" s="45"/>
      <c r="FU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  <c r="GL29" s="45"/>
      <c r="GM29" s="45"/>
      <c r="GN29" s="45"/>
      <c r="GO29" s="45"/>
      <c r="GP29" s="45"/>
      <c r="GQ29" s="45"/>
      <c r="GR29" s="45"/>
      <c r="GS29" s="45"/>
      <c r="GT29" s="45"/>
      <c r="GU29" s="45"/>
      <c r="GV29" s="45"/>
      <c r="GW29" s="45"/>
      <c r="GX29" s="45"/>
      <c r="GY29" s="45"/>
      <c r="GZ29" s="45"/>
      <c r="HA29" s="45"/>
      <c r="HB29" s="45"/>
      <c r="HC29" s="45"/>
      <c r="HD29" s="45"/>
      <c r="HE29" s="45"/>
      <c r="HF29" s="45"/>
      <c r="HG29" s="45"/>
      <c r="HH29" s="45"/>
      <c r="HI29" s="45"/>
      <c r="HJ29" s="45"/>
      <c r="HK29" s="45"/>
      <c r="HL29" s="45"/>
    </row>
    <row r="30" spans="1:220" s="4" customFormat="1" x14ac:dyDescent="0.15">
      <c r="A30" s="72"/>
      <c r="B30" s="19" t="s">
        <v>84</v>
      </c>
      <c r="C30" s="73"/>
      <c r="D30" s="34" t="s">
        <v>85</v>
      </c>
      <c r="E30" s="11"/>
      <c r="F30" s="11"/>
      <c r="G30" s="54" t="s">
        <v>258</v>
      </c>
      <c r="H30" s="35"/>
      <c r="I30" s="35"/>
      <c r="J30" s="17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  <c r="GL30" s="45"/>
      <c r="GM30" s="45"/>
      <c r="GN30" s="45"/>
      <c r="GO30" s="45"/>
      <c r="GP30" s="45"/>
      <c r="GQ30" s="45"/>
      <c r="GR30" s="45"/>
      <c r="GS30" s="45"/>
      <c r="GT30" s="45"/>
      <c r="GU30" s="45"/>
      <c r="GV30" s="45"/>
      <c r="GW30" s="45"/>
      <c r="GX30" s="45"/>
      <c r="GY30" s="45"/>
      <c r="GZ30" s="45"/>
      <c r="HA30" s="45"/>
      <c r="HB30" s="45"/>
      <c r="HC30" s="45"/>
      <c r="HD30" s="45"/>
      <c r="HE30" s="45"/>
      <c r="HF30" s="45"/>
      <c r="HG30" s="45"/>
      <c r="HH30" s="45"/>
      <c r="HI30" s="45"/>
      <c r="HJ30" s="45"/>
      <c r="HK30" s="45"/>
      <c r="HL30" s="45"/>
    </row>
    <row r="31" spans="1:220" s="4" customFormat="1" x14ac:dyDescent="0.15">
      <c r="A31" s="72"/>
      <c r="B31" s="19" t="s">
        <v>86</v>
      </c>
      <c r="C31" s="73"/>
      <c r="D31" s="34" t="s">
        <v>87</v>
      </c>
      <c r="E31" s="11"/>
      <c r="F31" s="11"/>
      <c r="G31" s="54" t="s">
        <v>258</v>
      </c>
      <c r="H31" s="35"/>
      <c r="I31" s="35"/>
      <c r="J31" s="17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</row>
    <row r="32" spans="1:220" s="4" customFormat="1" x14ac:dyDescent="0.15">
      <c r="A32" s="72"/>
      <c r="B32" s="19" t="s">
        <v>88</v>
      </c>
      <c r="C32" s="73" t="s">
        <v>89</v>
      </c>
      <c r="D32" s="34" t="s">
        <v>90</v>
      </c>
      <c r="E32" s="11"/>
      <c r="F32" s="11"/>
      <c r="G32" s="54" t="s">
        <v>258</v>
      </c>
      <c r="H32" s="35"/>
      <c r="I32" s="35"/>
      <c r="J32" s="17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  <c r="GL32" s="45"/>
      <c r="GM32" s="45"/>
      <c r="GN32" s="45"/>
      <c r="GO32" s="45"/>
      <c r="GP32" s="45"/>
      <c r="GQ32" s="45"/>
      <c r="GR32" s="45"/>
      <c r="GS32" s="45"/>
      <c r="GT32" s="45"/>
      <c r="GU32" s="45"/>
      <c r="GV32" s="45"/>
      <c r="GW32" s="45"/>
      <c r="GX32" s="45"/>
      <c r="GY32" s="45"/>
      <c r="GZ32" s="45"/>
      <c r="HA32" s="45"/>
      <c r="HB32" s="45"/>
      <c r="HC32" s="45"/>
      <c r="HD32" s="45"/>
      <c r="HE32" s="45"/>
      <c r="HF32" s="45"/>
      <c r="HG32" s="45"/>
      <c r="HH32" s="45"/>
      <c r="HI32" s="45"/>
      <c r="HJ32" s="45"/>
      <c r="HK32" s="45"/>
      <c r="HL32" s="45"/>
    </row>
    <row r="33" spans="1:220" s="4" customFormat="1" x14ac:dyDescent="0.15">
      <c r="A33" s="72"/>
      <c r="B33" s="19" t="s">
        <v>91</v>
      </c>
      <c r="C33" s="73"/>
      <c r="D33" s="52" t="s">
        <v>93</v>
      </c>
      <c r="E33" s="11"/>
      <c r="F33" s="11"/>
      <c r="G33" s="54" t="s">
        <v>258</v>
      </c>
      <c r="H33" s="35"/>
      <c r="I33" s="35"/>
      <c r="J33" s="52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  <c r="GL33" s="45"/>
      <c r="GM33" s="45"/>
      <c r="GN33" s="45"/>
      <c r="GO33" s="45"/>
      <c r="GP33" s="45"/>
      <c r="GQ33" s="45"/>
      <c r="GR33" s="45"/>
      <c r="GS33" s="45"/>
      <c r="GT33" s="45"/>
      <c r="GU33" s="45"/>
      <c r="GV33" s="45"/>
      <c r="GW33" s="45"/>
      <c r="GX33" s="45"/>
      <c r="GY33" s="45"/>
      <c r="GZ33" s="45"/>
      <c r="HA33" s="45"/>
      <c r="HB33" s="45"/>
      <c r="HC33" s="45"/>
      <c r="HD33" s="45"/>
      <c r="HE33" s="45"/>
      <c r="HF33" s="45"/>
      <c r="HG33" s="45"/>
      <c r="HH33" s="45"/>
      <c r="HI33" s="45"/>
      <c r="HJ33" s="45"/>
      <c r="HK33" s="45"/>
      <c r="HL33" s="45"/>
    </row>
    <row r="34" spans="1:220" s="4" customFormat="1" x14ac:dyDescent="0.15">
      <c r="A34" s="72"/>
      <c r="B34" s="19" t="s">
        <v>92</v>
      </c>
      <c r="C34" s="73"/>
      <c r="D34" s="52" t="s">
        <v>266</v>
      </c>
      <c r="E34" s="11"/>
      <c r="F34" s="11"/>
      <c r="G34" s="54" t="s">
        <v>258</v>
      </c>
      <c r="H34" s="35"/>
      <c r="I34" s="35"/>
      <c r="J34" s="17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HB34" s="45"/>
      <c r="HC34" s="45"/>
      <c r="HD34" s="45"/>
      <c r="HE34" s="45"/>
      <c r="HF34" s="45"/>
      <c r="HG34" s="45"/>
      <c r="HH34" s="45"/>
      <c r="HI34" s="45"/>
      <c r="HJ34" s="45"/>
      <c r="HK34" s="45"/>
      <c r="HL34" s="45"/>
    </row>
    <row r="35" spans="1:220" s="4" customFormat="1" x14ac:dyDescent="0.15">
      <c r="A35" s="72"/>
      <c r="B35" s="19" t="s">
        <v>94</v>
      </c>
      <c r="C35" s="73"/>
      <c r="D35" s="34" t="s">
        <v>265</v>
      </c>
      <c r="E35" s="11"/>
      <c r="F35" s="11"/>
      <c r="G35" s="54" t="s">
        <v>258</v>
      </c>
      <c r="H35" s="35"/>
      <c r="I35" s="35"/>
      <c r="J35" s="17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  <c r="GL35" s="45"/>
      <c r="GM35" s="45"/>
      <c r="GN35" s="45"/>
      <c r="GO35" s="45"/>
      <c r="GP35" s="45"/>
      <c r="GQ35" s="45"/>
      <c r="GR35" s="45"/>
      <c r="GS35" s="45"/>
      <c r="GT35" s="45"/>
      <c r="GU35" s="45"/>
      <c r="GV35" s="45"/>
      <c r="GW35" s="45"/>
      <c r="GX35" s="45"/>
      <c r="GY35" s="45"/>
      <c r="GZ35" s="45"/>
      <c r="HA35" s="45"/>
      <c r="HB35" s="45"/>
      <c r="HC35" s="45"/>
      <c r="HD35" s="45"/>
      <c r="HE35" s="45"/>
      <c r="HF35" s="45"/>
      <c r="HG35" s="45"/>
      <c r="HH35" s="45"/>
      <c r="HI35" s="45"/>
      <c r="HJ35" s="45"/>
      <c r="HK35" s="45"/>
      <c r="HL35" s="45"/>
    </row>
    <row r="36" spans="1:220" s="4" customFormat="1" x14ac:dyDescent="0.15">
      <c r="A36" s="72"/>
      <c r="B36" s="19" t="s">
        <v>95</v>
      </c>
      <c r="C36" s="73" t="s">
        <v>96</v>
      </c>
      <c r="D36" s="34" t="s">
        <v>97</v>
      </c>
      <c r="E36" s="11"/>
      <c r="F36" s="11"/>
      <c r="G36" s="54" t="s">
        <v>258</v>
      </c>
      <c r="H36" s="35"/>
      <c r="I36" s="35"/>
      <c r="J36" s="17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  <c r="GL36" s="45"/>
      <c r="GM36" s="45"/>
      <c r="GN36" s="45"/>
      <c r="GO36" s="45"/>
      <c r="GP36" s="45"/>
      <c r="GQ36" s="45"/>
      <c r="GR36" s="45"/>
      <c r="GS36" s="45"/>
      <c r="GT36" s="45"/>
      <c r="GU36" s="45"/>
      <c r="GV36" s="45"/>
      <c r="GW36" s="45"/>
      <c r="GX36" s="45"/>
      <c r="GY36" s="45"/>
      <c r="GZ36" s="45"/>
      <c r="HA36" s="45"/>
      <c r="HB36" s="45"/>
      <c r="HC36" s="45"/>
      <c r="HD36" s="45"/>
      <c r="HE36" s="45"/>
      <c r="HF36" s="45"/>
      <c r="HG36" s="45"/>
      <c r="HH36" s="45"/>
      <c r="HI36" s="45"/>
      <c r="HJ36" s="45"/>
      <c r="HK36" s="45"/>
      <c r="HL36" s="45"/>
    </row>
    <row r="37" spans="1:220" s="4" customFormat="1" x14ac:dyDescent="0.15">
      <c r="A37" s="72"/>
      <c r="B37" s="19" t="s">
        <v>98</v>
      </c>
      <c r="C37" s="73"/>
      <c r="D37" s="34" t="s">
        <v>99</v>
      </c>
      <c r="E37" s="11"/>
      <c r="F37" s="11"/>
      <c r="G37" s="54" t="s">
        <v>258</v>
      </c>
      <c r="H37" s="35"/>
      <c r="I37" s="35"/>
      <c r="J37" s="17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  <c r="GL37" s="45"/>
      <c r="GM37" s="45"/>
      <c r="GN37" s="45"/>
      <c r="GO37" s="45"/>
      <c r="GP37" s="45"/>
      <c r="GQ37" s="45"/>
      <c r="GR37" s="45"/>
      <c r="GS37" s="45"/>
      <c r="GT37" s="45"/>
      <c r="GU37" s="45"/>
      <c r="GV37" s="45"/>
      <c r="GW37" s="45"/>
      <c r="GX37" s="45"/>
      <c r="GY37" s="45"/>
      <c r="GZ37" s="45"/>
      <c r="HA37" s="45"/>
      <c r="HB37" s="45"/>
      <c r="HC37" s="45"/>
      <c r="HD37" s="45"/>
      <c r="HE37" s="45"/>
      <c r="HF37" s="45"/>
      <c r="HG37" s="45"/>
      <c r="HH37" s="45"/>
      <c r="HI37" s="45"/>
      <c r="HJ37" s="45"/>
      <c r="HK37" s="45"/>
      <c r="HL37" s="45"/>
    </row>
    <row r="38" spans="1:220" s="4" customFormat="1" x14ac:dyDescent="0.15">
      <c r="A38" s="72"/>
      <c r="B38" s="19" t="s">
        <v>100</v>
      </c>
      <c r="C38" s="73"/>
      <c r="D38" s="34" t="s">
        <v>267</v>
      </c>
      <c r="E38" s="11"/>
      <c r="F38" s="11"/>
      <c r="G38" s="54" t="s">
        <v>258</v>
      </c>
      <c r="H38" s="35"/>
      <c r="I38" s="35"/>
      <c r="J38" s="17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  <c r="GL38" s="45"/>
      <c r="GM38" s="45"/>
      <c r="GN38" s="45"/>
      <c r="GO38" s="45"/>
      <c r="GP38" s="45"/>
      <c r="GQ38" s="45"/>
      <c r="GR38" s="45"/>
      <c r="GS38" s="45"/>
      <c r="GT38" s="45"/>
      <c r="GU38" s="45"/>
      <c r="GV38" s="45"/>
      <c r="GW38" s="45"/>
      <c r="GX38" s="45"/>
      <c r="GY38" s="45"/>
      <c r="GZ38" s="45"/>
      <c r="HA38" s="45"/>
      <c r="HB38" s="45"/>
      <c r="HC38" s="45"/>
      <c r="HD38" s="45"/>
      <c r="HE38" s="45"/>
      <c r="HF38" s="45"/>
      <c r="HG38" s="45"/>
      <c r="HH38" s="45"/>
      <c r="HI38" s="45"/>
      <c r="HJ38" s="45"/>
      <c r="HK38" s="45"/>
      <c r="HL38" s="45"/>
    </row>
    <row r="39" spans="1:220" s="4" customFormat="1" x14ac:dyDescent="0.15">
      <c r="A39" s="72"/>
      <c r="B39" s="19" t="s">
        <v>101</v>
      </c>
      <c r="C39" s="34" t="s">
        <v>102</v>
      </c>
      <c r="D39" s="34" t="s">
        <v>103</v>
      </c>
      <c r="E39" s="11"/>
      <c r="F39" s="11"/>
      <c r="G39" s="54" t="s">
        <v>258</v>
      </c>
      <c r="H39" s="35"/>
      <c r="I39" s="35"/>
      <c r="J39" s="17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  <c r="GL39" s="45"/>
      <c r="GM39" s="45"/>
      <c r="GN39" s="45"/>
      <c r="GO39" s="45"/>
      <c r="GP39" s="45"/>
      <c r="GQ39" s="45"/>
      <c r="GR39" s="45"/>
      <c r="GS39" s="45"/>
      <c r="GT39" s="45"/>
      <c r="GU39" s="45"/>
      <c r="GV39" s="45"/>
      <c r="GW39" s="45"/>
      <c r="GX39" s="45"/>
      <c r="GY39" s="45"/>
      <c r="GZ39" s="45"/>
      <c r="HA39" s="45"/>
      <c r="HB39" s="45"/>
      <c r="HC39" s="45"/>
      <c r="HD39" s="45"/>
      <c r="HE39" s="45"/>
      <c r="HF39" s="45"/>
      <c r="HG39" s="45"/>
      <c r="HH39" s="45"/>
      <c r="HI39" s="45"/>
      <c r="HJ39" s="45"/>
      <c r="HK39" s="45"/>
      <c r="HL39" s="45"/>
    </row>
    <row r="40" spans="1:220" s="4" customFormat="1" x14ac:dyDescent="0.15">
      <c r="A40" s="72"/>
      <c r="B40" s="19" t="s">
        <v>104</v>
      </c>
      <c r="C40" s="34" t="s">
        <v>105</v>
      </c>
      <c r="D40" s="34" t="s">
        <v>106</v>
      </c>
      <c r="E40" s="11"/>
      <c r="F40" s="11"/>
      <c r="G40" s="35" t="s">
        <v>269</v>
      </c>
      <c r="H40" s="35"/>
      <c r="I40" s="35"/>
      <c r="J40" s="17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45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  <c r="GL40" s="45"/>
      <c r="GM40" s="45"/>
      <c r="GN40" s="45"/>
      <c r="GO40" s="45"/>
      <c r="GP40" s="45"/>
      <c r="GQ40" s="45"/>
      <c r="GR40" s="45"/>
      <c r="GS40" s="45"/>
      <c r="GT40" s="45"/>
      <c r="GU40" s="45"/>
      <c r="GV40" s="45"/>
      <c r="GW40" s="45"/>
      <c r="GX40" s="45"/>
      <c r="GY40" s="45"/>
      <c r="GZ40" s="45"/>
      <c r="HA40" s="45"/>
      <c r="HB40" s="45"/>
      <c r="HC40" s="45"/>
      <c r="HD40" s="45"/>
      <c r="HE40" s="45"/>
      <c r="HF40" s="45"/>
      <c r="HG40" s="45"/>
      <c r="HH40" s="45"/>
      <c r="HI40" s="45"/>
      <c r="HJ40" s="45"/>
      <c r="HK40" s="45"/>
      <c r="HL40" s="45"/>
    </row>
    <row r="41" spans="1:220" s="4" customFormat="1" x14ac:dyDescent="0.15">
      <c r="A41" s="72"/>
      <c r="B41" s="19" t="s">
        <v>107</v>
      </c>
      <c r="C41" s="79" t="s">
        <v>268</v>
      </c>
      <c r="D41" s="79" t="s">
        <v>108</v>
      </c>
      <c r="E41" s="11"/>
      <c r="F41" s="11"/>
      <c r="G41" s="78" t="s">
        <v>270</v>
      </c>
      <c r="H41" s="35"/>
      <c r="I41" s="35"/>
      <c r="J41" s="17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45"/>
      <c r="GC41" s="45"/>
      <c r="GD41" s="45"/>
      <c r="GE41" s="45"/>
      <c r="GF41" s="45"/>
      <c r="GG41" s="45"/>
      <c r="GH41" s="45"/>
      <c r="GI41" s="45"/>
      <c r="GJ41" s="45"/>
      <c r="GK41" s="45"/>
      <c r="GL41" s="45"/>
      <c r="GM41" s="45"/>
      <c r="GN41" s="45"/>
      <c r="GO41" s="45"/>
      <c r="GP41" s="45"/>
      <c r="GQ41" s="45"/>
      <c r="GR41" s="45"/>
      <c r="GS41" s="45"/>
      <c r="GT41" s="45"/>
      <c r="GU41" s="45"/>
      <c r="GV41" s="45"/>
      <c r="GW41" s="45"/>
      <c r="GX41" s="45"/>
      <c r="GY41" s="45"/>
      <c r="GZ41" s="45"/>
      <c r="HA41" s="45"/>
      <c r="HB41" s="45"/>
      <c r="HC41" s="45"/>
      <c r="HD41" s="45"/>
      <c r="HE41" s="45"/>
      <c r="HF41" s="45"/>
      <c r="HG41" s="45"/>
      <c r="HH41" s="45"/>
      <c r="HI41" s="45"/>
      <c r="HJ41" s="45"/>
      <c r="HK41" s="45"/>
      <c r="HL41" s="45"/>
    </row>
    <row r="42" spans="1:220" s="4" customFormat="1" x14ac:dyDescent="0.15">
      <c r="A42" s="72" t="s">
        <v>109</v>
      </c>
      <c r="B42" s="19" t="s">
        <v>110</v>
      </c>
      <c r="C42" s="34" t="s">
        <v>111</v>
      </c>
      <c r="D42" s="34" t="s">
        <v>112</v>
      </c>
      <c r="E42" s="11"/>
      <c r="F42" s="11"/>
      <c r="G42" s="54" t="s">
        <v>271</v>
      </c>
      <c r="H42" s="35"/>
      <c r="I42" s="35"/>
      <c r="J42" s="17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  <c r="FL42" s="45"/>
      <c r="FM42" s="45"/>
      <c r="FN42" s="45"/>
      <c r="FO42" s="45"/>
      <c r="FP42" s="45"/>
      <c r="FQ42" s="45"/>
      <c r="FR42" s="45"/>
      <c r="FS42" s="45"/>
      <c r="FT42" s="45"/>
      <c r="FU42" s="45"/>
      <c r="FV42" s="45"/>
      <c r="FW42" s="45"/>
      <c r="FX42" s="45"/>
      <c r="FY42" s="45"/>
      <c r="FZ42" s="45"/>
      <c r="GA42" s="45"/>
      <c r="GB42" s="45"/>
      <c r="GC42" s="45"/>
      <c r="GD42" s="45"/>
      <c r="GE42" s="45"/>
      <c r="GF42" s="45"/>
      <c r="GG42" s="45"/>
      <c r="GH42" s="45"/>
      <c r="GI42" s="45"/>
      <c r="GJ42" s="45"/>
      <c r="GK42" s="45"/>
      <c r="GL42" s="45"/>
      <c r="GM42" s="45"/>
      <c r="GN42" s="45"/>
      <c r="GO42" s="45"/>
      <c r="GP42" s="45"/>
      <c r="GQ42" s="45"/>
      <c r="GR42" s="45"/>
      <c r="GS42" s="45"/>
      <c r="GT42" s="45"/>
      <c r="GU42" s="45"/>
      <c r="GV42" s="45"/>
      <c r="GW42" s="45"/>
      <c r="GX42" s="45"/>
      <c r="GY42" s="45"/>
      <c r="GZ42" s="45"/>
      <c r="HA42" s="45"/>
      <c r="HB42" s="45"/>
      <c r="HC42" s="45"/>
      <c r="HD42" s="45"/>
      <c r="HE42" s="45"/>
      <c r="HF42" s="45"/>
      <c r="HG42" s="45"/>
      <c r="HH42" s="45"/>
      <c r="HI42" s="45"/>
      <c r="HJ42" s="45"/>
      <c r="HK42" s="45"/>
      <c r="HL42" s="45"/>
    </row>
    <row r="43" spans="1:220" s="4" customFormat="1" x14ac:dyDescent="0.15">
      <c r="A43" s="72"/>
      <c r="B43" s="19" t="s">
        <v>113</v>
      </c>
      <c r="C43" s="34" t="s">
        <v>114</v>
      </c>
      <c r="D43" s="34" t="s">
        <v>115</v>
      </c>
      <c r="E43" s="11"/>
      <c r="F43" s="11"/>
      <c r="G43" s="54" t="s">
        <v>271</v>
      </c>
      <c r="H43" s="35"/>
      <c r="I43" s="35"/>
      <c r="J43" s="17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  <c r="GB43" s="45"/>
      <c r="GC43" s="45"/>
      <c r="GD43" s="45"/>
      <c r="GE43" s="45"/>
      <c r="GF43" s="45"/>
      <c r="GG43" s="45"/>
      <c r="GH43" s="45"/>
      <c r="GI43" s="45"/>
      <c r="GJ43" s="45"/>
      <c r="GK43" s="45"/>
      <c r="GL43" s="45"/>
      <c r="GM43" s="45"/>
      <c r="GN43" s="45"/>
      <c r="GO43" s="45"/>
      <c r="GP43" s="45"/>
      <c r="GQ43" s="45"/>
      <c r="GR43" s="45"/>
      <c r="GS43" s="45"/>
      <c r="GT43" s="45"/>
      <c r="GU43" s="45"/>
      <c r="GV43" s="45"/>
      <c r="GW43" s="45"/>
      <c r="GX43" s="45"/>
      <c r="GY43" s="45"/>
      <c r="GZ43" s="45"/>
      <c r="HA43" s="45"/>
      <c r="HB43" s="45"/>
      <c r="HC43" s="45"/>
      <c r="HD43" s="45"/>
      <c r="HE43" s="45"/>
      <c r="HF43" s="45"/>
      <c r="HG43" s="45"/>
      <c r="HH43" s="45"/>
      <c r="HI43" s="45"/>
      <c r="HJ43" s="45"/>
      <c r="HK43" s="45"/>
      <c r="HL43" s="45"/>
    </row>
    <row r="44" spans="1:220" s="4" customFormat="1" ht="49.5" x14ac:dyDescent="0.15">
      <c r="A44" s="72"/>
      <c r="B44" s="19" t="s">
        <v>116</v>
      </c>
      <c r="C44" s="34" t="s">
        <v>117</v>
      </c>
      <c r="D44" s="34" t="s">
        <v>118</v>
      </c>
      <c r="E44" s="11"/>
      <c r="F44" s="11"/>
      <c r="G44" s="54" t="s">
        <v>271</v>
      </c>
      <c r="H44" s="35"/>
      <c r="I44" s="35"/>
      <c r="J44" s="17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  <c r="GL44" s="45"/>
      <c r="GM44" s="45"/>
      <c r="GN44" s="45"/>
      <c r="GO44" s="45"/>
      <c r="GP44" s="45"/>
      <c r="GQ44" s="45"/>
      <c r="GR44" s="45"/>
      <c r="GS44" s="45"/>
      <c r="GT44" s="45"/>
      <c r="GU44" s="45"/>
      <c r="GV44" s="45"/>
      <c r="GW44" s="45"/>
      <c r="GX44" s="45"/>
      <c r="GY44" s="45"/>
      <c r="GZ44" s="45"/>
      <c r="HA44" s="45"/>
      <c r="HB44" s="45"/>
      <c r="HC44" s="45"/>
      <c r="HD44" s="45"/>
      <c r="HE44" s="45"/>
      <c r="HF44" s="45"/>
      <c r="HG44" s="45"/>
      <c r="HH44" s="45"/>
      <c r="HI44" s="45"/>
      <c r="HJ44" s="45"/>
      <c r="HK44" s="45"/>
      <c r="HL44" s="45"/>
    </row>
    <row r="45" spans="1:220" s="4" customFormat="1" ht="33" x14ac:dyDescent="0.15">
      <c r="A45" s="70" t="s">
        <v>119</v>
      </c>
      <c r="B45" s="19" t="s">
        <v>120</v>
      </c>
      <c r="C45" s="34" t="s">
        <v>121</v>
      </c>
      <c r="D45" s="34" t="s">
        <v>272</v>
      </c>
      <c r="E45" s="11"/>
      <c r="F45" s="11"/>
      <c r="G45" s="54" t="s">
        <v>271</v>
      </c>
      <c r="H45" s="35"/>
      <c r="I45" s="35"/>
      <c r="J45" s="17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  <c r="GB45" s="45"/>
      <c r="GC45" s="45"/>
      <c r="GD45" s="45"/>
      <c r="GE45" s="45"/>
      <c r="GF45" s="45"/>
      <c r="GG45" s="45"/>
      <c r="GH45" s="45"/>
      <c r="GI45" s="45"/>
      <c r="GJ45" s="45"/>
      <c r="GK45" s="45"/>
      <c r="GL45" s="45"/>
      <c r="GM45" s="45"/>
      <c r="GN45" s="45"/>
      <c r="GO45" s="45"/>
      <c r="GP45" s="45"/>
      <c r="GQ45" s="45"/>
      <c r="GR45" s="45"/>
      <c r="GS45" s="45"/>
      <c r="GT45" s="45"/>
      <c r="GU45" s="45"/>
      <c r="GV45" s="45"/>
      <c r="GW45" s="45"/>
      <c r="GX45" s="45"/>
      <c r="GY45" s="45"/>
      <c r="GZ45" s="45"/>
      <c r="HA45" s="45"/>
      <c r="HB45" s="45"/>
      <c r="HC45" s="45"/>
      <c r="HD45" s="45"/>
      <c r="HE45" s="45"/>
      <c r="HF45" s="45"/>
      <c r="HG45" s="45"/>
      <c r="HH45" s="45"/>
      <c r="HI45" s="45"/>
      <c r="HJ45" s="45"/>
      <c r="HK45" s="45"/>
      <c r="HL45" s="45"/>
    </row>
    <row r="46" spans="1:220" s="4" customFormat="1" ht="33" x14ac:dyDescent="0.15">
      <c r="A46" s="71"/>
      <c r="B46" s="19" t="s">
        <v>122</v>
      </c>
      <c r="C46" s="34" t="s">
        <v>123</v>
      </c>
      <c r="D46" s="34" t="s">
        <v>273</v>
      </c>
      <c r="E46" s="11"/>
      <c r="F46" s="11"/>
      <c r="G46" s="54" t="s">
        <v>271</v>
      </c>
      <c r="H46" s="35"/>
      <c r="I46" s="35"/>
      <c r="J46" s="17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45"/>
      <c r="GJ46" s="45"/>
      <c r="GK46" s="45"/>
      <c r="GL46" s="45"/>
      <c r="GM46" s="45"/>
      <c r="GN46" s="45"/>
      <c r="GO46" s="45"/>
      <c r="GP46" s="45"/>
      <c r="GQ46" s="45"/>
      <c r="GR46" s="45"/>
      <c r="GS46" s="45"/>
      <c r="GT46" s="45"/>
      <c r="GU46" s="45"/>
      <c r="GV46" s="45"/>
      <c r="GW46" s="45"/>
      <c r="GX46" s="45"/>
      <c r="GY46" s="45"/>
      <c r="GZ46" s="45"/>
      <c r="HA46" s="45"/>
      <c r="HB46" s="45"/>
      <c r="HC46" s="45"/>
      <c r="HD46" s="45"/>
      <c r="HE46" s="45"/>
      <c r="HF46" s="45"/>
      <c r="HG46" s="45"/>
      <c r="HH46" s="45"/>
      <c r="HI46" s="45"/>
      <c r="HJ46" s="45"/>
      <c r="HK46" s="45"/>
      <c r="HL46" s="45"/>
    </row>
    <row r="47" spans="1:220" s="4" customFormat="1" ht="36" customHeight="1" x14ac:dyDescent="0.15">
      <c r="A47" s="71"/>
      <c r="B47" s="19" t="s">
        <v>124</v>
      </c>
      <c r="C47" s="73" t="s">
        <v>125</v>
      </c>
      <c r="D47" s="34" t="s">
        <v>126</v>
      </c>
      <c r="E47" s="11"/>
      <c r="F47" s="11"/>
      <c r="G47" s="54" t="s">
        <v>271</v>
      </c>
      <c r="H47" s="35"/>
      <c r="I47" s="35"/>
      <c r="J47" s="17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  <c r="FQ47" s="45"/>
      <c r="FR47" s="45"/>
      <c r="FS47" s="45"/>
      <c r="FT47" s="45"/>
      <c r="FU47" s="45"/>
      <c r="FV47" s="45"/>
      <c r="FW47" s="45"/>
      <c r="FX47" s="45"/>
      <c r="FY47" s="45"/>
      <c r="FZ47" s="45"/>
      <c r="GA47" s="45"/>
      <c r="GB47" s="45"/>
      <c r="GC47" s="45"/>
      <c r="GD47" s="45"/>
      <c r="GE47" s="45"/>
      <c r="GF47" s="45"/>
      <c r="GG47" s="45"/>
      <c r="GH47" s="45"/>
      <c r="GI47" s="45"/>
      <c r="GJ47" s="45"/>
      <c r="GK47" s="45"/>
      <c r="GL47" s="45"/>
      <c r="GM47" s="45"/>
      <c r="GN47" s="45"/>
      <c r="GO47" s="45"/>
      <c r="GP47" s="45"/>
      <c r="GQ47" s="45"/>
      <c r="GR47" s="45"/>
      <c r="GS47" s="45"/>
      <c r="GT47" s="45"/>
      <c r="GU47" s="45"/>
      <c r="GV47" s="45"/>
      <c r="GW47" s="45"/>
      <c r="GX47" s="45"/>
      <c r="GY47" s="45"/>
      <c r="GZ47" s="45"/>
      <c r="HA47" s="45"/>
      <c r="HB47" s="45"/>
      <c r="HC47" s="45"/>
      <c r="HD47" s="45"/>
      <c r="HE47" s="45"/>
      <c r="HF47" s="45"/>
      <c r="HG47" s="45"/>
      <c r="HH47" s="45"/>
      <c r="HI47" s="45"/>
      <c r="HJ47" s="45"/>
      <c r="HK47" s="45"/>
      <c r="HL47" s="45"/>
    </row>
    <row r="48" spans="1:220" s="4" customFormat="1" x14ac:dyDescent="0.15">
      <c r="A48" s="71"/>
      <c r="B48" s="19" t="s">
        <v>127</v>
      </c>
      <c r="C48" s="73"/>
      <c r="D48" s="34" t="s">
        <v>128</v>
      </c>
      <c r="E48" s="11"/>
      <c r="F48" s="11"/>
      <c r="G48" s="54" t="s">
        <v>271</v>
      </c>
      <c r="H48" s="35"/>
      <c r="I48" s="35"/>
      <c r="J48" s="17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  <c r="FL48" s="45"/>
      <c r="FM48" s="45"/>
      <c r="FN48" s="45"/>
      <c r="FO48" s="45"/>
      <c r="FP48" s="45"/>
      <c r="FQ48" s="45"/>
      <c r="FR48" s="45"/>
      <c r="FS48" s="45"/>
      <c r="FT48" s="45"/>
      <c r="FU48" s="45"/>
      <c r="FV48" s="45"/>
      <c r="FW48" s="45"/>
      <c r="FX48" s="45"/>
      <c r="FY48" s="45"/>
      <c r="FZ48" s="45"/>
      <c r="GA48" s="45"/>
      <c r="GB48" s="45"/>
      <c r="GC48" s="45"/>
      <c r="GD48" s="45"/>
      <c r="GE48" s="45"/>
      <c r="GF48" s="45"/>
      <c r="GG48" s="45"/>
      <c r="GH48" s="45"/>
      <c r="GI48" s="45"/>
      <c r="GJ48" s="45"/>
      <c r="GK48" s="45"/>
      <c r="GL48" s="45"/>
      <c r="GM48" s="45"/>
      <c r="GN48" s="45"/>
      <c r="GO48" s="45"/>
      <c r="GP48" s="45"/>
      <c r="GQ48" s="45"/>
      <c r="GR48" s="45"/>
      <c r="GS48" s="45"/>
      <c r="GT48" s="45"/>
      <c r="GU48" s="45"/>
      <c r="GV48" s="45"/>
      <c r="GW48" s="45"/>
      <c r="GX48" s="45"/>
      <c r="GY48" s="45"/>
      <c r="GZ48" s="45"/>
      <c r="HA48" s="45"/>
      <c r="HB48" s="45"/>
      <c r="HC48" s="45"/>
      <c r="HD48" s="45"/>
      <c r="HE48" s="45"/>
      <c r="HF48" s="45"/>
      <c r="HG48" s="45"/>
      <c r="HH48" s="45"/>
      <c r="HI48" s="45"/>
      <c r="HJ48" s="45"/>
      <c r="HK48" s="45"/>
      <c r="HL48" s="45"/>
    </row>
    <row r="49" spans="1:220" s="4" customFormat="1" ht="49.5" x14ac:dyDescent="0.15">
      <c r="A49" s="71"/>
      <c r="B49" s="19" t="s">
        <v>129</v>
      </c>
      <c r="C49" s="34" t="s">
        <v>130</v>
      </c>
      <c r="D49" s="34" t="s">
        <v>131</v>
      </c>
      <c r="E49" s="11"/>
      <c r="F49" s="11"/>
      <c r="G49" s="54" t="s">
        <v>271</v>
      </c>
      <c r="H49" s="35"/>
      <c r="I49" s="35"/>
      <c r="J49" s="17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  <c r="GL49" s="45"/>
      <c r="GM49" s="45"/>
      <c r="GN49" s="45"/>
      <c r="GO49" s="45"/>
      <c r="GP49" s="45"/>
      <c r="GQ49" s="45"/>
      <c r="GR49" s="45"/>
      <c r="GS49" s="45"/>
      <c r="GT49" s="45"/>
      <c r="GU49" s="45"/>
      <c r="GV49" s="45"/>
      <c r="GW49" s="45"/>
      <c r="GX49" s="45"/>
      <c r="GY49" s="45"/>
      <c r="GZ49" s="45"/>
      <c r="HA49" s="45"/>
      <c r="HB49" s="45"/>
      <c r="HC49" s="45"/>
      <c r="HD49" s="45"/>
      <c r="HE49" s="45"/>
      <c r="HF49" s="45"/>
      <c r="HG49" s="45"/>
      <c r="HH49" s="45"/>
      <c r="HI49" s="45"/>
      <c r="HJ49" s="45"/>
      <c r="HK49" s="45"/>
      <c r="HL49" s="45"/>
    </row>
    <row r="50" spans="1:220" s="4" customFormat="1" ht="49.5" x14ac:dyDescent="0.15">
      <c r="A50" s="74"/>
      <c r="B50" s="19" t="s">
        <v>132</v>
      </c>
      <c r="C50" s="34" t="s">
        <v>274</v>
      </c>
      <c r="D50" s="34" t="s">
        <v>133</v>
      </c>
      <c r="E50" s="11"/>
      <c r="F50" s="11"/>
      <c r="G50" s="54" t="s">
        <v>271</v>
      </c>
      <c r="H50" s="35"/>
      <c r="I50" s="35"/>
      <c r="J50" s="17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  <c r="FK50" s="45"/>
      <c r="FL50" s="45"/>
      <c r="FM50" s="45"/>
      <c r="FN50" s="45"/>
      <c r="FO50" s="45"/>
      <c r="FP50" s="45"/>
      <c r="FQ50" s="45"/>
      <c r="FR50" s="45"/>
      <c r="FS50" s="45"/>
      <c r="FT50" s="45"/>
      <c r="FU50" s="45"/>
      <c r="FV50" s="45"/>
      <c r="FW50" s="45"/>
      <c r="FX50" s="45"/>
      <c r="FY50" s="45"/>
      <c r="FZ50" s="45"/>
      <c r="GA50" s="45"/>
      <c r="GB50" s="45"/>
      <c r="GC50" s="45"/>
      <c r="GD50" s="45"/>
      <c r="GE50" s="45"/>
      <c r="GF50" s="45"/>
      <c r="GG50" s="45"/>
      <c r="GH50" s="45"/>
      <c r="GI50" s="45"/>
      <c r="GJ50" s="45"/>
      <c r="GK50" s="45"/>
      <c r="GL50" s="45"/>
      <c r="GM50" s="45"/>
      <c r="GN50" s="45"/>
      <c r="GO50" s="45"/>
      <c r="GP50" s="45"/>
      <c r="GQ50" s="45"/>
      <c r="GR50" s="45"/>
      <c r="GS50" s="45"/>
      <c r="GT50" s="45"/>
      <c r="GU50" s="45"/>
      <c r="GV50" s="45"/>
      <c r="GW50" s="45"/>
      <c r="GX50" s="45"/>
      <c r="GY50" s="45"/>
      <c r="GZ50" s="45"/>
      <c r="HA50" s="45"/>
      <c r="HB50" s="45"/>
      <c r="HC50" s="45"/>
      <c r="HD50" s="45"/>
      <c r="HE50" s="45"/>
      <c r="HF50" s="45"/>
      <c r="HG50" s="45"/>
      <c r="HH50" s="45"/>
      <c r="HI50" s="45"/>
      <c r="HJ50" s="45"/>
      <c r="HK50" s="45"/>
      <c r="HL50" s="45"/>
    </row>
    <row r="51" spans="1:220" s="4" customFormat="1" ht="49.5" x14ac:dyDescent="0.15">
      <c r="A51" s="74"/>
      <c r="B51" s="19" t="s">
        <v>134</v>
      </c>
      <c r="C51" s="34" t="s">
        <v>275</v>
      </c>
      <c r="D51" s="34" t="s">
        <v>276</v>
      </c>
      <c r="E51" s="11"/>
      <c r="F51" s="11"/>
      <c r="G51" s="54" t="s">
        <v>271</v>
      </c>
      <c r="H51" s="35"/>
      <c r="I51" s="35"/>
      <c r="J51" s="17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  <c r="FQ51" s="45"/>
      <c r="FR51" s="45"/>
      <c r="FS51" s="45"/>
      <c r="FT51" s="45"/>
      <c r="FU51" s="45"/>
      <c r="FV51" s="45"/>
      <c r="FW51" s="45"/>
      <c r="FX51" s="45"/>
      <c r="FY51" s="45"/>
      <c r="FZ51" s="45"/>
      <c r="GA51" s="45"/>
      <c r="GB51" s="45"/>
      <c r="GC51" s="45"/>
      <c r="GD51" s="45"/>
      <c r="GE51" s="45"/>
      <c r="GF51" s="45"/>
      <c r="GG51" s="45"/>
      <c r="GH51" s="45"/>
      <c r="GI51" s="45"/>
      <c r="GJ51" s="45"/>
      <c r="GK51" s="45"/>
      <c r="GL51" s="45"/>
      <c r="GM51" s="45"/>
      <c r="GN51" s="45"/>
      <c r="GO51" s="45"/>
      <c r="GP51" s="45"/>
      <c r="GQ51" s="45"/>
      <c r="GR51" s="45"/>
      <c r="GS51" s="45"/>
      <c r="GT51" s="45"/>
      <c r="GU51" s="45"/>
      <c r="GV51" s="45"/>
      <c r="GW51" s="45"/>
      <c r="GX51" s="45"/>
      <c r="GY51" s="45"/>
      <c r="GZ51" s="45"/>
      <c r="HA51" s="45"/>
      <c r="HB51" s="45"/>
      <c r="HC51" s="45"/>
      <c r="HD51" s="45"/>
      <c r="HE51" s="45"/>
      <c r="HF51" s="45"/>
      <c r="HG51" s="45"/>
      <c r="HH51" s="45"/>
      <c r="HI51" s="45"/>
      <c r="HJ51" s="45"/>
      <c r="HK51" s="45"/>
      <c r="HL51" s="45"/>
    </row>
    <row r="52" spans="1:220" s="4" customFormat="1" ht="33" x14ac:dyDescent="0.15">
      <c r="A52" s="75"/>
      <c r="B52" s="19" t="s">
        <v>135</v>
      </c>
      <c r="C52" s="34" t="s">
        <v>136</v>
      </c>
      <c r="D52" s="34" t="s">
        <v>137</v>
      </c>
      <c r="E52" s="11"/>
      <c r="F52" s="11"/>
      <c r="G52" s="54" t="s">
        <v>271</v>
      </c>
      <c r="H52" s="35"/>
      <c r="I52" s="35"/>
      <c r="J52" s="17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  <c r="FL52" s="45"/>
      <c r="FM52" s="45"/>
      <c r="FN52" s="45"/>
      <c r="FO52" s="45"/>
      <c r="FP52" s="45"/>
      <c r="FQ52" s="45"/>
      <c r="FR52" s="45"/>
      <c r="FS52" s="45"/>
      <c r="FT52" s="45"/>
      <c r="FU52" s="45"/>
      <c r="FV52" s="45"/>
      <c r="FW52" s="45"/>
      <c r="FX52" s="45"/>
      <c r="FY52" s="45"/>
      <c r="FZ52" s="45"/>
      <c r="GA52" s="45"/>
      <c r="GB52" s="45"/>
      <c r="GC52" s="45"/>
      <c r="GD52" s="45"/>
      <c r="GE52" s="45"/>
      <c r="GF52" s="45"/>
      <c r="GG52" s="45"/>
      <c r="GH52" s="45"/>
      <c r="GI52" s="45"/>
      <c r="GJ52" s="45"/>
      <c r="GK52" s="45"/>
      <c r="GL52" s="45"/>
      <c r="GM52" s="45"/>
      <c r="GN52" s="45"/>
      <c r="GO52" s="45"/>
      <c r="GP52" s="45"/>
      <c r="GQ52" s="45"/>
      <c r="GR52" s="45"/>
      <c r="GS52" s="45"/>
      <c r="GT52" s="45"/>
      <c r="GU52" s="45"/>
      <c r="GV52" s="45"/>
      <c r="GW52" s="45"/>
      <c r="GX52" s="45"/>
      <c r="GY52" s="45"/>
      <c r="GZ52" s="45"/>
      <c r="HA52" s="45"/>
      <c r="HB52" s="45"/>
      <c r="HC52" s="45"/>
      <c r="HD52" s="45"/>
      <c r="HE52" s="45"/>
      <c r="HF52" s="45"/>
      <c r="HG52" s="45"/>
      <c r="HH52" s="45"/>
      <c r="HI52" s="45"/>
      <c r="HJ52" s="45"/>
      <c r="HK52" s="45"/>
      <c r="HL52" s="45"/>
    </row>
    <row r="53" spans="1:220" s="4" customFormat="1" x14ac:dyDescent="0.15">
      <c r="A53" s="72" t="s">
        <v>138</v>
      </c>
      <c r="B53" s="19" t="s">
        <v>139</v>
      </c>
      <c r="C53" s="4" t="s">
        <v>140</v>
      </c>
      <c r="D53" s="4" t="s">
        <v>141</v>
      </c>
      <c r="E53" s="11"/>
      <c r="F53" s="11"/>
      <c r="G53" s="54" t="s">
        <v>271</v>
      </c>
      <c r="H53" s="35"/>
      <c r="I53" s="35"/>
      <c r="J53" s="17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  <c r="GJ53" s="45"/>
      <c r="GK53" s="45"/>
      <c r="GL53" s="45"/>
      <c r="GM53" s="45"/>
      <c r="GN53" s="45"/>
      <c r="GO53" s="45"/>
      <c r="GP53" s="45"/>
      <c r="GQ53" s="45"/>
      <c r="GR53" s="45"/>
      <c r="GS53" s="45"/>
      <c r="GT53" s="45"/>
      <c r="GU53" s="45"/>
      <c r="GV53" s="45"/>
      <c r="GW53" s="45"/>
      <c r="GX53" s="45"/>
      <c r="GY53" s="45"/>
      <c r="GZ53" s="45"/>
      <c r="HA53" s="45"/>
      <c r="HB53" s="45"/>
      <c r="HC53" s="45"/>
      <c r="HD53" s="45"/>
      <c r="HE53" s="45"/>
      <c r="HF53" s="45"/>
      <c r="HG53" s="45"/>
      <c r="HH53" s="45"/>
      <c r="HI53" s="45"/>
      <c r="HJ53" s="45"/>
      <c r="HK53" s="45"/>
      <c r="HL53" s="45"/>
    </row>
    <row r="54" spans="1:220" s="4" customFormat="1" x14ac:dyDescent="0.15">
      <c r="A54" s="72"/>
      <c r="B54" s="19" t="s">
        <v>142</v>
      </c>
      <c r="C54" s="34" t="s">
        <v>143</v>
      </c>
      <c r="D54" s="34" t="s">
        <v>144</v>
      </c>
      <c r="E54" s="11"/>
      <c r="F54" s="11"/>
      <c r="G54" s="54" t="s">
        <v>271</v>
      </c>
      <c r="H54" s="35"/>
      <c r="I54" s="35"/>
      <c r="J54" s="17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  <c r="GL54" s="45"/>
      <c r="GM54" s="45"/>
      <c r="GN54" s="45"/>
      <c r="GO54" s="45"/>
      <c r="GP54" s="45"/>
      <c r="GQ54" s="45"/>
      <c r="GR54" s="45"/>
      <c r="GS54" s="45"/>
      <c r="GT54" s="45"/>
      <c r="GU54" s="45"/>
      <c r="GV54" s="45"/>
      <c r="GW54" s="45"/>
      <c r="GX54" s="45"/>
      <c r="GY54" s="45"/>
      <c r="GZ54" s="45"/>
      <c r="HA54" s="45"/>
      <c r="HB54" s="45"/>
      <c r="HC54" s="45"/>
      <c r="HD54" s="45"/>
      <c r="HE54" s="45"/>
      <c r="HF54" s="45"/>
      <c r="HG54" s="45"/>
      <c r="HH54" s="45"/>
      <c r="HI54" s="45"/>
      <c r="HJ54" s="45"/>
      <c r="HK54" s="45"/>
      <c r="HL54" s="45"/>
    </row>
    <row r="55" spans="1:220" s="4" customFormat="1" ht="33" x14ac:dyDescent="0.15">
      <c r="A55" s="72"/>
      <c r="B55" s="19" t="s">
        <v>145</v>
      </c>
      <c r="C55" s="34" t="s">
        <v>146</v>
      </c>
      <c r="D55" s="34" t="s">
        <v>147</v>
      </c>
      <c r="E55" s="11"/>
      <c r="F55" s="11"/>
      <c r="G55" s="54" t="s">
        <v>271</v>
      </c>
      <c r="H55" s="35"/>
      <c r="I55" s="35"/>
      <c r="J55" s="17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  <c r="GL55" s="45"/>
      <c r="GM55" s="45"/>
      <c r="GN55" s="45"/>
      <c r="GO55" s="45"/>
      <c r="GP55" s="45"/>
      <c r="GQ55" s="45"/>
      <c r="GR55" s="45"/>
      <c r="GS55" s="45"/>
      <c r="GT55" s="45"/>
      <c r="GU55" s="45"/>
      <c r="GV55" s="45"/>
      <c r="GW55" s="45"/>
      <c r="GX55" s="45"/>
      <c r="GY55" s="45"/>
      <c r="GZ55" s="45"/>
      <c r="HA55" s="45"/>
      <c r="HB55" s="45"/>
      <c r="HC55" s="45"/>
      <c r="HD55" s="45"/>
      <c r="HE55" s="45"/>
      <c r="HF55" s="45"/>
      <c r="HG55" s="45"/>
      <c r="HH55" s="45"/>
      <c r="HI55" s="45"/>
      <c r="HJ55" s="45"/>
      <c r="HK55" s="45"/>
      <c r="HL55" s="45"/>
    </row>
    <row r="56" spans="1:220" s="4" customFormat="1" x14ac:dyDescent="0.15">
      <c r="A56" s="72"/>
      <c r="B56" s="19" t="s">
        <v>148</v>
      </c>
      <c r="C56" s="34" t="s">
        <v>149</v>
      </c>
      <c r="D56" s="34" t="s">
        <v>150</v>
      </c>
      <c r="E56" s="11"/>
      <c r="F56" s="11"/>
      <c r="G56" s="54" t="s">
        <v>271</v>
      </c>
      <c r="H56" s="35"/>
      <c r="I56" s="35"/>
      <c r="J56" s="17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  <c r="GL56" s="45"/>
      <c r="GM56" s="45"/>
      <c r="GN56" s="45"/>
      <c r="GO56" s="45"/>
      <c r="GP56" s="45"/>
      <c r="GQ56" s="45"/>
      <c r="GR56" s="45"/>
      <c r="GS56" s="45"/>
      <c r="GT56" s="45"/>
      <c r="GU56" s="45"/>
      <c r="GV56" s="45"/>
      <c r="GW56" s="45"/>
      <c r="GX56" s="45"/>
      <c r="GY56" s="45"/>
      <c r="GZ56" s="45"/>
      <c r="HA56" s="45"/>
      <c r="HB56" s="45"/>
      <c r="HC56" s="45"/>
      <c r="HD56" s="45"/>
      <c r="HE56" s="45"/>
      <c r="HF56" s="45"/>
      <c r="HG56" s="45"/>
      <c r="HH56" s="45"/>
      <c r="HI56" s="45"/>
      <c r="HJ56" s="45"/>
      <c r="HK56" s="45"/>
      <c r="HL56" s="45"/>
    </row>
    <row r="57" spans="1:220" s="4" customFormat="1" x14ac:dyDescent="0.15">
      <c r="A57" s="72"/>
      <c r="B57" s="19" t="s">
        <v>151</v>
      </c>
      <c r="C57" s="34" t="s">
        <v>152</v>
      </c>
      <c r="D57" s="34" t="s">
        <v>150</v>
      </c>
      <c r="E57" s="11"/>
      <c r="F57" s="11"/>
      <c r="G57" s="54" t="s">
        <v>271</v>
      </c>
      <c r="H57" s="35"/>
      <c r="I57" s="35"/>
      <c r="J57" s="17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  <c r="GL57" s="45"/>
      <c r="GM57" s="45"/>
      <c r="GN57" s="45"/>
      <c r="GO57" s="45"/>
      <c r="GP57" s="45"/>
      <c r="GQ57" s="45"/>
      <c r="GR57" s="45"/>
      <c r="GS57" s="45"/>
      <c r="GT57" s="45"/>
      <c r="GU57" s="45"/>
      <c r="GV57" s="45"/>
      <c r="GW57" s="45"/>
      <c r="GX57" s="45"/>
      <c r="GY57" s="45"/>
      <c r="GZ57" s="45"/>
      <c r="HA57" s="45"/>
      <c r="HB57" s="45"/>
      <c r="HC57" s="45"/>
      <c r="HD57" s="45"/>
      <c r="HE57" s="45"/>
      <c r="HF57" s="45"/>
      <c r="HG57" s="45"/>
      <c r="HH57" s="45"/>
      <c r="HI57" s="45"/>
      <c r="HJ57" s="45"/>
      <c r="HK57" s="45"/>
      <c r="HL57" s="45"/>
    </row>
    <row r="58" spans="1:220" s="4" customFormat="1" x14ac:dyDescent="0.15">
      <c r="A58" s="72" t="s">
        <v>153</v>
      </c>
      <c r="B58" s="19" t="s">
        <v>154</v>
      </c>
      <c r="C58" s="73" t="s">
        <v>155</v>
      </c>
      <c r="D58" s="34" t="s">
        <v>156</v>
      </c>
      <c r="E58" s="11"/>
      <c r="F58" s="11"/>
      <c r="G58" s="54" t="s">
        <v>271</v>
      </c>
      <c r="H58" s="35"/>
      <c r="I58" s="35"/>
      <c r="J58" s="17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  <c r="GL58" s="45"/>
      <c r="GM58" s="45"/>
      <c r="GN58" s="45"/>
      <c r="GO58" s="45"/>
      <c r="GP58" s="45"/>
      <c r="GQ58" s="45"/>
      <c r="GR58" s="45"/>
      <c r="GS58" s="45"/>
      <c r="GT58" s="45"/>
      <c r="GU58" s="45"/>
      <c r="GV58" s="45"/>
      <c r="GW58" s="45"/>
      <c r="GX58" s="45"/>
      <c r="GY58" s="45"/>
      <c r="GZ58" s="45"/>
      <c r="HA58" s="45"/>
      <c r="HB58" s="45"/>
      <c r="HC58" s="45"/>
      <c r="HD58" s="45"/>
      <c r="HE58" s="45"/>
      <c r="HF58" s="45"/>
      <c r="HG58" s="45"/>
      <c r="HH58" s="45"/>
      <c r="HI58" s="45"/>
      <c r="HJ58" s="45"/>
      <c r="HK58" s="45"/>
      <c r="HL58" s="45"/>
    </row>
    <row r="59" spans="1:220" s="4" customFormat="1" ht="33" x14ac:dyDescent="0.15">
      <c r="A59" s="72"/>
      <c r="B59" s="19" t="s">
        <v>157</v>
      </c>
      <c r="C59" s="73"/>
      <c r="D59" s="34" t="s">
        <v>158</v>
      </c>
      <c r="E59" s="11"/>
      <c r="F59" s="11"/>
      <c r="G59" s="54" t="s">
        <v>271</v>
      </c>
      <c r="H59" s="35"/>
      <c r="I59" s="35"/>
      <c r="J59" s="17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</row>
    <row r="60" spans="1:220" s="4" customFormat="1" x14ac:dyDescent="0.15">
      <c r="A60" s="72"/>
      <c r="B60" s="19" t="s">
        <v>159</v>
      </c>
      <c r="C60" s="73" t="s">
        <v>160</v>
      </c>
      <c r="D60" s="34" t="s">
        <v>161</v>
      </c>
      <c r="E60" s="11"/>
      <c r="F60" s="11"/>
      <c r="G60" s="54" t="s">
        <v>271</v>
      </c>
      <c r="H60" s="35"/>
      <c r="I60" s="35"/>
      <c r="J60" s="17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  <c r="GL60" s="45"/>
      <c r="GM60" s="45"/>
      <c r="GN60" s="45"/>
      <c r="GO60" s="45"/>
      <c r="GP60" s="45"/>
      <c r="GQ60" s="45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45"/>
      <c r="HC60" s="45"/>
      <c r="HD60" s="45"/>
      <c r="HE60" s="45"/>
      <c r="HF60" s="45"/>
      <c r="HG60" s="45"/>
      <c r="HH60" s="45"/>
      <c r="HI60" s="45"/>
      <c r="HJ60" s="45"/>
      <c r="HK60" s="45"/>
      <c r="HL60" s="45"/>
    </row>
    <row r="61" spans="1:220" s="4" customFormat="1" x14ac:dyDescent="0.15">
      <c r="A61" s="72"/>
      <c r="B61" s="19" t="s">
        <v>162</v>
      </c>
      <c r="C61" s="73"/>
      <c r="D61" s="34" t="s">
        <v>163</v>
      </c>
      <c r="E61" s="11"/>
      <c r="F61" s="11"/>
      <c r="G61" s="54" t="s">
        <v>271</v>
      </c>
      <c r="H61" s="35"/>
      <c r="I61" s="35"/>
      <c r="J61" s="17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</row>
    <row r="62" spans="1:220" s="4" customFormat="1" x14ac:dyDescent="0.15">
      <c r="A62" s="72"/>
      <c r="B62" s="19" t="s">
        <v>164</v>
      </c>
      <c r="C62" s="73" t="s">
        <v>165</v>
      </c>
      <c r="D62" s="34" t="s">
        <v>156</v>
      </c>
      <c r="E62" s="11"/>
      <c r="F62" s="11"/>
      <c r="G62" s="54" t="s">
        <v>271</v>
      </c>
      <c r="H62" s="35"/>
      <c r="I62" s="35"/>
      <c r="J62" s="17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  <c r="GL62" s="45"/>
      <c r="GM62" s="45"/>
      <c r="GN62" s="45"/>
      <c r="GO62" s="45"/>
      <c r="GP62" s="45"/>
      <c r="GQ62" s="45"/>
      <c r="GR62" s="45"/>
      <c r="GS62" s="45"/>
      <c r="GT62" s="45"/>
      <c r="GU62" s="45"/>
      <c r="GV62" s="45"/>
      <c r="GW62" s="45"/>
      <c r="GX62" s="45"/>
      <c r="GY62" s="45"/>
      <c r="GZ62" s="45"/>
      <c r="HA62" s="45"/>
      <c r="HB62" s="45"/>
      <c r="HC62" s="45"/>
      <c r="HD62" s="45"/>
      <c r="HE62" s="45"/>
      <c r="HF62" s="45"/>
      <c r="HG62" s="45"/>
      <c r="HH62" s="45"/>
      <c r="HI62" s="45"/>
      <c r="HJ62" s="45"/>
      <c r="HK62" s="45"/>
      <c r="HL62" s="45"/>
    </row>
    <row r="63" spans="1:220" s="4" customFormat="1" ht="33" x14ac:dyDescent="0.15">
      <c r="A63" s="72"/>
      <c r="B63" s="19" t="s">
        <v>166</v>
      </c>
      <c r="C63" s="73"/>
      <c r="D63" s="34" t="s">
        <v>279</v>
      </c>
      <c r="E63" s="11"/>
      <c r="F63" s="11"/>
      <c r="G63" s="54" t="s">
        <v>271</v>
      </c>
      <c r="H63" s="35"/>
      <c r="I63" s="35"/>
      <c r="J63" s="17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  <c r="GL63" s="45"/>
      <c r="GM63" s="45"/>
      <c r="GN63" s="45"/>
      <c r="GO63" s="45"/>
      <c r="GP63" s="45"/>
      <c r="GQ63" s="45"/>
      <c r="GR63" s="45"/>
      <c r="GS63" s="45"/>
      <c r="GT63" s="45"/>
      <c r="GU63" s="45"/>
      <c r="GV63" s="45"/>
      <c r="GW63" s="45"/>
      <c r="GX63" s="45"/>
      <c r="GY63" s="45"/>
      <c r="GZ63" s="45"/>
      <c r="HA63" s="45"/>
      <c r="HB63" s="45"/>
      <c r="HC63" s="45"/>
      <c r="HD63" s="45"/>
      <c r="HE63" s="45"/>
      <c r="HF63" s="45"/>
      <c r="HG63" s="45"/>
      <c r="HH63" s="45"/>
      <c r="HI63" s="45"/>
      <c r="HJ63" s="45"/>
      <c r="HK63" s="45"/>
      <c r="HL63" s="45"/>
    </row>
    <row r="64" spans="1:220" s="4" customFormat="1" ht="33" x14ac:dyDescent="0.15">
      <c r="A64" s="72"/>
      <c r="B64" s="19" t="s">
        <v>167</v>
      </c>
      <c r="C64" s="34" t="s">
        <v>168</v>
      </c>
      <c r="D64" s="34" t="s">
        <v>169</v>
      </c>
      <c r="E64" s="11"/>
      <c r="F64" s="11"/>
      <c r="G64" s="54" t="s">
        <v>271</v>
      </c>
      <c r="H64" s="35"/>
      <c r="I64" s="35"/>
      <c r="J64" s="17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  <c r="GL64" s="45"/>
      <c r="GM64" s="45"/>
      <c r="GN64" s="45"/>
      <c r="GO64" s="45"/>
      <c r="GP64" s="45"/>
      <c r="GQ64" s="45"/>
      <c r="GR64" s="45"/>
      <c r="GS64" s="45"/>
      <c r="GT64" s="45"/>
      <c r="GU64" s="45"/>
      <c r="GV64" s="45"/>
      <c r="GW64" s="45"/>
      <c r="GX64" s="45"/>
      <c r="GY64" s="45"/>
      <c r="GZ64" s="45"/>
      <c r="HA64" s="45"/>
      <c r="HB64" s="45"/>
      <c r="HC64" s="45"/>
      <c r="HD64" s="45"/>
      <c r="HE64" s="45"/>
      <c r="HF64" s="45"/>
      <c r="HG64" s="45"/>
      <c r="HH64" s="45"/>
      <c r="HI64" s="45"/>
      <c r="HJ64" s="45"/>
      <c r="HK64" s="45"/>
      <c r="HL64" s="45"/>
    </row>
    <row r="65" spans="1:220" s="4" customFormat="1" ht="49.5" x14ac:dyDescent="0.15">
      <c r="A65" s="72"/>
      <c r="B65" s="19" t="s">
        <v>170</v>
      </c>
      <c r="C65" s="34" t="s">
        <v>171</v>
      </c>
      <c r="D65" s="34" t="s">
        <v>280</v>
      </c>
      <c r="E65" s="11"/>
      <c r="F65" s="11"/>
      <c r="G65" s="54" t="s">
        <v>271</v>
      </c>
      <c r="H65" s="35"/>
      <c r="I65" s="35"/>
      <c r="J65" s="17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  <c r="GL65" s="45"/>
      <c r="GM65" s="45"/>
      <c r="GN65" s="45"/>
      <c r="GO65" s="45"/>
      <c r="GP65" s="45"/>
      <c r="GQ65" s="45"/>
      <c r="GR65" s="45"/>
      <c r="GS65" s="45"/>
      <c r="GT65" s="45"/>
      <c r="GU65" s="45"/>
      <c r="GV65" s="45"/>
      <c r="GW65" s="45"/>
      <c r="GX65" s="45"/>
      <c r="GY65" s="45"/>
      <c r="GZ65" s="45"/>
      <c r="HA65" s="45"/>
      <c r="HB65" s="45"/>
      <c r="HC65" s="45"/>
      <c r="HD65" s="45"/>
      <c r="HE65" s="45"/>
      <c r="HF65" s="45"/>
      <c r="HG65" s="45"/>
      <c r="HH65" s="45"/>
      <c r="HI65" s="45"/>
      <c r="HJ65" s="45"/>
      <c r="HK65" s="45"/>
      <c r="HL65" s="45"/>
    </row>
    <row r="66" spans="1:220" s="4" customFormat="1" ht="33" x14ac:dyDescent="0.15">
      <c r="A66" s="72"/>
      <c r="B66" s="19" t="s">
        <v>173</v>
      </c>
      <c r="C66" s="34" t="s">
        <v>174</v>
      </c>
      <c r="D66" s="34" t="s">
        <v>175</v>
      </c>
      <c r="E66" s="11"/>
      <c r="F66" s="11"/>
      <c r="G66" s="54" t="s">
        <v>271</v>
      </c>
      <c r="H66" s="35"/>
      <c r="I66" s="35"/>
      <c r="J66" s="17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  <c r="GL66" s="45"/>
      <c r="GM66" s="45"/>
      <c r="GN66" s="45"/>
      <c r="GO66" s="45"/>
      <c r="GP66" s="45"/>
      <c r="GQ66" s="45"/>
      <c r="GR66" s="45"/>
      <c r="GS66" s="45"/>
      <c r="GT66" s="45"/>
      <c r="GU66" s="45"/>
      <c r="GV66" s="45"/>
      <c r="GW66" s="45"/>
      <c r="GX66" s="45"/>
      <c r="GY66" s="45"/>
      <c r="GZ66" s="45"/>
      <c r="HA66" s="45"/>
      <c r="HB66" s="45"/>
      <c r="HC66" s="45"/>
      <c r="HD66" s="45"/>
      <c r="HE66" s="45"/>
      <c r="HF66" s="45"/>
      <c r="HG66" s="45"/>
      <c r="HH66" s="45"/>
      <c r="HI66" s="45"/>
      <c r="HJ66" s="45"/>
      <c r="HK66" s="45"/>
      <c r="HL66" s="45"/>
    </row>
    <row r="67" spans="1:220" s="4" customFormat="1" ht="33" x14ac:dyDescent="0.15">
      <c r="A67" s="72"/>
      <c r="B67" s="19" t="s">
        <v>176</v>
      </c>
      <c r="C67" s="73" t="s">
        <v>288</v>
      </c>
      <c r="D67" s="34" t="s">
        <v>293</v>
      </c>
      <c r="E67" s="11"/>
      <c r="F67" s="11"/>
      <c r="G67" s="54" t="s">
        <v>271</v>
      </c>
      <c r="H67" s="35"/>
      <c r="I67" s="35"/>
      <c r="J67" s="17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  <c r="GL67" s="45"/>
      <c r="GM67" s="45"/>
      <c r="GN67" s="45"/>
      <c r="GO67" s="45"/>
      <c r="GP67" s="45"/>
      <c r="GQ67" s="45"/>
      <c r="GR67" s="45"/>
      <c r="GS67" s="45"/>
      <c r="GT67" s="45"/>
      <c r="GU67" s="45"/>
      <c r="GV67" s="45"/>
      <c r="GW67" s="45"/>
      <c r="GX67" s="45"/>
      <c r="GY67" s="45"/>
      <c r="GZ67" s="45"/>
      <c r="HA67" s="45"/>
      <c r="HB67" s="45"/>
      <c r="HC67" s="45"/>
      <c r="HD67" s="45"/>
      <c r="HE67" s="45"/>
      <c r="HF67" s="45"/>
      <c r="HG67" s="45"/>
      <c r="HH67" s="45"/>
      <c r="HI67" s="45"/>
      <c r="HJ67" s="45"/>
      <c r="HK67" s="45"/>
      <c r="HL67" s="45"/>
    </row>
    <row r="68" spans="1:220" s="4" customFormat="1" x14ac:dyDescent="0.15">
      <c r="A68" s="72"/>
      <c r="B68" s="19" t="s">
        <v>177</v>
      </c>
      <c r="C68" s="73"/>
      <c r="D68" s="34" t="s">
        <v>277</v>
      </c>
      <c r="E68" s="11"/>
      <c r="F68" s="11"/>
      <c r="G68" s="54" t="s">
        <v>271</v>
      </c>
      <c r="H68" s="35"/>
      <c r="I68" s="35"/>
      <c r="J68" s="17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  <c r="GL68" s="45"/>
      <c r="GM68" s="45"/>
      <c r="GN68" s="45"/>
      <c r="GO68" s="45"/>
      <c r="GP68" s="45"/>
      <c r="GQ68" s="45"/>
      <c r="GR68" s="45"/>
      <c r="GS68" s="45"/>
      <c r="GT68" s="45"/>
      <c r="GU68" s="45"/>
      <c r="GV68" s="45"/>
      <c r="GW68" s="45"/>
      <c r="GX68" s="45"/>
      <c r="GY68" s="45"/>
      <c r="GZ68" s="45"/>
      <c r="HA68" s="45"/>
      <c r="HB68" s="45"/>
      <c r="HC68" s="45"/>
      <c r="HD68" s="45"/>
      <c r="HE68" s="45"/>
      <c r="HF68" s="45"/>
      <c r="HG68" s="45"/>
      <c r="HH68" s="45"/>
      <c r="HI68" s="45"/>
      <c r="HJ68" s="45"/>
      <c r="HK68" s="45"/>
      <c r="HL68" s="45"/>
    </row>
    <row r="69" spans="1:220" s="4" customFormat="1" ht="33" x14ac:dyDescent="0.15">
      <c r="A69" s="72"/>
      <c r="B69" s="19" t="s">
        <v>178</v>
      </c>
      <c r="C69" s="73"/>
      <c r="D69" s="34" t="s">
        <v>278</v>
      </c>
      <c r="E69" s="11"/>
      <c r="F69" s="11"/>
      <c r="G69" s="54" t="s">
        <v>271</v>
      </c>
      <c r="H69" s="35"/>
      <c r="I69" s="35"/>
      <c r="J69" s="17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  <c r="GL69" s="45"/>
      <c r="GM69" s="45"/>
      <c r="GN69" s="45"/>
      <c r="GO69" s="45"/>
      <c r="GP69" s="45"/>
      <c r="GQ69" s="45"/>
      <c r="GR69" s="45"/>
      <c r="GS69" s="45"/>
      <c r="GT69" s="45"/>
      <c r="GU69" s="45"/>
      <c r="GV69" s="45"/>
      <c r="GW69" s="45"/>
      <c r="GX69" s="45"/>
      <c r="GY69" s="45"/>
      <c r="GZ69" s="45"/>
      <c r="HA69" s="45"/>
      <c r="HB69" s="45"/>
      <c r="HC69" s="45"/>
      <c r="HD69" s="45"/>
      <c r="HE69" s="45"/>
      <c r="HF69" s="45"/>
      <c r="HG69" s="45"/>
      <c r="HH69" s="45"/>
      <c r="HI69" s="45"/>
      <c r="HJ69" s="45"/>
      <c r="HK69" s="45"/>
      <c r="HL69" s="45"/>
    </row>
    <row r="70" spans="1:220" s="4" customFormat="1" x14ac:dyDescent="0.15">
      <c r="A70" s="72"/>
      <c r="B70" s="19" t="s">
        <v>179</v>
      </c>
      <c r="C70" s="73" t="s">
        <v>180</v>
      </c>
      <c r="D70" s="34" t="s">
        <v>181</v>
      </c>
      <c r="E70" s="11"/>
      <c r="F70" s="11"/>
      <c r="G70" s="54" t="s">
        <v>271</v>
      </c>
      <c r="H70" s="35"/>
      <c r="I70" s="35"/>
      <c r="J70" s="17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  <c r="GL70" s="45"/>
      <c r="GM70" s="45"/>
      <c r="GN70" s="45"/>
      <c r="GO70" s="45"/>
      <c r="GP70" s="45"/>
      <c r="GQ70" s="45"/>
      <c r="GR70" s="45"/>
      <c r="GS70" s="45"/>
      <c r="GT70" s="45"/>
      <c r="GU70" s="45"/>
      <c r="GV70" s="45"/>
      <c r="GW70" s="45"/>
      <c r="GX70" s="45"/>
      <c r="GY70" s="45"/>
      <c r="GZ70" s="45"/>
      <c r="HA70" s="45"/>
      <c r="HB70" s="45"/>
      <c r="HC70" s="45"/>
      <c r="HD70" s="45"/>
      <c r="HE70" s="45"/>
      <c r="HF70" s="45"/>
      <c r="HG70" s="45"/>
      <c r="HH70" s="45"/>
      <c r="HI70" s="45"/>
      <c r="HJ70" s="45"/>
      <c r="HK70" s="45"/>
      <c r="HL70" s="45"/>
    </row>
    <row r="71" spans="1:220" s="4" customFormat="1" x14ac:dyDescent="0.15">
      <c r="A71" s="72"/>
      <c r="B71" s="19" t="s">
        <v>182</v>
      </c>
      <c r="C71" s="73"/>
      <c r="D71" s="34" t="s">
        <v>183</v>
      </c>
      <c r="E71" s="11"/>
      <c r="F71" s="11"/>
      <c r="G71" s="54" t="s">
        <v>271</v>
      </c>
      <c r="H71" s="35"/>
      <c r="I71" s="35"/>
      <c r="J71" s="17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  <c r="GL71" s="45"/>
      <c r="GM71" s="45"/>
      <c r="GN71" s="45"/>
      <c r="GO71" s="45"/>
      <c r="GP71" s="45"/>
      <c r="GQ71" s="45"/>
      <c r="GR71" s="45"/>
      <c r="GS71" s="45"/>
      <c r="GT71" s="45"/>
      <c r="GU71" s="45"/>
      <c r="GV71" s="45"/>
      <c r="GW71" s="45"/>
      <c r="GX71" s="45"/>
      <c r="GY71" s="45"/>
      <c r="GZ71" s="45"/>
      <c r="HA71" s="45"/>
      <c r="HB71" s="45"/>
      <c r="HC71" s="45"/>
      <c r="HD71" s="45"/>
      <c r="HE71" s="45"/>
      <c r="HF71" s="45"/>
      <c r="HG71" s="45"/>
      <c r="HH71" s="45"/>
      <c r="HI71" s="45"/>
      <c r="HJ71" s="45"/>
      <c r="HK71" s="45"/>
      <c r="HL71" s="45"/>
    </row>
    <row r="72" spans="1:220" s="4" customFormat="1" x14ac:dyDescent="0.15">
      <c r="A72" s="72" t="s">
        <v>184</v>
      </c>
      <c r="B72" s="19" t="s">
        <v>185</v>
      </c>
      <c r="C72" s="73" t="s">
        <v>186</v>
      </c>
      <c r="D72" s="34" t="s">
        <v>187</v>
      </c>
      <c r="E72" s="11"/>
      <c r="F72" s="11"/>
      <c r="G72" s="54" t="s">
        <v>271</v>
      </c>
      <c r="H72" s="35"/>
      <c r="I72" s="35"/>
      <c r="J72" s="17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5"/>
      <c r="FW72" s="45"/>
      <c r="FX72" s="45"/>
      <c r="FY72" s="45"/>
      <c r="FZ72" s="45"/>
      <c r="GA72" s="45"/>
      <c r="GB72" s="45"/>
      <c r="GC72" s="45"/>
      <c r="GD72" s="45"/>
      <c r="GE72" s="45"/>
      <c r="GF72" s="45"/>
      <c r="GG72" s="45"/>
      <c r="GH72" s="45"/>
      <c r="GI72" s="45"/>
      <c r="GJ72" s="45"/>
      <c r="GK72" s="45"/>
      <c r="GL72" s="45"/>
      <c r="GM72" s="45"/>
      <c r="GN72" s="45"/>
      <c r="GO72" s="45"/>
      <c r="GP72" s="45"/>
      <c r="GQ72" s="45"/>
      <c r="GR72" s="45"/>
      <c r="GS72" s="45"/>
      <c r="GT72" s="45"/>
      <c r="GU72" s="45"/>
      <c r="GV72" s="45"/>
      <c r="GW72" s="45"/>
      <c r="GX72" s="45"/>
      <c r="GY72" s="45"/>
      <c r="GZ72" s="45"/>
      <c r="HA72" s="45"/>
      <c r="HB72" s="45"/>
      <c r="HC72" s="45"/>
      <c r="HD72" s="45"/>
      <c r="HE72" s="45"/>
      <c r="HF72" s="45"/>
      <c r="HG72" s="45"/>
      <c r="HH72" s="45"/>
      <c r="HI72" s="45"/>
      <c r="HJ72" s="45"/>
      <c r="HK72" s="45"/>
      <c r="HL72" s="45"/>
    </row>
    <row r="73" spans="1:220" s="4" customFormat="1" x14ac:dyDescent="0.15">
      <c r="A73" s="72"/>
      <c r="B73" s="19" t="s">
        <v>188</v>
      </c>
      <c r="C73" s="73"/>
      <c r="D73" s="34" t="s">
        <v>189</v>
      </c>
      <c r="E73" s="11"/>
      <c r="F73" s="11"/>
      <c r="G73" s="54" t="s">
        <v>271</v>
      </c>
      <c r="H73" s="35"/>
      <c r="I73" s="35"/>
      <c r="J73" s="17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  <c r="FQ73" s="45"/>
      <c r="FR73" s="45"/>
      <c r="FS73" s="45"/>
      <c r="FT73" s="45"/>
      <c r="FU73" s="45"/>
      <c r="FV73" s="45"/>
      <c r="FW73" s="45"/>
      <c r="FX73" s="45"/>
      <c r="FY73" s="45"/>
      <c r="FZ73" s="45"/>
      <c r="GA73" s="45"/>
      <c r="GB73" s="45"/>
      <c r="GC73" s="45"/>
      <c r="GD73" s="45"/>
      <c r="GE73" s="45"/>
      <c r="GF73" s="45"/>
      <c r="GG73" s="45"/>
      <c r="GH73" s="45"/>
      <c r="GI73" s="45"/>
      <c r="GJ73" s="45"/>
      <c r="GK73" s="45"/>
      <c r="GL73" s="45"/>
      <c r="GM73" s="45"/>
      <c r="GN73" s="45"/>
      <c r="GO73" s="45"/>
      <c r="GP73" s="45"/>
      <c r="GQ73" s="45"/>
      <c r="GR73" s="45"/>
      <c r="GS73" s="45"/>
      <c r="GT73" s="45"/>
      <c r="GU73" s="45"/>
      <c r="GV73" s="45"/>
      <c r="GW73" s="45"/>
      <c r="GX73" s="45"/>
      <c r="GY73" s="45"/>
      <c r="GZ73" s="45"/>
      <c r="HA73" s="45"/>
      <c r="HB73" s="45"/>
      <c r="HC73" s="45"/>
      <c r="HD73" s="45"/>
      <c r="HE73" s="45"/>
      <c r="HF73" s="45"/>
      <c r="HG73" s="45"/>
      <c r="HH73" s="45"/>
      <c r="HI73" s="45"/>
      <c r="HJ73" s="45"/>
      <c r="HK73" s="45"/>
      <c r="HL73" s="45"/>
    </row>
    <row r="74" spans="1:220" s="4" customFormat="1" ht="33" x14ac:dyDescent="0.15">
      <c r="A74" s="72"/>
      <c r="B74" s="19" t="s">
        <v>190</v>
      </c>
      <c r="C74" s="73"/>
      <c r="D74" s="34" t="s">
        <v>281</v>
      </c>
      <c r="E74" s="11"/>
      <c r="F74" s="11"/>
      <c r="G74" s="54" t="s">
        <v>271</v>
      </c>
      <c r="H74" s="35"/>
      <c r="I74" s="35"/>
      <c r="J74" s="17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5"/>
      <c r="FY74" s="45"/>
      <c r="FZ74" s="45"/>
      <c r="GA74" s="45"/>
      <c r="GB74" s="45"/>
      <c r="GC74" s="45"/>
      <c r="GD74" s="45"/>
      <c r="GE74" s="45"/>
      <c r="GF74" s="45"/>
      <c r="GG74" s="45"/>
      <c r="GH74" s="45"/>
      <c r="GI74" s="45"/>
      <c r="GJ74" s="45"/>
      <c r="GK74" s="45"/>
      <c r="GL74" s="45"/>
      <c r="GM74" s="45"/>
      <c r="GN74" s="45"/>
      <c r="GO74" s="45"/>
      <c r="GP74" s="45"/>
      <c r="GQ74" s="45"/>
      <c r="GR74" s="45"/>
      <c r="GS74" s="45"/>
      <c r="GT74" s="45"/>
      <c r="GU74" s="45"/>
      <c r="GV74" s="45"/>
      <c r="GW74" s="45"/>
      <c r="GX74" s="45"/>
      <c r="GY74" s="45"/>
      <c r="GZ74" s="45"/>
      <c r="HA74" s="45"/>
      <c r="HB74" s="45"/>
      <c r="HC74" s="45"/>
      <c r="HD74" s="45"/>
      <c r="HE74" s="45"/>
      <c r="HF74" s="45"/>
      <c r="HG74" s="45"/>
      <c r="HH74" s="45"/>
      <c r="HI74" s="45"/>
      <c r="HJ74" s="45"/>
      <c r="HK74" s="45"/>
      <c r="HL74" s="45"/>
    </row>
    <row r="75" spans="1:220" s="4" customFormat="1" x14ac:dyDescent="0.15">
      <c r="A75" s="72"/>
      <c r="B75" s="19" t="s">
        <v>191</v>
      </c>
      <c r="C75" s="73"/>
      <c r="D75" s="34" t="s">
        <v>192</v>
      </c>
      <c r="E75" s="11"/>
      <c r="F75" s="11"/>
      <c r="G75" s="54" t="s">
        <v>271</v>
      </c>
      <c r="H75" s="35"/>
      <c r="I75" s="35"/>
      <c r="J75" s="17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45"/>
      <c r="GG75" s="45"/>
      <c r="GH75" s="45"/>
      <c r="GI75" s="45"/>
      <c r="GJ75" s="45"/>
      <c r="GK75" s="45"/>
      <c r="GL75" s="45"/>
      <c r="GM75" s="45"/>
      <c r="GN75" s="45"/>
      <c r="GO75" s="45"/>
      <c r="GP75" s="45"/>
      <c r="GQ75" s="45"/>
      <c r="GR75" s="45"/>
      <c r="GS75" s="45"/>
      <c r="GT75" s="45"/>
      <c r="GU75" s="45"/>
      <c r="GV75" s="45"/>
      <c r="GW75" s="45"/>
      <c r="GX75" s="45"/>
      <c r="GY75" s="45"/>
      <c r="GZ75" s="45"/>
      <c r="HA75" s="45"/>
      <c r="HB75" s="45"/>
      <c r="HC75" s="45"/>
      <c r="HD75" s="45"/>
      <c r="HE75" s="45"/>
      <c r="HF75" s="45"/>
      <c r="HG75" s="45"/>
      <c r="HH75" s="45"/>
      <c r="HI75" s="45"/>
      <c r="HJ75" s="45"/>
      <c r="HK75" s="45"/>
      <c r="HL75" s="45"/>
    </row>
    <row r="76" spans="1:220" s="4" customFormat="1" x14ac:dyDescent="0.15">
      <c r="A76" s="72"/>
      <c r="B76" s="19" t="s">
        <v>193</v>
      </c>
      <c r="C76" s="73" t="s">
        <v>194</v>
      </c>
      <c r="D76" s="34" t="s">
        <v>195</v>
      </c>
      <c r="E76" s="11"/>
      <c r="F76" s="11"/>
      <c r="G76" s="54" t="s">
        <v>271</v>
      </c>
      <c r="H76" s="35"/>
      <c r="I76" s="35"/>
      <c r="J76" s="17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  <c r="GL76" s="45"/>
      <c r="GM76" s="45"/>
      <c r="GN76" s="45"/>
      <c r="GO76" s="45"/>
      <c r="GP76" s="45"/>
      <c r="GQ76" s="45"/>
      <c r="GR76" s="45"/>
      <c r="GS76" s="45"/>
      <c r="GT76" s="45"/>
      <c r="GU76" s="45"/>
      <c r="GV76" s="45"/>
      <c r="GW76" s="45"/>
      <c r="GX76" s="45"/>
      <c r="GY76" s="45"/>
      <c r="GZ76" s="45"/>
      <c r="HA76" s="45"/>
      <c r="HB76" s="45"/>
      <c r="HC76" s="45"/>
      <c r="HD76" s="45"/>
      <c r="HE76" s="45"/>
      <c r="HF76" s="45"/>
      <c r="HG76" s="45"/>
      <c r="HH76" s="45"/>
      <c r="HI76" s="45"/>
      <c r="HJ76" s="45"/>
      <c r="HK76" s="45"/>
      <c r="HL76" s="45"/>
    </row>
    <row r="77" spans="1:220" s="4" customFormat="1" ht="33" x14ac:dyDescent="0.15">
      <c r="A77" s="72"/>
      <c r="B77" s="19" t="s">
        <v>196</v>
      </c>
      <c r="C77" s="73"/>
      <c r="D77" s="34" t="s">
        <v>282</v>
      </c>
      <c r="E77" s="11"/>
      <c r="F77" s="11"/>
      <c r="G77" s="54" t="s">
        <v>271</v>
      </c>
      <c r="H77" s="35"/>
      <c r="I77" s="35"/>
      <c r="J77" s="17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  <c r="GL77" s="45"/>
      <c r="GM77" s="45"/>
      <c r="GN77" s="45"/>
      <c r="GO77" s="45"/>
      <c r="GP77" s="45"/>
      <c r="GQ77" s="45"/>
      <c r="GR77" s="45"/>
      <c r="GS77" s="45"/>
      <c r="GT77" s="45"/>
      <c r="GU77" s="45"/>
      <c r="GV77" s="45"/>
      <c r="GW77" s="45"/>
      <c r="GX77" s="45"/>
      <c r="GY77" s="45"/>
      <c r="GZ77" s="45"/>
      <c r="HA77" s="45"/>
      <c r="HB77" s="45"/>
      <c r="HC77" s="45"/>
      <c r="HD77" s="45"/>
      <c r="HE77" s="45"/>
      <c r="HF77" s="45"/>
      <c r="HG77" s="45"/>
      <c r="HH77" s="45"/>
      <c r="HI77" s="45"/>
      <c r="HJ77" s="45"/>
      <c r="HK77" s="45"/>
      <c r="HL77" s="45"/>
    </row>
    <row r="78" spans="1:220" s="4" customFormat="1" x14ac:dyDescent="0.15">
      <c r="A78" s="72"/>
      <c r="B78" s="19" t="s">
        <v>197</v>
      </c>
      <c r="C78" s="34" t="s">
        <v>198</v>
      </c>
      <c r="D78" s="34" t="s">
        <v>199</v>
      </c>
      <c r="E78" s="11"/>
      <c r="F78" s="11"/>
      <c r="G78" s="54" t="s">
        <v>271</v>
      </c>
      <c r="H78" s="35"/>
      <c r="I78" s="35"/>
      <c r="J78" s="17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  <c r="FQ78" s="45"/>
      <c r="FR78" s="45"/>
      <c r="FS78" s="45"/>
      <c r="FT78" s="45"/>
      <c r="FU78" s="45"/>
      <c r="FV78" s="45"/>
      <c r="FW78" s="45"/>
      <c r="FX78" s="45"/>
      <c r="FY78" s="45"/>
      <c r="FZ78" s="45"/>
      <c r="GA78" s="45"/>
      <c r="GB78" s="45"/>
      <c r="GC78" s="45"/>
      <c r="GD78" s="45"/>
      <c r="GE78" s="45"/>
      <c r="GF78" s="45"/>
      <c r="GG78" s="45"/>
      <c r="GH78" s="45"/>
      <c r="GI78" s="45"/>
      <c r="GJ78" s="45"/>
      <c r="GK78" s="45"/>
      <c r="GL78" s="45"/>
      <c r="GM78" s="45"/>
      <c r="GN78" s="45"/>
      <c r="GO78" s="45"/>
      <c r="GP78" s="45"/>
      <c r="GQ78" s="45"/>
      <c r="GR78" s="45"/>
      <c r="GS78" s="45"/>
      <c r="GT78" s="45"/>
      <c r="GU78" s="45"/>
      <c r="GV78" s="45"/>
      <c r="GW78" s="45"/>
      <c r="GX78" s="45"/>
      <c r="GY78" s="45"/>
      <c r="GZ78" s="45"/>
      <c r="HA78" s="45"/>
      <c r="HB78" s="45"/>
      <c r="HC78" s="45"/>
      <c r="HD78" s="45"/>
      <c r="HE78" s="45"/>
      <c r="HF78" s="45"/>
      <c r="HG78" s="45"/>
      <c r="HH78" s="45"/>
      <c r="HI78" s="45"/>
      <c r="HJ78" s="45"/>
      <c r="HK78" s="45"/>
      <c r="HL78" s="45"/>
    </row>
    <row r="79" spans="1:220" s="4" customFormat="1" x14ac:dyDescent="0.15">
      <c r="A79" s="72"/>
      <c r="B79" s="19" t="s">
        <v>200</v>
      </c>
      <c r="C79" s="73" t="s">
        <v>201</v>
      </c>
      <c r="D79" s="34" t="s">
        <v>202</v>
      </c>
      <c r="E79" s="11"/>
      <c r="F79" s="11"/>
      <c r="G79" s="54" t="s">
        <v>271</v>
      </c>
      <c r="H79" s="35"/>
      <c r="I79" s="35"/>
      <c r="J79" s="17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  <c r="GL79" s="45"/>
      <c r="GM79" s="45"/>
      <c r="GN79" s="45"/>
      <c r="GO79" s="45"/>
      <c r="GP79" s="45"/>
      <c r="GQ79" s="45"/>
      <c r="GR79" s="45"/>
      <c r="GS79" s="45"/>
      <c r="GT79" s="45"/>
      <c r="GU79" s="45"/>
      <c r="GV79" s="45"/>
      <c r="GW79" s="45"/>
      <c r="GX79" s="45"/>
      <c r="GY79" s="45"/>
      <c r="GZ79" s="45"/>
      <c r="HA79" s="45"/>
      <c r="HB79" s="45"/>
      <c r="HC79" s="45"/>
      <c r="HD79" s="45"/>
      <c r="HE79" s="45"/>
      <c r="HF79" s="45"/>
      <c r="HG79" s="45"/>
      <c r="HH79" s="45"/>
      <c r="HI79" s="45"/>
      <c r="HJ79" s="45"/>
      <c r="HK79" s="45"/>
      <c r="HL79" s="45"/>
    </row>
    <row r="80" spans="1:220" s="4" customFormat="1" ht="33" x14ac:dyDescent="0.15">
      <c r="A80" s="72"/>
      <c r="B80" s="19" t="s">
        <v>203</v>
      </c>
      <c r="C80" s="73"/>
      <c r="D80" s="34" t="s">
        <v>204</v>
      </c>
      <c r="E80" s="11"/>
      <c r="F80" s="11"/>
      <c r="G80" s="54" t="s">
        <v>271</v>
      </c>
      <c r="H80" s="35"/>
      <c r="I80" s="35"/>
      <c r="J80" s="17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  <c r="GL80" s="45"/>
      <c r="GM80" s="45"/>
      <c r="GN80" s="45"/>
      <c r="GO80" s="45"/>
      <c r="GP80" s="45"/>
      <c r="GQ80" s="45"/>
      <c r="GR80" s="45"/>
      <c r="GS80" s="45"/>
      <c r="GT80" s="45"/>
      <c r="GU80" s="45"/>
      <c r="GV80" s="45"/>
      <c r="GW80" s="45"/>
      <c r="GX80" s="45"/>
      <c r="GY80" s="45"/>
      <c r="GZ80" s="45"/>
      <c r="HA80" s="45"/>
      <c r="HB80" s="45"/>
      <c r="HC80" s="45"/>
      <c r="HD80" s="45"/>
      <c r="HE80" s="45"/>
      <c r="HF80" s="45"/>
      <c r="HG80" s="45"/>
      <c r="HH80" s="45"/>
      <c r="HI80" s="45"/>
      <c r="HJ80" s="45"/>
      <c r="HK80" s="45"/>
      <c r="HL80" s="45"/>
    </row>
    <row r="81" spans="1:220" s="4" customFormat="1" x14ac:dyDescent="0.15">
      <c r="A81" s="72"/>
      <c r="B81" s="19" t="s">
        <v>205</v>
      </c>
      <c r="C81" s="73"/>
      <c r="D81" s="4" t="s">
        <v>206</v>
      </c>
      <c r="E81" s="11"/>
      <c r="F81" s="11"/>
      <c r="G81" s="54" t="s">
        <v>271</v>
      </c>
      <c r="H81" s="35"/>
      <c r="I81" s="35"/>
      <c r="J81" s="17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  <c r="FQ81" s="45"/>
      <c r="FR81" s="45"/>
      <c r="FS81" s="45"/>
      <c r="FT81" s="45"/>
      <c r="FU81" s="45"/>
      <c r="FV81" s="45"/>
      <c r="FW81" s="45"/>
      <c r="FX81" s="45"/>
      <c r="FY81" s="45"/>
      <c r="FZ81" s="45"/>
      <c r="GA81" s="45"/>
      <c r="GB81" s="45"/>
      <c r="GC81" s="45"/>
      <c r="GD81" s="45"/>
      <c r="GE81" s="45"/>
      <c r="GF81" s="45"/>
      <c r="GG81" s="45"/>
      <c r="GH81" s="45"/>
      <c r="GI81" s="45"/>
      <c r="GJ81" s="45"/>
      <c r="GK81" s="45"/>
      <c r="GL81" s="45"/>
      <c r="GM81" s="45"/>
      <c r="GN81" s="45"/>
      <c r="GO81" s="45"/>
      <c r="GP81" s="45"/>
      <c r="GQ81" s="45"/>
      <c r="GR81" s="45"/>
      <c r="GS81" s="45"/>
      <c r="GT81" s="45"/>
      <c r="GU81" s="45"/>
      <c r="GV81" s="45"/>
      <c r="GW81" s="45"/>
      <c r="GX81" s="45"/>
      <c r="GY81" s="45"/>
      <c r="GZ81" s="45"/>
      <c r="HA81" s="45"/>
      <c r="HB81" s="45"/>
      <c r="HC81" s="45"/>
      <c r="HD81" s="45"/>
      <c r="HE81" s="45"/>
      <c r="HF81" s="45"/>
      <c r="HG81" s="45"/>
      <c r="HH81" s="45"/>
      <c r="HI81" s="45"/>
      <c r="HJ81" s="45"/>
      <c r="HK81" s="45"/>
      <c r="HL81" s="45"/>
    </row>
    <row r="82" spans="1:220" s="4" customFormat="1" x14ac:dyDescent="0.15">
      <c r="A82" s="72"/>
      <c r="B82" s="19" t="s">
        <v>207</v>
      </c>
      <c r="C82" s="73"/>
      <c r="D82" s="34" t="s">
        <v>208</v>
      </c>
      <c r="E82" s="11"/>
      <c r="F82" s="11"/>
      <c r="G82" s="54" t="s">
        <v>271</v>
      </c>
      <c r="H82" s="35"/>
      <c r="I82" s="35"/>
      <c r="J82" s="17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  <c r="FK82" s="45"/>
      <c r="FL82" s="45"/>
      <c r="FM82" s="45"/>
      <c r="FN82" s="45"/>
      <c r="FO82" s="45"/>
      <c r="FP82" s="45"/>
      <c r="FQ82" s="45"/>
      <c r="FR82" s="45"/>
      <c r="FS82" s="45"/>
      <c r="FT82" s="45"/>
      <c r="FU82" s="45"/>
      <c r="FV82" s="45"/>
      <c r="FW82" s="45"/>
      <c r="FX82" s="45"/>
      <c r="FY82" s="45"/>
      <c r="FZ82" s="45"/>
      <c r="GA82" s="45"/>
      <c r="GB82" s="45"/>
      <c r="GC82" s="45"/>
      <c r="GD82" s="45"/>
      <c r="GE82" s="45"/>
      <c r="GF82" s="45"/>
      <c r="GG82" s="45"/>
      <c r="GH82" s="45"/>
      <c r="GI82" s="45"/>
      <c r="GJ82" s="45"/>
      <c r="GK82" s="45"/>
      <c r="GL82" s="45"/>
      <c r="GM82" s="45"/>
      <c r="GN82" s="45"/>
      <c r="GO82" s="45"/>
      <c r="GP82" s="45"/>
      <c r="GQ82" s="45"/>
      <c r="GR82" s="45"/>
      <c r="GS82" s="45"/>
      <c r="GT82" s="45"/>
      <c r="GU82" s="45"/>
      <c r="GV82" s="45"/>
      <c r="GW82" s="45"/>
      <c r="GX82" s="45"/>
      <c r="GY82" s="45"/>
      <c r="GZ82" s="45"/>
      <c r="HA82" s="45"/>
      <c r="HB82" s="45"/>
      <c r="HC82" s="45"/>
      <c r="HD82" s="45"/>
      <c r="HE82" s="45"/>
      <c r="HF82" s="45"/>
      <c r="HG82" s="45"/>
      <c r="HH82" s="45"/>
      <c r="HI82" s="45"/>
      <c r="HJ82" s="45"/>
      <c r="HK82" s="45"/>
      <c r="HL82" s="45"/>
    </row>
    <row r="83" spans="1:220" s="4" customFormat="1" x14ac:dyDescent="0.15">
      <c r="A83" s="72"/>
      <c r="B83" s="19" t="s">
        <v>209</v>
      </c>
      <c r="C83" s="73"/>
      <c r="D83" s="34" t="s">
        <v>210</v>
      </c>
      <c r="E83" s="11"/>
      <c r="F83" s="11"/>
      <c r="G83" s="54" t="s">
        <v>271</v>
      </c>
      <c r="H83" s="35"/>
      <c r="I83" s="35"/>
      <c r="J83" s="17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  <c r="GL83" s="45"/>
      <c r="GM83" s="45"/>
      <c r="GN83" s="45"/>
      <c r="GO83" s="45"/>
      <c r="GP83" s="45"/>
      <c r="GQ83" s="45"/>
      <c r="GR83" s="45"/>
      <c r="GS83" s="45"/>
      <c r="GT83" s="45"/>
      <c r="GU83" s="45"/>
      <c r="GV83" s="45"/>
      <c r="GW83" s="45"/>
      <c r="GX83" s="45"/>
      <c r="GY83" s="45"/>
      <c r="GZ83" s="45"/>
      <c r="HA83" s="45"/>
      <c r="HB83" s="45"/>
      <c r="HC83" s="45"/>
      <c r="HD83" s="45"/>
      <c r="HE83" s="45"/>
      <c r="HF83" s="45"/>
      <c r="HG83" s="45"/>
      <c r="HH83" s="45"/>
      <c r="HI83" s="45"/>
      <c r="HJ83" s="45"/>
      <c r="HK83" s="45"/>
      <c r="HL83" s="45"/>
    </row>
    <row r="84" spans="1:220" s="4" customFormat="1" x14ac:dyDescent="0.15">
      <c r="A84" s="72"/>
      <c r="B84" s="19" t="s">
        <v>211</v>
      </c>
      <c r="C84" s="73"/>
      <c r="D84" s="34" t="s">
        <v>283</v>
      </c>
      <c r="E84" s="11"/>
      <c r="F84" s="11"/>
      <c r="G84" s="54" t="s">
        <v>271</v>
      </c>
      <c r="H84" s="35"/>
      <c r="I84" s="35"/>
      <c r="J84" s="17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  <c r="FL84" s="45"/>
      <c r="FM84" s="45"/>
      <c r="FN84" s="45"/>
      <c r="FO84" s="45"/>
      <c r="FP84" s="45"/>
      <c r="FQ84" s="45"/>
      <c r="FR84" s="45"/>
      <c r="FS84" s="45"/>
      <c r="FT84" s="45"/>
      <c r="FU84" s="45"/>
      <c r="FV84" s="45"/>
      <c r="FW84" s="45"/>
      <c r="FX84" s="45"/>
      <c r="FY84" s="45"/>
      <c r="FZ84" s="45"/>
      <c r="GA84" s="45"/>
      <c r="GB84" s="45"/>
      <c r="GC84" s="45"/>
      <c r="GD84" s="45"/>
      <c r="GE84" s="45"/>
      <c r="GF84" s="45"/>
      <c r="GG84" s="45"/>
      <c r="GH84" s="45"/>
      <c r="GI84" s="45"/>
      <c r="GJ84" s="45"/>
      <c r="GK84" s="45"/>
      <c r="GL84" s="45"/>
      <c r="GM84" s="45"/>
      <c r="GN84" s="45"/>
      <c r="GO84" s="45"/>
      <c r="GP84" s="45"/>
      <c r="GQ84" s="45"/>
      <c r="GR84" s="45"/>
      <c r="GS84" s="45"/>
      <c r="GT84" s="45"/>
      <c r="GU84" s="45"/>
      <c r="GV84" s="45"/>
      <c r="GW84" s="45"/>
      <c r="GX84" s="45"/>
      <c r="GY84" s="45"/>
      <c r="GZ84" s="45"/>
      <c r="HA84" s="45"/>
      <c r="HB84" s="45"/>
      <c r="HC84" s="45"/>
      <c r="HD84" s="45"/>
      <c r="HE84" s="45"/>
      <c r="HF84" s="45"/>
      <c r="HG84" s="45"/>
      <c r="HH84" s="45"/>
      <c r="HI84" s="45"/>
      <c r="HJ84" s="45"/>
      <c r="HK84" s="45"/>
      <c r="HL84" s="45"/>
    </row>
    <row r="85" spans="1:220" s="4" customFormat="1" ht="33" x14ac:dyDescent="0.15">
      <c r="A85" s="72"/>
      <c r="B85" s="19" t="s">
        <v>212</v>
      </c>
      <c r="C85" s="34" t="s">
        <v>213</v>
      </c>
      <c r="D85" s="34" t="s">
        <v>214</v>
      </c>
      <c r="E85" s="11"/>
      <c r="F85" s="11"/>
      <c r="G85" s="54" t="s">
        <v>271</v>
      </c>
      <c r="H85" s="35"/>
      <c r="I85" s="35"/>
      <c r="J85" s="17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  <c r="GL85" s="45"/>
      <c r="GM85" s="45"/>
      <c r="GN85" s="45"/>
      <c r="GO85" s="45"/>
      <c r="GP85" s="45"/>
      <c r="GQ85" s="45"/>
      <c r="GR85" s="45"/>
      <c r="GS85" s="45"/>
      <c r="GT85" s="45"/>
      <c r="GU85" s="45"/>
      <c r="GV85" s="45"/>
      <c r="GW85" s="45"/>
      <c r="GX85" s="45"/>
      <c r="GY85" s="45"/>
      <c r="GZ85" s="45"/>
      <c r="HA85" s="45"/>
      <c r="HB85" s="45"/>
      <c r="HC85" s="45"/>
      <c r="HD85" s="45"/>
      <c r="HE85" s="45"/>
      <c r="HF85" s="45"/>
      <c r="HG85" s="45"/>
      <c r="HH85" s="45"/>
      <c r="HI85" s="45"/>
      <c r="HJ85" s="45"/>
      <c r="HK85" s="45"/>
      <c r="HL85" s="45"/>
    </row>
    <row r="86" spans="1:220" s="4" customFormat="1" ht="33" x14ac:dyDescent="0.15">
      <c r="A86" s="72"/>
      <c r="B86" s="19" t="s">
        <v>215</v>
      </c>
      <c r="C86" s="34" t="s">
        <v>216</v>
      </c>
      <c r="D86" s="34" t="s">
        <v>217</v>
      </c>
      <c r="E86" s="11"/>
      <c r="F86" s="11"/>
      <c r="G86" s="54" t="s">
        <v>271</v>
      </c>
      <c r="H86" s="35"/>
      <c r="I86" s="35"/>
      <c r="J86" s="17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  <c r="GL86" s="45"/>
      <c r="GM86" s="45"/>
      <c r="GN86" s="45"/>
      <c r="GO86" s="45"/>
      <c r="GP86" s="45"/>
      <c r="GQ86" s="45"/>
      <c r="GR86" s="45"/>
      <c r="GS86" s="45"/>
      <c r="GT86" s="45"/>
      <c r="GU86" s="45"/>
      <c r="GV86" s="45"/>
      <c r="GW86" s="45"/>
      <c r="GX86" s="45"/>
      <c r="GY86" s="45"/>
      <c r="GZ86" s="45"/>
      <c r="HA86" s="45"/>
      <c r="HB86" s="45"/>
      <c r="HC86" s="45"/>
      <c r="HD86" s="45"/>
      <c r="HE86" s="45"/>
      <c r="HF86" s="45"/>
      <c r="HG86" s="45"/>
      <c r="HH86" s="45"/>
      <c r="HI86" s="45"/>
      <c r="HJ86" s="45"/>
      <c r="HK86" s="45"/>
      <c r="HL86" s="45"/>
    </row>
    <row r="87" spans="1:220" s="4" customFormat="1" ht="33" x14ac:dyDescent="0.15">
      <c r="A87" s="72"/>
      <c r="B87" s="19" t="s">
        <v>218</v>
      </c>
      <c r="C87" s="34" t="s">
        <v>284</v>
      </c>
      <c r="D87" s="34" t="s">
        <v>219</v>
      </c>
      <c r="E87" s="11"/>
      <c r="F87" s="11"/>
      <c r="G87" s="54" t="s">
        <v>271</v>
      </c>
      <c r="H87" s="35"/>
      <c r="I87" s="35"/>
      <c r="J87" s="17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  <c r="FL87" s="45"/>
      <c r="FM87" s="45"/>
      <c r="FN87" s="45"/>
      <c r="FO87" s="45"/>
      <c r="FP87" s="45"/>
      <c r="FQ87" s="45"/>
      <c r="FR87" s="45"/>
      <c r="FS87" s="45"/>
      <c r="FT87" s="45"/>
      <c r="FU87" s="45"/>
      <c r="FV87" s="45"/>
      <c r="FW87" s="45"/>
      <c r="FX87" s="45"/>
      <c r="FY87" s="45"/>
      <c r="FZ87" s="45"/>
      <c r="GA87" s="45"/>
      <c r="GB87" s="45"/>
      <c r="GC87" s="45"/>
      <c r="GD87" s="45"/>
      <c r="GE87" s="45"/>
      <c r="GF87" s="45"/>
      <c r="GG87" s="45"/>
      <c r="GH87" s="45"/>
      <c r="GI87" s="45"/>
      <c r="GJ87" s="45"/>
      <c r="GK87" s="45"/>
      <c r="GL87" s="45"/>
      <c r="GM87" s="45"/>
      <c r="GN87" s="45"/>
      <c r="GO87" s="45"/>
      <c r="GP87" s="45"/>
      <c r="GQ87" s="45"/>
      <c r="GR87" s="45"/>
      <c r="GS87" s="45"/>
      <c r="GT87" s="45"/>
      <c r="GU87" s="45"/>
      <c r="GV87" s="45"/>
      <c r="GW87" s="45"/>
      <c r="GX87" s="45"/>
      <c r="GY87" s="45"/>
      <c r="GZ87" s="45"/>
      <c r="HA87" s="45"/>
      <c r="HB87" s="45"/>
      <c r="HC87" s="45"/>
      <c r="HD87" s="45"/>
      <c r="HE87" s="45"/>
      <c r="HF87" s="45"/>
      <c r="HG87" s="45"/>
      <c r="HH87" s="45"/>
      <c r="HI87" s="45"/>
      <c r="HJ87" s="45"/>
      <c r="HK87" s="45"/>
      <c r="HL87" s="45"/>
    </row>
    <row r="88" spans="1:220" s="4" customFormat="1" ht="33" x14ac:dyDescent="0.15">
      <c r="A88" s="72" t="s">
        <v>153</v>
      </c>
      <c r="B88" s="19" t="s">
        <v>220</v>
      </c>
      <c r="C88" s="34" t="s">
        <v>221</v>
      </c>
      <c r="D88" s="34" t="s">
        <v>287</v>
      </c>
      <c r="E88" s="11"/>
      <c r="F88" s="11"/>
      <c r="G88" s="54" t="s">
        <v>271</v>
      </c>
      <c r="H88" s="35"/>
      <c r="I88" s="35"/>
      <c r="J88" s="17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  <c r="GL88" s="45"/>
      <c r="GM88" s="45"/>
      <c r="GN88" s="45"/>
      <c r="GO88" s="45"/>
      <c r="GP88" s="45"/>
      <c r="GQ88" s="45"/>
      <c r="GR88" s="45"/>
      <c r="GS88" s="45"/>
      <c r="GT88" s="45"/>
      <c r="GU88" s="45"/>
      <c r="GV88" s="45"/>
      <c r="GW88" s="45"/>
      <c r="GX88" s="45"/>
      <c r="GY88" s="45"/>
      <c r="GZ88" s="45"/>
      <c r="HA88" s="45"/>
      <c r="HB88" s="45"/>
      <c r="HC88" s="45"/>
      <c r="HD88" s="45"/>
      <c r="HE88" s="45"/>
      <c r="HF88" s="45"/>
      <c r="HG88" s="45"/>
      <c r="HH88" s="45"/>
      <c r="HI88" s="45"/>
      <c r="HJ88" s="45"/>
      <c r="HK88" s="45"/>
      <c r="HL88" s="45"/>
    </row>
    <row r="89" spans="1:220" s="4" customFormat="1" ht="33" x14ac:dyDescent="0.15">
      <c r="A89" s="72"/>
      <c r="B89" s="19" t="s">
        <v>222</v>
      </c>
      <c r="C89" s="79" t="s">
        <v>168</v>
      </c>
      <c r="D89" s="79" t="s">
        <v>223</v>
      </c>
      <c r="E89" s="11"/>
      <c r="F89" s="11"/>
      <c r="G89" s="78" t="s">
        <v>270</v>
      </c>
      <c r="H89" s="35"/>
      <c r="I89" s="35"/>
      <c r="J89" s="17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  <c r="FL89" s="45"/>
      <c r="FM89" s="45"/>
      <c r="FN89" s="45"/>
      <c r="FO89" s="45"/>
      <c r="FP89" s="45"/>
      <c r="FQ89" s="45"/>
      <c r="FR89" s="45"/>
      <c r="FS89" s="45"/>
      <c r="FT89" s="45"/>
      <c r="FU89" s="45"/>
      <c r="FV89" s="45"/>
      <c r="FW89" s="45"/>
      <c r="FX89" s="45"/>
      <c r="FY89" s="45"/>
      <c r="FZ89" s="45"/>
      <c r="GA89" s="45"/>
      <c r="GB89" s="45"/>
      <c r="GC89" s="45"/>
      <c r="GD89" s="45"/>
      <c r="GE89" s="45"/>
      <c r="GF89" s="45"/>
      <c r="GG89" s="45"/>
      <c r="GH89" s="45"/>
      <c r="GI89" s="45"/>
      <c r="GJ89" s="45"/>
      <c r="GK89" s="45"/>
      <c r="GL89" s="45"/>
      <c r="GM89" s="45"/>
      <c r="GN89" s="45"/>
      <c r="GO89" s="45"/>
      <c r="GP89" s="45"/>
      <c r="GQ89" s="45"/>
      <c r="GR89" s="45"/>
      <c r="GS89" s="45"/>
      <c r="GT89" s="45"/>
      <c r="GU89" s="45"/>
      <c r="GV89" s="45"/>
      <c r="GW89" s="45"/>
      <c r="GX89" s="45"/>
      <c r="GY89" s="45"/>
      <c r="GZ89" s="45"/>
      <c r="HA89" s="45"/>
      <c r="HB89" s="45"/>
      <c r="HC89" s="45"/>
      <c r="HD89" s="45"/>
      <c r="HE89" s="45"/>
      <c r="HF89" s="45"/>
      <c r="HG89" s="45"/>
      <c r="HH89" s="45"/>
      <c r="HI89" s="45"/>
      <c r="HJ89" s="45"/>
      <c r="HK89" s="45"/>
      <c r="HL89" s="45"/>
    </row>
    <row r="90" spans="1:220" s="4" customFormat="1" ht="49.5" x14ac:dyDescent="0.15">
      <c r="A90" s="72"/>
      <c r="B90" s="19" t="s">
        <v>224</v>
      </c>
      <c r="C90" s="79" t="s">
        <v>171</v>
      </c>
      <c r="D90" s="79" t="s">
        <v>172</v>
      </c>
      <c r="E90" s="11"/>
      <c r="F90" s="11"/>
      <c r="G90" s="78" t="s">
        <v>270</v>
      </c>
      <c r="H90" s="35"/>
      <c r="I90" s="35"/>
      <c r="J90" s="17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  <c r="FQ90" s="45"/>
      <c r="FR90" s="45"/>
      <c r="FS90" s="45"/>
      <c r="FT90" s="45"/>
      <c r="FU90" s="45"/>
      <c r="FV90" s="45"/>
      <c r="FW90" s="45"/>
      <c r="FX90" s="45"/>
      <c r="FY90" s="45"/>
      <c r="FZ90" s="45"/>
      <c r="GA90" s="45"/>
      <c r="GB90" s="45"/>
      <c r="GC90" s="45"/>
      <c r="GD90" s="45"/>
      <c r="GE90" s="45"/>
      <c r="GF90" s="45"/>
      <c r="GG90" s="45"/>
      <c r="GH90" s="45"/>
      <c r="GI90" s="45"/>
      <c r="GJ90" s="45"/>
      <c r="GK90" s="45"/>
      <c r="GL90" s="45"/>
      <c r="GM90" s="45"/>
      <c r="GN90" s="45"/>
      <c r="GO90" s="45"/>
      <c r="GP90" s="45"/>
      <c r="GQ90" s="45"/>
      <c r="GR90" s="45"/>
      <c r="GS90" s="45"/>
      <c r="GT90" s="45"/>
      <c r="GU90" s="45"/>
      <c r="GV90" s="45"/>
      <c r="GW90" s="45"/>
      <c r="GX90" s="45"/>
      <c r="GY90" s="45"/>
      <c r="GZ90" s="45"/>
      <c r="HA90" s="45"/>
      <c r="HB90" s="45"/>
      <c r="HC90" s="45"/>
      <c r="HD90" s="45"/>
      <c r="HE90" s="45"/>
      <c r="HF90" s="45"/>
      <c r="HG90" s="45"/>
      <c r="HH90" s="45"/>
      <c r="HI90" s="45"/>
      <c r="HJ90" s="45"/>
      <c r="HK90" s="45"/>
      <c r="HL90" s="45"/>
    </row>
    <row r="91" spans="1:220" s="4" customFormat="1" ht="33" x14ac:dyDescent="0.15">
      <c r="A91" s="72"/>
      <c r="B91" s="19" t="s">
        <v>225</v>
      </c>
      <c r="C91" s="79" t="s">
        <v>174</v>
      </c>
      <c r="D91" s="79" t="s">
        <v>175</v>
      </c>
      <c r="E91" s="11"/>
      <c r="F91" s="11"/>
      <c r="G91" s="78" t="s">
        <v>270</v>
      </c>
      <c r="H91" s="35"/>
      <c r="I91" s="35"/>
      <c r="J91" s="17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  <c r="FL91" s="45"/>
      <c r="FM91" s="45"/>
      <c r="FN91" s="45"/>
      <c r="FO91" s="45"/>
      <c r="FP91" s="45"/>
      <c r="FQ91" s="45"/>
      <c r="FR91" s="45"/>
      <c r="FS91" s="45"/>
      <c r="FT91" s="45"/>
      <c r="FU91" s="45"/>
      <c r="FV91" s="45"/>
      <c r="FW91" s="45"/>
      <c r="FX91" s="45"/>
      <c r="FY91" s="45"/>
      <c r="FZ91" s="45"/>
      <c r="GA91" s="45"/>
      <c r="GB91" s="45"/>
      <c r="GC91" s="45"/>
      <c r="GD91" s="45"/>
      <c r="GE91" s="45"/>
      <c r="GF91" s="45"/>
      <c r="GG91" s="45"/>
      <c r="GH91" s="45"/>
      <c r="GI91" s="45"/>
      <c r="GJ91" s="45"/>
      <c r="GK91" s="45"/>
      <c r="GL91" s="45"/>
      <c r="GM91" s="45"/>
      <c r="GN91" s="45"/>
      <c r="GO91" s="45"/>
      <c r="GP91" s="45"/>
      <c r="GQ91" s="45"/>
      <c r="GR91" s="45"/>
      <c r="GS91" s="45"/>
      <c r="GT91" s="45"/>
      <c r="GU91" s="45"/>
      <c r="GV91" s="45"/>
      <c r="GW91" s="45"/>
      <c r="GX91" s="45"/>
      <c r="GY91" s="45"/>
      <c r="GZ91" s="45"/>
      <c r="HA91" s="45"/>
      <c r="HB91" s="45"/>
      <c r="HC91" s="45"/>
      <c r="HD91" s="45"/>
      <c r="HE91" s="45"/>
      <c r="HF91" s="45"/>
      <c r="HG91" s="45"/>
      <c r="HH91" s="45"/>
      <c r="HI91" s="45"/>
      <c r="HJ91" s="45"/>
      <c r="HK91" s="45"/>
      <c r="HL91" s="45"/>
    </row>
    <row r="92" spans="1:220" s="4" customFormat="1" x14ac:dyDescent="0.15">
      <c r="A92" s="72"/>
      <c r="B92" s="19" t="s">
        <v>226</v>
      </c>
      <c r="C92" s="73" t="s">
        <v>289</v>
      </c>
      <c r="D92" s="34" t="s">
        <v>292</v>
      </c>
      <c r="E92" s="11"/>
      <c r="F92" s="11"/>
      <c r="G92" s="54" t="s">
        <v>271</v>
      </c>
      <c r="H92" s="35"/>
      <c r="I92" s="35"/>
      <c r="J92" s="17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  <c r="FL92" s="45"/>
      <c r="FM92" s="45"/>
      <c r="FN92" s="45"/>
      <c r="FO92" s="45"/>
      <c r="FP92" s="45"/>
      <c r="FQ92" s="45"/>
      <c r="FR92" s="45"/>
      <c r="FS92" s="45"/>
      <c r="FT92" s="45"/>
      <c r="FU92" s="45"/>
      <c r="FV92" s="45"/>
      <c r="FW92" s="45"/>
      <c r="FX92" s="45"/>
      <c r="FY92" s="45"/>
      <c r="FZ92" s="45"/>
      <c r="GA92" s="45"/>
      <c r="GB92" s="45"/>
      <c r="GC92" s="45"/>
      <c r="GD92" s="45"/>
      <c r="GE92" s="45"/>
      <c r="GF92" s="45"/>
      <c r="GG92" s="45"/>
      <c r="GH92" s="45"/>
      <c r="GI92" s="45"/>
      <c r="GJ92" s="45"/>
      <c r="GK92" s="45"/>
      <c r="GL92" s="45"/>
      <c r="GM92" s="45"/>
      <c r="GN92" s="45"/>
      <c r="GO92" s="45"/>
      <c r="GP92" s="45"/>
      <c r="GQ92" s="45"/>
      <c r="GR92" s="45"/>
      <c r="GS92" s="45"/>
      <c r="GT92" s="45"/>
      <c r="GU92" s="45"/>
      <c r="GV92" s="45"/>
      <c r="GW92" s="45"/>
      <c r="GX92" s="45"/>
      <c r="GY92" s="45"/>
      <c r="GZ92" s="45"/>
      <c r="HA92" s="45"/>
      <c r="HB92" s="45"/>
      <c r="HC92" s="45"/>
      <c r="HD92" s="45"/>
      <c r="HE92" s="45"/>
      <c r="HF92" s="45"/>
      <c r="HG92" s="45"/>
      <c r="HH92" s="45"/>
      <c r="HI92" s="45"/>
      <c r="HJ92" s="45"/>
      <c r="HK92" s="45"/>
      <c r="HL92" s="45"/>
    </row>
    <row r="93" spans="1:220" s="4" customFormat="1" x14ac:dyDescent="0.15">
      <c r="A93" s="72"/>
      <c r="B93" s="19" t="s">
        <v>227</v>
      </c>
      <c r="C93" s="73"/>
      <c r="D93" s="34" t="s">
        <v>290</v>
      </c>
      <c r="E93" s="11"/>
      <c r="F93" s="11"/>
      <c r="G93" s="54" t="s">
        <v>271</v>
      </c>
      <c r="H93" s="35"/>
      <c r="I93" s="35"/>
      <c r="J93" s="17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  <c r="FL93" s="45"/>
      <c r="FM93" s="45"/>
      <c r="FN93" s="45"/>
      <c r="FO93" s="45"/>
      <c r="FP93" s="45"/>
      <c r="FQ93" s="45"/>
      <c r="FR93" s="45"/>
      <c r="FS93" s="45"/>
      <c r="FT93" s="45"/>
      <c r="FU93" s="45"/>
      <c r="FV93" s="45"/>
      <c r="FW93" s="45"/>
      <c r="FX93" s="45"/>
      <c r="FY93" s="45"/>
      <c r="FZ93" s="45"/>
      <c r="GA93" s="45"/>
      <c r="GB93" s="45"/>
      <c r="GC93" s="45"/>
      <c r="GD93" s="45"/>
      <c r="GE93" s="45"/>
      <c r="GF93" s="45"/>
      <c r="GG93" s="45"/>
      <c r="GH93" s="45"/>
      <c r="GI93" s="45"/>
      <c r="GJ93" s="45"/>
      <c r="GK93" s="45"/>
      <c r="GL93" s="45"/>
      <c r="GM93" s="45"/>
      <c r="GN93" s="45"/>
      <c r="GO93" s="45"/>
      <c r="GP93" s="45"/>
      <c r="GQ93" s="45"/>
      <c r="GR93" s="45"/>
      <c r="GS93" s="45"/>
      <c r="GT93" s="45"/>
      <c r="GU93" s="45"/>
      <c r="GV93" s="45"/>
      <c r="GW93" s="45"/>
      <c r="GX93" s="45"/>
      <c r="GY93" s="45"/>
      <c r="GZ93" s="45"/>
      <c r="HA93" s="45"/>
      <c r="HB93" s="45"/>
      <c r="HC93" s="45"/>
      <c r="HD93" s="45"/>
      <c r="HE93" s="45"/>
      <c r="HF93" s="45"/>
      <c r="HG93" s="45"/>
      <c r="HH93" s="45"/>
      <c r="HI93" s="45"/>
      <c r="HJ93" s="45"/>
      <c r="HK93" s="45"/>
      <c r="HL93" s="45"/>
    </row>
    <row r="94" spans="1:220" s="4" customFormat="1" ht="49.5" x14ac:dyDescent="0.15">
      <c r="A94" s="72"/>
      <c r="B94" s="19" t="s">
        <v>228</v>
      </c>
      <c r="C94" s="73"/>
      <c r="D94" s="34" t="s">
        <v>291</v>
      </c>
      <c r="E94" s="11"/>
      <c r="F94" s="11"/>
      <c r="G94" s="54" t="s">
        <v>271</v>
      </c>
      <c r="H94" s="35"/>
      <c r="I94" s="35"/>
      <c r="J94" s="17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  <c r="FQ94" s="45"/>
      <c r="FR94" s="45"/>
      <c r="FS94" s="45"/>
      <c r="FT94" s="45"/>
      <c r="FU94" s="45"/>
      <c r="FV94" s="45"/>
      <c r="FW94" s="45"/>
      <c r="FX94" s="45"/>
      <c r="FY94" s="45"/>
      <c r="FZ94" s="45"/>
      <c r="GA94" s="45"/>
      <c r="GB94" s="45"/>
      <c r="GC94" s="45"/>
      <c r="GD94" s="45"/>
      <c r="GE94" s="45"/>
      <c r="GF94" s="45"/>
      <c r="GG94" s="45"/>
      <c r="GH94" s="45"/>
      <c r="GI94" s="45"/>
      <c r="GJ94" s="45"/>
      <c r="GK94" s="45"/>
      <c r="GL94" s="45"/>
      <c r="GM94" s="45"/>
      <c r="GN94" s="45"/>
      <c r="GO94" s="45"/>
      <c r="GP94" s="45"/>
      <c r="GQ94" s="45"/>
      <c r="GR94" s="45"/>
      <c r="GS94" s="45"/>
      <c r="GT94" s="45"/>
      <c r="GU94" s="45"/>
      <c r="GV94" s="45"/>
      <c r="GW94" s="45"/>
      <c r="GX94" s="45"/>
      <c r="GY94" s="45"/>
      <c r="GZ94" s="45"/>
      <c r="HA94" s="45"/>
      <c r="HB94" s="45"/>
      <c r="HC94" s="45"/>
      <c r="HD94" s="45"/>
      <c r="HE94" s="45"/>
      <c r="HF94" s="45"/>
      <c r="HG94" s="45"/>
      <c r="HH94" s="45"/>
      <c r="HI94" s="45"/>
      <c r="HJ94" s="45"/>
      <c r="HK94" s="45"/>
      <c r="HL94" s="45"/>
    </row>
    <row r="95" spans="1:220" s="4" customFormat="1" x14ac:dyDescent="0.15">
      <c r="A95" s="72"/>
      <c r="B95" s="19" t="s">
        <v>229</v>
      </c>
      <c r="C95" s="73" t="s">
        <v>230</v>
      </c>
      <c r="D95" s="34" t="s">
        <v>231</v>
      </c>
      <c r="E95" s="11"/>
      <c r="F95" s="11"/>
      <c r="G95" s="54" t="s">
        <v>271</v>
      </c>
      <c r="H95" s="35"/>
      <c r="I95" s="35"/>
      <c r="J95" s="17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  <c r="FQ95" s="45"/>
      <c r="FR95" s="45"/>
      <c r="FS95" s="45"/>
      <c r="FT95" s="45"/>
      <c r="FU95" s="45"/>
      <c r="FV95" s="45"/>
      <c r="FW95" s="45"/>
      <c r="FX95" s="45"/>
      <c r="FY95" s="45"/>
      <c r="FZ95" s="45"/>
      <c r="GA95" s="45"/>
      <c r="GB95" s="45"/>
      <c r="GC95" s="45"/>
      <c r="GD95" s="45"/>
      <c r="GE95" s="45"/>
      <c r="GF95" s="45"/>
      <c r="GG95" s="45"/>
      <c r="GH95" s="45"/>
      <c r="GI95" s="45"/>
      <c r="GJ95" s="45"/>
      <c r="GK95" s="45"/>
      <c r="GL95" s="45"/>
      <c r="GM95" s="45"/>
      <c r="GN95" s="45"/>
      <c r="GO95" s="45"/>
      <c r="GP95" s="45"/>
      <c r="GQ95" s="45"/>
      <c r="GR95" s="45"/>
      <c r="GS95" s="45"/>
      <c r="GT95" s="45"/>
      <c r="GU95" s="45"/>
      <c r="GV95" s="45"/>
      <c r="GW95" s="45"/>
      <c r="GX95" s="45"/>
      <c r="GY95" s="45"/>
      <c r="GZ95" s="45"/>
      <c r="HA95" s="45"/>
      <c r="HB95" s="45"/>
      <c r="HC95" s="45"/>
      <c r="HD95" s="45"/>
      <c r="HE95" s="45"/>
      <c r="HF95" s="45"/>
      <c r="HG95" s="45"/>
      <c r="HH95" s="45"/>
      <c r="HI95" s="45"/>
      <c r="HJ95" s="45"/>
      <c r="HK95" s="45"/>
      <c r="HL95" s="45"/>
    </row>
    <row r="96" spans="1:220" s="4" customFormat="1" x14ac:dyDescent="0.15">
      <c r="A96" s="72"/>
      <c r="B96" s="19" t="s">
        <v>232</v>
      </c>
      <c r="C96" s="73"/>
      <c r="D96" s="34" t="s">
        <v>233</v>
      </c>
      <c r="E96" s="11"/>
      <c r="F96" s="11"/>
      <c r="G96" s="54" t="s">
        <v>271</v>
      </c>
      <c r="H96" s="35"/>
      <c r="I96" s="35"/>
      <c r="J96" s="17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  <c r="GL96" s="45"/>
      <c r="GM96" s="45"/>
      <c r="GN96" s="45"/>
      <c r="GO96" s="45"/>
      <c r="GP96" s="45"/>
      <c r="GQ96" s="45"/>
      <c r="GR96" s="45"/>
      <c r="GS96" s="45"/>
      <c r="GT96" s="45"/>
      <c r="GU96" s="45"/>
      <c r="GV96" s="45"/>
      <c r="GW96" s="45"/>
      <c r="GX96" s="45"/>
      <c r="GY96" s="45"/>
      <c r="GZ96" s="45"/>
      <c r="HA96" s="45"/>
      <c r="HB96" s="45"/>
      <c r="HC96" s="45"/>
      <c r="HD96" s="45"/>
      <c r="HE96" s="45"/>
      <c r="HF96" s="45"/>
      <c r="HG96" s="45"/>
      <c r="HH96" s="45"/>
      <c r="HI96" s="45"/>
      <c r="HJ96" s="45"/>
      <c r="HK96" s="45"/>
      <c r="HL96" s="45"/>
    </row>
    <row r="97" spans="1:220" s="4" customFormat="1" x14ac:dyDescent="0.15">
      <c r="A97" s="72"/>
      <c r="B97" s="19" t="s">
        <v>234</v>
      </c>
      <c r="C97" s="73"/>
      <c r="D97" s="34" t="s">
        <v>235</v>
      </c>
      <c r="E97" s="11"/>
      <c r="F97" s="11"/>
      <c r="G97" s="54" t="s">
        <v>271</v>
      </c>
      <c r="H97" s="35"/>
      <c r="I97" s="35"/>
      <c r="J97" s="17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  <c r="FQ97" s="45"/>
      <c r="FR97" s="45"/>
      <c r="FS97" s="45"/>
      <c r="FT97" s="45"/>
      <c r="FU97" s="45"/>
      <c r="FV97" s="45"/>
      <c r="FW97" s="45"/>
      <c r="FX97" s="45"/>
      <c r="FY97" s="45"/>
      <c r="FZ97" s="45"/>
      <c r="GA97" s="45"/>
      <c r="GB97" s="45"/>
      <c r="GC97" s="45"/>
      <c r="GD97" s="45"/>
      <c r="GE97" s="45"/>
      <c r="GF97" s="45"/>
      <c r="GG97" s="45"/>
      <c r="GH97" s="45"/>
      <c r="GI97" s="45"/>
      <c r="GJ97" s="45"/>
      <c r="GK97" s="45"/>
      <c r="GL97" s="45"/>
      <c r="GM97" s="45"/>
      <c r="GN97" s="45"/>
      <c r="GO97" s="45"/>
      <c r="GP97" s="45"/>
      <c r="GQ97" s="45"/>
      <c r="GR97" s="45"/>
      <c r="GS97" s="45"/>
      <c r="GT97" s="45"/>
      <c r="GU97" s="45"/>
      <c r="GV97" s="45"/>
      <c r="GW97" s="45"/>
      <c r="GX97" s="45"/>
      <c r="GY97" s="45"/>
      <c r="GZ97" s="45"/>
      <c r="HA97" s="45"/>
      <c r="HB97" s="45"/>
      <c r="HC97" s="45"/>
      <c r="HD97" s="45"/>
      <c r="HE97" s="45"/>
      <c r="HF97" s="45"/>
      <c r="HG97" s="45"/>
      <c r="HH97" s="45"/>
      <c r="HI97" s="45"/>
      <c r="HJ97" s="45"/>
      <c r="HK97" s="45"/>
      <c r="HL97" s="45"/>
    </row>
    <row r="98" spans="1:220" s="4" customFormat="1" x14ac:dyDescent="0.15">
      <c r="A98" s="72"/>
      <c r="B98" s="19" t="s">
        <v>236</v>
      </c>
      <c r="C98" s="73"/>
      <c r="D98" s="34" t="s">
        <v>237</v>
      </c>
      <c r="E98" s="11"/>
      <c r="F98" s="11"/>
      <c r="G98" s="54" t="s">
        <v>271</v>
      </c>
      <c r="H98" s="35"/>
      <c r="I98" s="35"/>
      <c r="J98" s="17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  <c r="FK98" s="45"/>
      <c r="FL98" s="45"/>
      <c r="FM98" s="45"/>
      <c r="FN98" s="45"/>
      <c r="FO98" s="45"/>
      <c r="FP98" s="45"/>
      <c r="FQ98" s="45"/>
      <c r="FR98" s="45"/>
      <c r="FS98" s="45"/>
      <c r="FT98" s="45"/>
      <c r="FU98" s="45"/>
      <c r="FV98" s="45"/>
      <c r="FW98" s="45"/>
      <c r="FX98" s="45"/>
      <c r="FY98" s="45"/>
      <c r="FZ98" s="45"/>
      <c r="GA98" s="45"/>
      <c r="GB98" s="45"/>
      <c r="GC98" s="45"/>
      <c r="GD98" s="45"/>
      <c r="GE98" s="45"/>
      <c r="GF98" s="45"/>
      <c r="GG98" s="45"/>
      <c r="GH98" s="45"/>
      <c r="GI98" s="45"/>
      <c r="GJ98" s="45"/>
      <c r="GK98" s="45"/>
      <c r="GL98" s="45"/>
      <c r="GM98" s="45"/>
      <c r="GN98" s="45"/>
      <c r="GO98" s="45"/>
      <c r="GP98" s="45"/>
      <c r="GQ98" s="45"/>
      <c r="GR98" s="45"/>
      <c r="GS98" s="45"/>
      <c r="GT98" s="45"/>
      <c r="GU98" s="45"/>
      <c r="GV98" s="45"/>
      <c r="GW98" s="45"/>
      <c r="GX98" s="45"/>
      <c r="GY98" s="45"/>
      <c r="GZ98" s="45"/>
      <c r="HA98" s="45"/>
      <c r="HB98" s="45"/>
      <c r="HC98" s="45"/>
      <c r="HD98" s="45"/>
      <c r="HE98" s="45"/>
      <c r="HF98" s="45"/>
      <c r="HG98" s="45"/>
      <c r="HH98" s="45"/>
      <c r="HI98" s="45"/>
      <c r="HJ98" s="45"/>
      <c r="HK98" s="45"/>
      <c r="HL98" s="45"/>
    </row>
    <row r="99" spans="1:220" s="4" customFormat="1" x14ac:dyDescent="0.15">
      <c r="A99" s="72"/>
      <c r="B99" s="19" t="s">
        <v>238</v>
      </c>
      <c r="C99" s="73"/>
      <c r="D99" s="34" t="s">
        <v>285</v>
      </c>
      <c r="E99" s="11"/>
      <c r="F99" s="11"/>
      <c r="G99" s="54" t="s">
        <v>271</v>
      </c>
      <c r="H99" s="35"/>
      <c r="I99" s="35"/>
      <c r="J99" s="17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  <c r="GL99" s="45"/>
      <c r="GM99" s="45"/>
      <c r="GN99" s="45"/>
      <c r="GO99" s="45"/>
      <c r="GP99" s="45"/>
      <c r="GQ99" s="45"/>
      <c r="GR99" s="45"/>
      <c r="GS99" s="45"/>
      <c r="GT99" s="45"/>
      <c r="GU99" s="45"/>
      <c r="GV99" s="45"/>
      <c r="GW99" s="45"/>
      <c r="GX99" s="45"/>
      <c r="GY99" s="45"/>
      <c r="GZ99" s="45"/>
      <c r="HA99" s="45"/>
      <c r="HB99" s="45"/>
      <c r="HC99" s="45"/>
      <c r="HD99" s="45"/>
      <c r="HE99" s="45"/>
      <c r="HF99" s="45"/>
      <c r="HG99" s="45"/>
      <c r="HH99" s="45"/>
      <c r="HI99" s="45"/>
      <c r="HJ99" s="45"/>
      <c r="HK99" s="45"/>
      <c r="HL99" s="45"/>
    </row>
    <row r="100" spans="1:220" s="4" customFormat="1" ht="49.5" x14ac:dyDescent="0.15">
      <c r="A100" s="72"/>
      <c r="B100" s="19" t="s">
        <v>239</v>
      </c>
      <c r="C100" s="73"/>
      <c r="D100" s="34" t="s">
        <v>286</v>
      </c>
      <c r="E100" s="11"/>
      <c r="F100" s="11"/>
      <c r="G100" s="54" t="s">
        <v>271</v>
      </c>
      <c r="H100" s="35"/>
      <c r="I100" s="35"/>
      <c r="J100" s="17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45"/>
      <c r="ES100" s="45"/>
      <c r="ET100" s="45"/>
      <c r="EU100" s="45"/>
      <c r="EV100" s="45"/>
      <c r="EW100" s="45"/>
      <c r="EX100" s="45"/>
      <c r="EY100" s="45"/>
      <c r="EZ100" s="45"/>
      <c r="FA100" s="45"/>
      <c r="FB100" s="45"/>
      <c r="FC100" s="45"/>
      <c r="FD100" s="45"/>
      <c r="FE100" s="45"/>
      <c r="FF100" s="45"/>
      <c r="FG100" s="45"/>
      <c r="FH100" s="45"/>
      <c r="FI100" s="45"/>
      <c r="FJ100" s="45"/>
      <c r="FK100" s="45"/>
      <c r="FL100" s="45"/>
      <c r="FM100" s="45"/>
      <c r="FN100" s="45"/>
      <c r="FO100" s="45"/>
      <c r="FP100" s="45"/>
      <c r="FQ100" s="45"/>
      <c r="FR100" s="45"/>
      <c r="FS100" s="45"/>
      <c r="FT100" s="45"/>
      <c r="FU100" s="45"/>
      <c r="FV100" s="45"/>
      <c r="FW100" s="45"/>
      <c r="FX100" s="45"/>
      <c r="FY100" s="45"/>
      <c r="FZ100" s="45"/>
      <c r="GA100" s="45"/>
      <c r="GB100" s="45"/>
      <c r="GC100" s="45"/>
      <c r="GD100" s="45"/>
      <c r="GE100" s="45"/>
      <c r="GF100" s="45"/>
      <c r="GG100" s="45"/>
      <c r="GH100" s="45"/>
      <c r="GI100" s="45"/>
      <c r="GJ100" s="45"/>
      <c r="GK100" s="45"/>
      <c r="GL100" s="45"/>
      <c r="GM100" s="45"/>
      <c r="GN100" s="45"/>
      <c r="GO100" s="45"/>
      <c r="GP100" s="45"/>
      <c r="GQ100" s="45"/>
      <c r="GR100" s="45"/>
      <c r="GS100" s="45"/>
      <c r="GT100" s="45"/>
      <c r="GU100" s="45"/>
      <c r="GV100" s="45"/>
      <c r="GW100" s="45"/>
      <c r="GX100" s="45"/>
      <c r="GY100" s="45"/>
      <c r="GZ100" s="45"/>
      <c r="HA100" s="45"/>
      <c r="HB100" s="45"/>
      <c r="HC100" s="45"/>
      <c r="HD100" s="45"/>
      <c r="HE100" s="45"/>
      <c r="HF100" s="45"/>
      <c r="HG100" s="45"/>
      <c r="HH100" s="45"/>
      <c r="HI100" s="45"/>
      <c r="HJ100" s="45"/>
      <c r="HK100" s="45"/>
      <c r="HL100" s="45"/>
    </row>
    <row r="101" spans="1:220" s="4" customFormat="1" x14ac:dyDescent="0.15">
      <c r="A101" s="47" t="s">
        <v>240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9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  <c r="CK101" s="45"/>
      <c r="CL101" s="45"/>
      <c r="CM101" s="45"/>
      <c r="CN101" s="45"/>
      <c r="CO101" s="45"/>
      <c r="CP101" s="45"/>
      <c r="CQ101" s="45"/>
      <c r="CR101" s="45"/>
      <c r="CS101" s="45"/>
      <c r="CT101" s="45"/>
      <c r="CU101" s="45"/>
      <c r="CV101" s="45"/>
      <c r="CW101" s="45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5"/>
      <c r="DJ101" s="45"/>
      <c r="DK101" s="45"/>
      <c r="DL101" s="45"/>
      <c r="DM101" s="45"/>
      <c r="DN101" s="45"/>
      <c r="DO101" s="45"/>
      <c r="DP101" s="45"/>
      <c r="DQ101" s="45"/>
      <c r="DR101" s="45"/>
      <c r="DS101" s="45"/>
      <c r="DT101" s="45"/>
      <c r="DU101" s="45"/>
      <c r="DV101" s="45"/>
      <c r="DW101" s="45"/>
      <c r="DX101" s="45"/>
      <c r="DY101" s="45"/>
      <c r="DZ101" s="45"/>
      <c r="EA101" s="45"/>
      <c r="EB101" s="45"/>
      <c r="EC101" s="45"/>
      <c r="ED101" s="45"/>
      <c r="EE101" s="45"/>
      <c r="EF101" s="45"/>
      <c r="EG101" s="45"/>
      <c r="EH101" s="45"/>
      <c r="EI101" s="45"/>
      <c r="EJ101" s="45"/>
      <c r="EK101" s="45"/>
      <c r="EL101" s="45"/>
      <c r="EM101" s="45"/>
      <c r="EN101" s="45"/>
      <c r="EO101" s="45"/>
      <c r="EP101" s="45"/>
      <c r="EQ101" s="45"/>
      <c r="ER101" s="45"/>
      <c r="ES101" s="45"/>
      <c r="ET101" s="45"/>
      <c r="EU101" s="45"/>
      <c r="EV101" s="45"/>
      <c r="EW101" s="45"/>
      <c r="EX101" s="45"/>
      <c r="EY101" s="45"/>
      <c r="EZ101" s="45"/>
      <c r="FA101" s="45"/>
      <c r="FB101" s="45"/>
      <c r="FC101" s="45"/>
      <c r="FD101" s="45"/>
      <c r="FE101" s="45"/>
      <c r="FF101" s="45"/>
      <c r="FG101" s="45"/>
      <c r="FH101" s="45"/>
      <c r="FI101" s="45"/>
      <c r="FJ101" s="45"/>
      <c r="FK101" s="45"/>
      <c r="FL101" s="45"/>
      <c r="FM101" s="45"/>
      <c r="FN101" s="45"/>
      <c r="FO101" s="45"/>
      <c r="FP101" s="45"/>
      <c r="FQ101" s="45"/>
      <c r="FR101" s="45"/>
      <c r="FS101" s="45"/>
      <c r="FT101" s="45"/>
      <c r="FU101" s="45"/>
      <c r="FV101" s="45"/>
      <c r="FW101" s="45"/>
      <c r="FX101" s="45"/>
      <c r="FY101" s="45"/>
      <c r="FZ101" s="45"/>
      <c r="GA101" s="45"/>
      <c r="GB101" s="45"/>
      <c r="GC101" s="45"/>
      <c r="GD101" s="45"/>
      <c r="GE101" s="45"/>
      <c r="GF101" s="45"/>
      <c r="GG101" s="45"/>
      <c r="GH101" s="45"/>
      <c r="GI101" s="45"/>
      <c r="GJ101" s="45"/>
      <c r="GK101" s="45"/>
      <c r="GL101" s="45"/>
      <c r="GM101" s="45"/>
      <c r="GN101" s="45"/>
      <c r="GO101" s="45"/>
      <c r="GP101" s="45"/>
      <c r="GQ101" s="45"/>
      <c r="GR101" s="45"/>
      <c r="GS101" s="45"/>
      <c r="GT101" s="45"/>
      <c r="GU101" s="45"/>
      <c r="GV101" s="45"/>
      <c r="GW101" s="45"/>
      <c r="GX101" s="45"/>
      <c r="GY101" s="45"/>
      <c r="GZ101" s="45"/>
      <c r="HA101" s="45"/>
      <c r="HB101" s="45"/>
      <c r="HC101" s="45"/>
      <c r="HD101" s="45"/>
      <c r="HE101" s="45"/>
      <c r="HF101" s="45"/>
      <c r="HG101" s="45"/>
      <c r="HH101" s="45"/>
      <c r="HI101" s="45"/>
      <c r="HJ101" s="45"/>
      <c r="HK101" s="45"/>
      <c r="HL101" s="45"/>
    </row>
    <row r="102" spans="1:220" s="4" customFormat="1" x14ac:dyDescent="0.15">
      <c r="A102" s="32" t="s">
        <v>28</v>
      </c>
      <c r="B102" s="32" t="s">
        <v>29</v>
      </c>
      <c r="C102" s="21" t="s">
        <v>30</v>
      </c>
      <c r="D102" s="33" t="s">
        <v>31</v>
      </c>
      <c r="E102" s="32" t="s">
        <v>32</v>
      </c>
      <c r="F102" s="32" t="s">
        <v>33</v>
      </c>
      <c r="G102" s="67" t="s">
        <v>43</v>
      </c>
      <c r="H102" s="68"/>
      <c r="I102" s="68"/>
      <c r="J102" s="68"/>
      <c r="K102" s="69"/>
      <c r="L102" s="50" t="s">
        <v>6</v>
      </c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5"/>
      <c r="EI102" s="45"/>
      <c r="EJ102" s="45"/>
      <c r="EK102" s="45"/>
      <c r="EL102" s="45"/>
      <c r="EM102" s="45"/>
      <c r="EN102" s="45"/>
      <c r="EO102" s="45"/>
      <c r="EP102" s="45"/>
      <c r="EQ102" s="45"/>
      <c r="ER102" s="45"/>
      <c r="ES102" s="45"/>
      <c r="ET102" s="45"/>
      <c r="EU102" s="45"/>
      <c r="EV102" s="45"/>
      <c r="EW102" s="45"/>
      <c r="EX102" s="45"/>
      <c r="EY102" s="45"/>
      <c r="EZ102" s="45"/>
      <c r="FA102" s="45"/>
      <c r="FB102" s="45"/>
      <c r="FC102" s="45"/>
      <c r="FD102" s="45"/>
      <c r="FE102" s="45"/>
      <c r="FF102" s="45"/>
      <c r="FG102" s="45"/>
      <c r="FH102" s="45"/>
      <c r="FI102" s="45"/>
      <c r="FJ102" s="45"/>
      <c r="FK102" s="45"/>
      <c r="FL102" s="45"/>
      <c r="FM102" s="45"/>
      <c r="FN102" s="45"/>
      <c r="FO102" s="45"/>
      <c r="FP102" s="45"/>
      <c r="FQ102" s="45"/>
      <c r="FR102" s="45"/>
      <c r="FS102" s="45"/>
      <c r="FT102" s="45"/>
      <c r="FU102" s="45"/>
      <c r="FV102" s="45"/>
      <c r="FW102" s="45"/>
      <c r="FX102" s="45"/>
      <c r="FY102" s="45"/>
      <c r="FZ102" s="45"/>
      <c r="GA102" s="45"/>
      <c r="GB102" s="45"/>
      <c r="GC102" s="45"/>
      <c r="GD102" s="45"/>
      <c r="GE102" s="45"/>
      <c r="GF102" s="45"/>
      <c r="GG102" s="45"/>
      <c r="GH102" s="45"/>
      <c r="GI102" s="45"/>
      <c r="GJ102" s="45"/>
      <c r="GK102" s="45"/>
      <c r="GL102" s="45"/>
      <c r="GM102" s="45"/>
      <c r="GN102" s="45"/>
      <c r="GO102" s="45"/>
      <c r="GP102" s="45"/>
      <c r="GQ102" s="45"/>
      <c r="GR102" s="45"/>
      <c r="GS102" s="45"/>
      <c r="GT102" s="45"/>
      <c r="GU102" s="45"/>
      <c r="GV102" s="45"/>
      <c r="GW102" s="45"/>
      <c r="GX102" s="45"/>
      <c r="GY102" s="45"/>
      <c r="GZ102" s="45"/>
      <c r="HA102" s="45"/>
      <c r="HB102" s="45"/>
      <c r="HC102" s="45"/>
      <c r="HD102" s="45"/>
      <c r="HE102" s="45"/>
      <c r="HF102" s="45"/>
      <c r="HG102" s="45"/>
      <c r="HH102" s="45"/>
      <c r="HI102" s="45"/>
      <c r="HJ102" s="45"/>
      <c r="HK102" s="45"/>
      <c r="HL102" s="45"/>
    </row>
    <row r="103" spans="1:220" s="4" customFormat="1" ht="33" x14ac:dyDescent="0.15">
      <c r="A103" s="19"/>
      <c r="B103" s="19" t="s">
        <v>241</v>
      </c>
      <c r="C103" s="17" t="s">
        <v>242</v>
      </c>
      <c r="D103" s="34" t="s">
        <v>243</v>
      </c>
      <c r="E103" s="11"/>
      <c r="F103" s="11"/>
      <c r="G103" s="35" t="s">
        <v>269</v>
      </c>
      <c r="H103" s="35"/>
      <c r="I103" s="35"/>
      <c r="J103" s="17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/>
      <c r="CO103" s="45"/>
      <c r="CP103" s="45"/>
      <c r="CQ103" s="45"/>
      <c r="CR103" s="45"/>
      <c r="CS103" s="45"/>
      <c r="CT103" s="45"/>
      <c r="CU103" s="45"/>
      <c r="CV103" s="45"/>
      <c r="CW103" s="45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5"/>
      <c r="DJ103" s="45"/>
      <c r="DK103" s="45"/>
      <c r="DL103" s="45"/>
      <c r="DM103" s="45"/>
      <c r="DN103" s="45"/>
      <c r="DO103" s="45"/>
      <c r="DP103" s="45"/>
      <c r="DQ103" s="45"/>
      <c r="DR103" s="45"/>
      <c r="DS103" s="45"/>
      <c r="DT103" s="45"/>
      <c r="DU103" s="45"/>
      <c r="DV103" s="45"/>
      <c r="DW103" s="45"/>
      <c r="DX103" s="45"/>
      <c r="DY103" s="45"/>
      <c r="DZ103" s="45"/>
      <c r="EA103" s="45"/>
      <c r="EB103" s="45"/>
      <c r="EC103" s="45"/>
      <c r="ED103" s="45"/>
      <c r="EE103" s="45"/>
      <c r="EF103" s="45"/>
      <c r="EG103" s="45"/>
      <c r="EH103" s="45"/>
      <c r="EI103" s="45"/>
      <c r="EJ103" s="45"/>
      <c r="EK103" s="45"/>
      <c r="EL103" s="45"/>
      <c r="EM103" s="45"/>
      <c r="EN103" s="45"/>
      <c r="EO103" s="45"/>
      <c r="EP103" s="45"/>
      <c r="EQ103" s="45"/>
      <c r="ER103" s="45"/>
      <c r="ES103" s="45"/>
      <c r="ET103" s="45"/>
      <c r="EU103" s="45"/>
      <c r="EV103" s="45"/>
      <c r="EW103" s="45"/>
      <c r="EX103" s="45"/>
      <c r="EY103" s="45"/>
      <c r="EZ103" s="45"/>
      <c r="FA103" s="45"/>
      <c r="FB103" s="45"/>
      <c r="FC103" s="45"/>
      <c r="FD103" s="45"/>
      <c r="FE103" s="45"/>
      <c r="FF103" s="45"/>
      <c r="FG103" s="45"/>
      <c r="FH103" s="45"/>
      <c r="FI103" s="45"/>
      <c r="FJ103" s="45"/>
      <c r="FK103" s="45"/>
      <c r="FL103" s="45"/>
      <c r="FM103" s="45"/>
      <c r="FN103" s="45"/>
      <c r="FO103" s="45"/>
      <c r="FP103" s="45"/>
      <c r="FQ103" s="45"/>
      <c r="FR103" s="45"/>
      <c r="FS103" s="45"/>
      <c r="FT103" s="45"/>
      <c r="FU103" s="45"/>
      <c r="FV103" s="45"/>
      <c r="FW103" s="45"/>
      <c r="FX103" s="45"/>
      <c r="FY103" s="45"/>
      <c r="FZ103" s="45"/>
      <c r="GA103" s="45"/>
      <c r="GB103" s="45"/>
      <c r="GC103" s="45"/>
      <c r="GD103" s="45"/>
      <c r="GE103" s="45"/>
      <c r="GF103" s="45"/>
      <c r="GG103" s="45"/>
      <c r="GH103" s="45"/>
      <c r="GI103" s="45"/>
      <c r="GJ103" s="45"/>
      <c r="GK103" s="45"/>
      <c r="GL103" s="45"/>
      <c r="GM103" s="45"/>
      <c r="GN103" s="45"/>
      <c r="GO103" s="45"/>
      <c r="GP103" s="45"/>
      <c r="GQ103" s="45"/>
      <c r="GR103" s="45"/>
      <c r="GS103" s="45"/>
      <c r="GT103" s="45"/>
      <c r="GU103" s="45"/>
      <c r="GV103" s="45"/>
      <c r="GW103" s="45"/>
      <c r="GX103" s="45"/>
      <c r="GY103" s="45"/>
      <c r="GZ103" s="45"/>
      <c r="HA103" s="45"/>
      <c r="HB103" s="45"/>
      <c r="HC103" s="45"/>
      <c r="HD103" s="45"/>
      <c r="HE103" s="45"/>
      <c r="HF103" s="45"/>
      <c r="HG103" s="45"/>
      <c r="HH103" s="45"/>
      <c r="HI103" s="45"/>
      <c r="HJ103" s="45"/>
      <c r="HK103" s="45"/>
      <c r="HL103" s="45"/>
    </row>
    <row r="104" spans="1:220" s="4" customFormat="1" ht="33" x14ac:dyDescent="0.15">
      <c r="A104" s="19"/>
      <c r="B104" s="19" t="s">
        <v>244</v>
      </c>
      <c r="C104" s="17" t="s">
        <v>245</v>
      </c>
      <c r="D104" s="34" t="s">
        <v>243</v>
      </c>
      <c r="E104" s="11"/>
      <c r="F104" s="11"/>
      <c r="G104" s="54" t="s">
        <v>271</v>
      </c>
      <c r="H104" s="35"/>
      <c r="I104" s="35"/>
      <c r="J104" s="17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5"/>
      <c r="CQ104" s="45"/>
      <c r="CR104" s="45"/>
      <c r="CS104" s="45"/>
      <c r="CT104" s="45"/>
      <c r="CU104" s="45"/>
      <c r="CV104" s="45"/>
      <c r="CW104" s="45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5"/>
      <c r="DJ104" s="45"/>
      <c r="DK104" s="45"/>
      <c r="DL104" s="45"/>
      <c r="DM104" s="45"/>
      <c r="DN104" s="45"/>
      <c r="DO104" s="45"/>
      <c r="DP104" s="45"/>
      <c r="DQ104" s="45"/>
      <c r="DR104" s="45"/>
      <c r="DS104" s="45"/>
      <c r="DT104" s="45"/>
      <c r="DU104" s="45"/>
      <c r="DV104" s="45"/>
      <c r="DW104" s="45"/>
      <c r="DX104" s="45"/>
      <c r="DY104" s="45"/>
      <c r="DZ104" s="45"/>
      <c r="EA104" s="45"/>
      <c r="EB104" s="45"/>
      <c r="EC104" s="45"/>
      <c r="ED104" s="45"/>
      <c r="EE104" s="45"/>
      <c r="EF104" s="45"/>
      <c r="EG104" s="45"/>
      <c r="EH104" s="45"/>
      <c r="EI104" s="45"/>
      <c r="EJ104" s="45"/>
      <c r="EK104" s="45"/>
      <c r="EL104" s="45"/>
      <c r="EM104" s="45"/>
      <c r="EN104" s="45"/>
      <c r="EO104" s="45"/>
      <c r="EP104" s="45"/>
      <c r="EQ104" s="45"/>
      <c r="ER104" s="45"/>
      <c r="ES104" s="45"/>
      <c r="ET104" s="45"/>
      <c r="EU104" s="45"/>
      <c r="EV104" s="45"/>
      <c r="EW104" s="45"/>
      <c r="EX104" s="45"/>
      <c r="EY104" s="45"/>
      <c r="EZ104" s="45"/>
      <c r="FA104" s="45"/>
      <c r="FB104" s="45"/>
      <c r="FC104" s="45"/>
      <c r="FD104" s="45"/>
      <c r="FE104" s="45"/>
      <c r="FF104" s="45"/>
      <c r="FG104" s="45"/>
      <c r="FH104" s="45"/>
      <c r="FI104" s="45"/>
      <c r="FJ104" s="45"/>
      <c r="FK104" s="45"/>
      <c r="FL104" s="45"/>
      <c r="FM104" s="45"/>
      <c r="FN104" s="45"/>
      <c r="FO104" s="45"/>
      <c r="FP104" s="45"/>
      <c r="FQ104" s="45"/>
      <c r="FR104" s="45"/>
      <c r="FS104" s="45"/>
      <c r="FT104" s="45"/>
      <c r="FU104" s="45"/>
      <c r="FV104" s="45"/>
      <c r="FW104" s="45"/>
      <c r="FX104" s="45"/>
      <c r="FY104" s="45"/>
      <c r="FZ104" s="45"/>
      <c r="GA104" s="45"/>
      <c r="GB104" s="45"/>
      <c r="GC104" s="45"/>
      <c r="GD104" s="45"/>
      <c r="GE104" s="45"/>
      <c r="GF104" s="45"/>
      <c r="GG104" s="45"/>
      <c r="GH104" s="45"/>
      <c r="GI104" s="45"/>
      <c r="GJ104" s="45"/>
      <c r="GK104" s="45"/>
      <c r="GL104" s="45"/>
      <c r="GM104" s="45"/>
      <c r="GN104" s="45"/>
      <c r="GO104" s="45"/>
      <c r="GP104" s="45"/>
      <c r="GQ104" s="45"/>
      <c r="GR104" s="45"/>
      <c r="GS104" s="45"/>
      <c r="GT104" s="45"/>
      <c r="GU104" s="45"/>
      <c r="GV104" s="45"/>
      <c r="GW104" s="45"/>
      <c r="GX104" s="45"/>
      <c r="GY104" s="45"/>
      <c r="GZ104" s="45"/>
      <c r="HA104" s="45"/>
      <c r="HB104" s="45"/>
      <c r="HC104" s="45"/>
      <c r="HD104" s="45"/>
      <c r="HE104" s="45"/>
      <c r="HF104" s="45"/>
      <c r="HG104" s="45"/>
      <c r="HH104" s="45"/>
      <c r="HI104" s="45"/>
      <c r="HJ104" s="45"/>
      <c r="HK104" s="45"/>
      <c r="HL104" s="45"/>
    </row>
    <row r="105" spans="1:220" s="4" customFormat="1" ht="33" x14ac:dyDescent="0.15">
      <c r="A105" s="19"/>
      <c r="B105" s="19" t="s">
        <v>246</v>
      </c>
      <c r="C105" s="17" t="s">
        <v>247</v>
      </c>
      <c r="D105" s="34" t="s">
        <v>243</v>
      </c>
      <c r="E105" s="11"/>
      <c r="F105" s="11"/>
      <c r="G105" s="54" t="s">
        <v>271</v>
      </c>
      <c r="H105" s="35"/>
      <c r="I105" s="35"/>
      <c r="J105" s="17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45"/>
      <c r="CV105" s="45"/>
      <c r="CW105" s="45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5"/>
      <c r="DJ105" s="45"/>
      <c r="DK105" s="45"/>
      <c r="DL105" s="45"/>
      <c r="DM105" s="45"/>
      <c r="DN105" s="45"/>
      <c r="DO105" s="45"/>
      <c r="DP105" s="45"/>
      <c r="DQ105" s="45"/>
      <c r="DR105" s="45"/>
      <c r="DS105" s="45"/>
      <c r="DT105" s="45"/>
      <c r="DU105" s="45"/>
      <c r="DV105" s="45"/>
      <c r="DW105" s="45"/>
      <c r="DX105" s="45"/>
      <c r="DY105" s="45"/>
      <c r="DZ105" s="45"/>
      <c r="EA105" s="45"/>
      <c r="EB105" s="45"/>
      <c r="EC105" s="45"/>
      <c r="ED105" s="45"/>
      <c r="EE105" s="45"/>
      <c r="EF105" s="45"/>
      <c r="EG105" s="45"/>
      <c r="EH105" s="45"/>
      <c r="EI105" s="45"/>
      <c r="EJ105" s="45"/>
      <c r="EK105" s="45"/>
      <c r="EL105" s="45"/>
      <c r="EM105" s="45"/>
      <c r="EN105" s="45"/>
      <c r="EO105" s="45"/>
      <c r="EP105" s="45"/>
      <c r="EQ105" s="45"/>
      <c r="ER105" s="45"/>
      <c r="ES105" s="45"/>
      <c r="ET105" s="45"/>
      <c r="EU105" s="45"/>
      <c r="EV105" s="45"/>
      <c r="EW105" s="45"/>
      <c r="EX105" s="45"/>
      <c r="EY105" s="45"/>
      <c r="EZ105" s="45"/>
      <c r="FA105" s="45"/>
      <c r="FB105" s="45"/>
      <c r="FC105" s="45"/>
      <c r="FD105" s="45"/>
      <c r="FE105" s="45"/>
      <c r="FF105" s="45"/>
      <c r="FG105" s="45"/>
      <c r="FH105" s="45"/>
      <c r="FI105" s="45"/>
      <c r="FJ105" s="45"/>
      <c r="FK105" s="45"/>
      <c r="FL105" s="45"/>
      <c r="FM105" s="45"/>
      <c r="FN105" s="45"/>
      <c r="FO105" s="45"/>
      <c r="FP105" s="45"/>
      <c r="FQ105" s="45"/>
      <c r="FR105" s="45"/>
      <c r="FS105" s="45"/>
      <c r="FT105" s="45"/>
      <c r="FU105" s="45"/>
      <c r="FV105" s="45"/>
      <c r="FW105" s="45"/>
      <c r="FX105" s="45"/>
      <c r="FY105" s="45"/>
      <c r="FZ105" s="45"/>
      <c r="GA105" s="45"/>
      <c r="GB105" s="45"/>
      <c r="GC105" s="45"/>
      <c r="GD105" s="45"/>
      <c r="GE105" s="45"/>
      <c r="GF105" s="45"/>
      <c r="GG105" s="45"/>
      <c r="GH105" s="45"/>
      <c r="GI105" s="45"/>
      <c r="GJ105" s="45"/>
      <c r="GK105" s="45"/>
      <c r="GL105" s="45"/>
      <c r="GM105" s="45"/>
      <c r="GN105" s="45"/>
      <c r="GO105" s="45"/>
      <c r="GP105" s="45"/>
      <c r="GQ105" s="45"/>
      <c r="GR105" s="45"/>
      <c r="GS105" s="45"/>
      <c r="GT105" s="45"/>
      <c r="GU105" s="45"/>
      <c r="GV105" s="45"/>
      <c r="GW105" s="45"/>
      <c r="GX105" s="45"/>
      <c r="GY105" s="45"/>
      <c r="GZ105" s="45"/>
      <c r="HA105" s="45"/>
      <c r="HB105" s="45"/>
      <c r="HC105" s="45"/>
      <c r="HD105" s="45"/>
      <c r="HE105" s="45"/>
      <c r="HF105" s="45"/>
      <c r="HG105" s="45"/>
      <c r="HH105" s="45"/>
      <c r="HI105" s="45"/>
      <c r="HJ105" s="45"/>
      <c r="HK105" s="45"/>
      <c r="HL105" s="45"/>
    </row>
    <row r="106" spans="1:220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51"/>
    </row>
    <row r="107" spans="1:220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51"/>
    </row>
    <row r="108" spans="1:220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51"/>
    </row>
    <row r="109" spans="1:220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51"/>
    </row>
    <row r="110" spans="1:220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51"/>
    </row>
    <row r="111" spans="1:220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51"/>
    </row>
    <row r="112" spans="1:220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51"/>
    </row>
    <row r="113" spans="1:10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51"/>
    </row>
    <row r="114" spans="1:10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51"/>
    </row>
    <row r="115" spans="1:10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51"/>
    </row>
    <row r="116" spans="1:10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51"/>
    </row>
    <row r="117" spans="1:10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51"/>
    </row>
    <row r="118" spans="1:10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51"/>
    </row>
    <row r="119" spans="1:10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51"/>
    </row>
    <row r="120" spans="1:10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51"/>
    </row>
    <row r="121" spans="1:10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51"/>
    </row>
    <row r="122" spans="1:10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51"/>
    </row>
    <row r="123" spans="1:10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51"/>
    </row>
    <row r="124" spans="1:10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51"/>
    </row>
    <row r="125" spans="1:10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51"/>
    </row>
    <row r="126" spans="1:10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51"/>
    </row>
    <row r="127" spans="1:10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51"/>
    </row>
    <row r="128" spans="1:10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51"/>
    </row>
    <row r="129" spans="1:10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51"/>
    </row>
    <row r="130" spans="1:10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51"/>
    </row>
    <row r="131" spans="1:10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51"/>
    </row>
    <row r="132" spans="1:10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51"/>
    </row>
    <row r="133" spans="1:10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51"/>
    </row>
    <row r="134" spans="1:10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51"/>
    </row>
    <row r="135" spans="1:10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51"/>
    </row>
    <row r="136" spans="1:10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51"/>
    </row>
    <row r="137" spans="1:10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51"/>
    </row>
    <row r="138" spans="1:10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51"/>
    </row>
    <row r="139" spans="1:10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51"/>
    </row>
    <row r="140" spans="1:10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51"/>
    </row>
    <row r="141" spans="1:10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51"/>
    </row>
    <row r="142" spans="1:10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51"/>
    </row>
    <row r="143" spans="1:10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51"/>
    </row>
    <row r="144" spans="1:10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51"/>
    </row>
    <row r="145" spans="1:10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51"/>
    </row>
    <row r="146" spans="1:10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51"/>
    </row>
    <row r="147" spans="1:10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51"/>
    </row>
    <row r="148" spans="1:10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51"/>
    </row>
    <row r="149" spans="1:10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51"/>
    </row>
    <row r="150" spans="1:10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51"/>
    </row>
    <row r="151" spans="1:10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51"/>
    </row>
    <row r="152" spans="1:10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51"/>
    </row>
    <row r="153" spans="1:10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51"/>
    </row>
    <row r="154" spans="1:10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51"/>
    </row>
    <row r="155" spans="1:10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51"/>
    </row>
    <row r="156" spans="1:10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51"/>
    </row>
    <row r="157" spans="1:10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51"/>
    </row>
    <row r="158" spans="1:10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51"/>
    </row>
    <row r="159" spans="1:10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51"/>
    </row>
    <row r="160" spans="1:10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51"/>
    </row>
    <row r="161" spans="1:10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51"/>
    </row>
    <row r="162" spans="1:10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51"/>
    </row>
    <row r="163" spans="1:10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51"/>
    </row>
    <row r="164" spans="1:10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51"/>
    </row>
    <row r="165" spans="1:10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51"/>
    </row>
    <row r="166" spans="1:10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51"/>
    </row>
    <row r="167" spans="1:10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51"/>
    </row>
    <row r="168" spans="1:10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51"/>
    </row>
    <row r="169" spans="1:10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51"/>
    </row>
    <row r="170" spans="1:10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51"/>
    </row>
    <row r="171" spans="1:10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51"/>
    </row>
    <row r="172" spans="1:10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51"/>
    </row>
    <row r="173" spans="1:10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51"/>
    </row>
    <row r="174" spans="1:10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51"/>
    </row>
    <row r="175" spans="1:10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51"/>
    </row>
    <row r="176" spans="1:10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51"/>
    </row>
    <row r="177" spans="1:10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51"/>
    </row>
    <row r="178" spans="1:10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51"/>
    </row>
    <row r="179" spans="1:10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51"/>
    </row>
    <row r="180" spans="1:10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51"/>
    </row>
    <row r="181" spans="1:10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51"/>
    </row>
    <row r="182" spans="1:10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51"/>
    </row>
    <row r="183" spans="1:10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51"/>
    </row>
    <row r="184" spans="1:10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51"/>
    </row>
    <row r="185" spans="1:10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51"/>
    </row>
    <row r="186" spans="1:10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51"/>
    </row>
    <row r="187" spans="1:10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51"/>
    </row>
    <row r="188" spans="1:10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51"/>
    </row>
    <row r="189" spans="1:10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51"/>
    </row>
    <row r="190" spans="1:10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51"/>
    </row>
    <row r="191" spans="1:10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51"/>
    </row>
    <row r="192" spans="1:10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51"/>
    </row>
    <row r="193" spans="1:10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51"/>
    </row>
    <row r="194" spans="1:10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51"/>
    </row>
    <row r="195" spans="1:10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51"/>
    </row>
    <row r="196" spans="1:10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51"/>
    </row>
    <row r="197" spans="1:10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51"/>
    </row>
    <row r="198" spans="1:10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51"/>
    </row>
    <row r="199" spans="1:10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51"/>
    </row>
    <row r="200" spans="1:10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51"/>
    </row>
    <row r="201" spans="1:10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51"/>
    </row>
    <row r="202" spans="1:10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51"/>
    </row>
    <row r="203" spans="1:10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51"/>
    </row>
    <row r="204" spans="1:10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51"/>
    </row>
    <row r="205" spans="1:10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51"/>
    </row>
    <row r="206" spans="1:10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51"/>
    </row>
    <row r="207" spans="1:10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51"/>
    </row>
    <row r="208" spans="1:10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51"/>
    </row>
    <row r="209" spans="1:10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51"/>
    </row>
    <row r="210" spans="1:10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51"/>
    </row>
    <row r="211" spans="1:10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51"/>
    </row>
    <row r="212" spans="1:10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51"/>
    </row>
    <row r="213" spans="1:10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51"/>
    </row>
    <row r="214" spans="1:10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51"/>
    </row>
    <row r="215" spans="1:10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51"/>
    </row>
    <row r="216" spans="1:10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51"/>
    </row>
    <row r="217" spans="1:10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51"/>
    </row>
    <row r="218" spans="1:10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51"/>
    </row>
    <row r="219" spans="1:10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51"/>
    </row>
    <row r="220" spans="1:10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51"/>
    </row>
    <row r="221" spans="1:10" x14ac:dyDescent="0.15">
      <c r="A221" s="15"/>
      <c r="B221" s="15"/>
      <c r="C221" s="15"/>
      <c r="D221" s="15"/>
      <c r="E221" s="15"/>
      <c r="F221" s="15"/>
      <c r="G221" s="15"/>
      <c r="H221" s="15"/>
      <c r="I221" s="15"/>
      <c r="J221" s="51"/>
    </row>
    <row r="222" spans="1:10" x14ac:dyDescent="0.15">
      <c r="A222" s="15"/>
      <c r="B222" s="15"/>
      <c r="C222" s="15"/>
      <c r="D222" s="15"/>
      <c r="E222" s="15"/>
      <c r="F222" s="15"/>
      <c r="G222" s="15"/>
      <c r="H222" s="15"/>
      <c r="I222" s="15"/>
      <c r="J222" s="51"/>
    </row>
    <row r="223" spans="1:10" x14ac:dyDescent="0.15">
      <c r="A223" s="15"/>
      <c r="B223" s="15"/>
      <c r="C223" s="15"/>
      <c r="D223" s="15"/>
      <c r="E223" s="15"/>
      <c r="F223" s="15"/>
      <c r="G223" s="15"/>
      <c r="H223" s="15"/>
      <c r="I223" s="15"/>
      <c r="J223" s="51"/>
    </row>
    <row r="224" spans="1:10" x14ac:dyDescent="0.15">
      <c r="A224" s="15"/>
      <c r="B224" s="15"/>
      <c r="C224" s="15"/>
      <c r="D224" s="15"/>
      <c r="E224" s="15"/>
      <c r="F224" s="15"/>
      <c r="G224" s="15"/>
      <c r="H224" s="15"/>
      <c r="I224" s="15"/>
      <c r="J224" s="51"/>
    </row>
    <row r="225" spans="1:10" x14ac:dyDescent="0.15">
      <c r="A225" s="15"/>
      <c r="B225" s="15"/>
      <c r="C225" s="15"/>
      <c r="D225" s="15"/>
      <c r="E225" s="15"/>
      <c r="F225" s="15"/>
      <c r="G225" s="15"/>
      <c r="H225" s="15"/>
      <c r="I225" s="15"/>
      <c r="J225" s="51"/>
    </row>
    <row r="226" spans="1:10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51"/>
    </row>
    <row r="227" spans="1:10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51"/>
    </row>
    <row r="228" spans="1:10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51"/>
    </row>
    <row r="229" spans="1:10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51"/>
    </row>
    <row r="230" spans="1:10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51"/>
    </row>
    <row r="231" spans="1:10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51"/>
    </row>
    <row r="232" spans="1:10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51"/>
    </row>
    <row r="233" spans="1:10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51"/>
    </row>
    <row r="234" spans="1:10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51"/>
    </row>
    <row r="235" spans="1:10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51"/>
    </row>
    <row r="236" spans="1:10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51"/>
    </row>
    <row r="237" spans="1:10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51"/>
    </row>
    <row r="238" spans="1:10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51"/>
    </row>
    <row r="239" spans="1:10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51"/>
    </row>
    <row r="240" spans="1:10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51"/>
    </row>
    <row r="241" spans="1:10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51"/>
    </row>
    <row r="242" spans="1:10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51"/>
    </row>
    <row r="243" spans="1:10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51"/>
    </row>
    <row r="244" spans="1:10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51"/>
    </row>
    <row r="245" spans="1:10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51"/>
    </row>
    <row r="246" spans="1:10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51"/>
    </row>
    <row r="247" spans="1:10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51"/>
    </row>
    <row r="248" spans="1:10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51"/>
    </row>
    <row r="249" spans="1:10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51"/>
    </row>
    <row r="250" spans="1:10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51"/>
    </row>
    <row r="251" spans="1:10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51"/>
    </row>
    <row r="252" spans="1:10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51"/>
    </row>
    <row r="253" spans="1:10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51"/>
    </row>
    <row r="254" spans="1:10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51"/>
    </row>
    <row r="255" spans="1:10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51"/>
    </row>
    <row r="256" spans="1:10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51"/>
    </row>
    <row r="257" spans="1:10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51"/>
    </row>
    <row r="258" spans="1:10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51"/>
    </row>
    <row r="259" spans="1:10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51"/>
    </row>
    <row r="260" spans="1:10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51"/>
    </row>
    <row r="261" spans="1:10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51"/>
    </row>
    <row r="262" spans="1:10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51"/>
    </row>
    <row r="263" spans="1:10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51"/>
    </row>
    <row r="264" spans="1:10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51"/>
    </row>
    <row r="265" spans="1:10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51"/>
    </row>
    <row r="266" spans="1:10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51"/>
    </row>
    <row r="267" spans="1:10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51"/>
    </row>
    <row r="268" spans="1:10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51"/>
    </row>
    <row r="269" spans="1:10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51"/>
    </row>
    <row r="270" spans="1:10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51"/>
    </row>
    <row r="271" spans="1:10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51"/>
    </row>
    <row r="272" spans="1:10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51"/>
    </row>
    <row r="273" spans="1:10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51"/>
    </row>
    <row r="274" spans="1:10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51"/>
    </row>
    <row r="275" spans="1:10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51"/>
    </row>
    <row r="276" spans="1:10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51"/>
    </row>
    <row r="277" spans="1:10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51"/>
    </row>
    <row r="278" spans="1:10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51"/>
    </row>
    <row r="279" spans="1:10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51"/>
    </row>
    <row r="280" spans="1:10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51"/>
    </row>
    <row r="281" spans="1:10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51"/>
    </row>
    <row r="282" spans="1:10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51"/>
    </row>
    <row r="283" spans="1:10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51"/>
    </row>
    <row r="284" spans="1:10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51"/>
    </row>
    <row r="285" spans="1:10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51"/>
    </row>
    <row r="286" spans="1:10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51"/>
    </row>
    <row r="287" spans="1:10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51"/>
    </row>
    <row r="288" spans="1:10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51"/>
    </row>
    <row r="289" spans="1:10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51"/>
    </row>
    <row r="290" spans="1:10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51"/>
    </row>
    <row r="291" spans="1:10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51"/>
    </row>
    <row r="292" spans="1:10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51"/>
    </row>
    <row r="293" spans="1:10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51"/>
    </row>
    <row r="294" spans="1:10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51"/>
    </row>
    <row r="295" spans="1:10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51"/>
    </row>
    <row r="296" spans="1:10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51"/>
    </row>
    <row r="297" spans="1:10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51"/>
    </row>
    <row r="298" spans="1:10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51"/>
    </row>
    <row r="299" spans="1:10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51"/>
    </row>
    <row r="300" spans="1:10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51"/>
    </row>
    <row r="301" spans="1:10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51"/>
    </row>
    <row r="302" spans="1:10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51"/>
    </row>
    <row r="303" spans="1:10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51"/>
    </row>
    <row r="304" spans="1:10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51"/>
    </row>
    <row r="305" spans="1:10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51"/>
    </row>
    <row r="306" spans="1:10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51"/>
    </row>
    <row r="307" spans="1:10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51"/>
    </row>
    <row r="308" spans="1:10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51"/>
    </row>
    <row r="309" spans="1:10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51"/>
    </row>
    <row r="310" spans="1:10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51"/>
    </row>
    <row r="311" spans="1:10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51"/>
    </row>
    <row r="312" spans="1:10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51"/>
    </row>
    <row r="313" spans="1:10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51"/>
    </row>
    <row r="314" spans="1:10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51"/>
    </row>
    <row r="315" spans="1:10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51"/>
    </row>
    <row r="316" spans="1:10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51"/>
    </row>
    <row r="317" spans="1:10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51"/>
    </row>
    <row r="318" spans="1:10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51"/>
    </row>
    <row r="319" spans="1:10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51"/>
    </row>
    <row r="320" spans="1:10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51"/>
    </row>
    <row r="321" spans="1:10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51"/>
    </row>
    <row r="322" spans="1:10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51"/>
    </row>
    <row r="323" spans="1:10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51"/>
    </row>
    <row r="324" spans="1:10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51"/>
    </row>
    <row r="325" spans="1:10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51"/>
    </row>
    <row r="326" spans="1:10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51"/>
    </row>
    <row r="327" spans="1:10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51"/>
    </row>
    <row r="328" spans="1:10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51"/>
    </row>
    <row r="329" spans="1:10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51"/>
    </row>
    <row r="330" spans="1:10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51"/>
    </row>
    <row r="331" spans="1:10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51"/>
    </row>
    <row r="332" spans="1:10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51"/>
    </row>
    <row r="333" spans="1:10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51"/>
    </row>
    <row r="334" spans="1:10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51"/>
    </row>
    <row r="335" spans="1:10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51"/>
    </row>
    <row r="336" spans="1:10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51"/>
    </row>
    <row r="337" spans="1:10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51"/>
    </row>
    <row r="338" spans="1:10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51"/>
    </row>
    <row r="339" spans="1:10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51"/>
    </row>
    <row r="340" spans="1:10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51"/>
    </row>
    <row r="341" spans="1:10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51"/>
    </row>
    <row r="342" spans="1:10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51"/>
    </row>
    <row r="343" spans="1:10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51"/>
    </row>
    <row r="344" spans="1:10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51"/>
    </row>
    <row r="345" spans="1:10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51"/>
    </row>
    <row r="346" spans="1:10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51"/>
    </row>
    <row r="347" spans="1:10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51"/>
    </row>
    <row r="348" spans="1:10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51"/>
    </row>
    <row r="349" spans="1:10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51"/>
    </row>
    <row r="350" spans="1:10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51"/>
    </row>
    <row r="351" spans="1:10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51"/>
    </row>
    <row r="352" spans="1:10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51"/>
    </row>
    <row r="353" spans="1:10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51"/>
    </row>
    <row r="354" spans="1:10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51"/>
    </row>
    <row r="355" spans="1:10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51"/>
    </row>
    <row r="356" spans="1:10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51"/>
    </row>
    <row r="357" spans="1:10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51"/>
    </row>
    <row r="358" spans="1:10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51"/>
    </row>
    <row r="359" spans="1:10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51"/>
    </row>
    <row r="360" spans="1:10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51"/>
    </row>
    <row r="361" spans="1:10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51"/>
    </row>
    <row r="362" spans="1:10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51"/>
    </row>
    <row r="363" spans="1:10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51"/>
    </row>
    <row r="364" spans="1:10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51"/>
    </row>
    <row r="365" spans="1:10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51"/>
    </row>
    <row r="366" spans="1:10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51"/>
    </row>
    <row r="367" spans="1:10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51"/>
    </row>
    <row r="368" spans="1:10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51"/>
    </row>
    <row r="369" spans="1:10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51"/>
    </row>
    <row r="370" spans="1:10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51"/>
    </row>
    <row r="371" spans="1:10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51"/>
    </row>
    <row r="372" spans="1:10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51"/>
    </row>
    <row r="373" spans="1:10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51"/>
    </row>
    <row r="374" spans="1:10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51"/>
    </row>
    <row r="375" spans="1:10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51"/>
    </row>
    <row r="376" spans="1:10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51"/>
    </row>
    <row r="377" spans="1:10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51"/>
    </row>
    <row r="378" spans="1:10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51"/>
    </row>
    <row r="379" spans="1:10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51"/>
    </row>
    <row r="380" spans="1:10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51"/>
    </row>
    <row r="381" spans="1:10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51"/>
    </row>
    <row r="382" spans="1:10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51"/>
    </row>
    <row r="383" spans="1:10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51"/>
    </row>
    <row r="384" spans="1:10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51"/>
    </row>
    <row r="385" spans="1:10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51"/>
    </row>
    <row r="386" spans="1:10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51"/>
    </row>
    <row r="387" spans="1:10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51"/>
    </row>
    <row r="388" spans="1:10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51"/>
    </row>
    <row r="389" spans="1:10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51"/>
    </row>
    <row r="390" spans="1:10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51"/>
    </row>
    <row r="391" spans="1:10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51"/>
    </row>
    <row r="392" spans="1:10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51"/>
    </row>
    <row r="393" spans="1:10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51"/>
    </row>
    <row r="394" spans="1:10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51"/>
    </row>
    <row r="395" spans="1:10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51"/>
    </row>
    <row r="396" spans="1:10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51"/>
    </row>
    <row r="397" spans="1:10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51"/>
    </row>
    <row r="398" spans="1:10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51"/>
    </row>
    <row r="399" spans="1:10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51"/>
    </row>
    <row r="400" spans="1:10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51"/>
    </row>
    <row r="401" spans="1:10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51"/>
    </row>
    <row r="402" spans="1:10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51"/>
    </row>
    <row r="403" spans="1:10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51"/>
    </row>
    <row r="404" spans="1:10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51"/>
    </row>
    <row r="405" spans="1:10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51"/>
    </row>
    <row r="406" spans="1:10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51"/>
    </row>
    <row r="407" spans="1:10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51"/>
    </row>
    <row r="408" spans="1:10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51"/>
    </row>
    <row r="409" spans="1:10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51"/>
    </row>
    <row r="410" spans="1:10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51"/>
    </row>
    <row r="411" spans="1:10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51"/>
    </row>
    <row r="412" spans="1:10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51"/>
    </row>
    <row r="413" spans="1:10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51"/>
    </row>
    <row r="414" spans="1:10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51"/>
    </row>
    <row r="415" spans="1:10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51"/>
    </row>
    <row r="416" spans="1:10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51"/>
    </row>
    <row r="417" spans="1:10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51"/>
    </row>
    <row r="418" spans="1:10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51"/>
    </row>
    <row r="419" spans="1:10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51"/>
    </row>
    <row r="420" spans="1:10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51"/>
    </row>
    <row r="421" spans="1:10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51"/>
    </row>
    <row r="422" spans="1:10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51"/>
    </row>
    <row r="423" spans="1:10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51"/>
    </row>
    <row r="424" spans="1:10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51"/>
    </row>
    <row r="425" spans="1:10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51"/>
    </row>
    <row r="426" spans="1:10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51"/>
    </row>
    <row r="427" spans="1:10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51"/>
    </row>
    <row r="428" spans="1:10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51"/>
    </row>
    <row r="429" spans="1:10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51"/>
    </row>
    <row r="430" spans="1:10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51"/>
    </row>
    <row r="431" spans="1:10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51"/>
    </row>
    <row r="432" spans="1:10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51"/>
    </row>
    <row r="433" spans="1:10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51"/>
    </row>
    <row r="434" spans="1:10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51"/>
    </row>
    <row r="435" spans="1:10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51"/>
    </row>
    <row r="436" spans="1:10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51"/>
    </row>
    <row r="437" spans="1:10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51"/>
    </row>
    <row r="438" spans="1:10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51"/>
    </row>
    <row r="439" spans="1:10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51"/>
    </row>
    <row r="440" spans="1:10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51"/>
    </row>
    <row r="441" spans="1:10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51"/>
    </row>
    <row r="442" spans="1:10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51"/>
    </row>
    <row r="443" spans="1:10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51"/>
    </row>
    <row r="444" spans="1:10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51"/>
    </row>
    <row r="445" spans="1:10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51"/>
    </row>
    <row r="446" spans="1:10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51"/>
    </row>
    <row r="447" spans="1:10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51"/>
    </row>
    <row r="448" spans="1:10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51"/>
    </row>
    <row r="449" spans="1:10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51"/>
    </row>
    <row r="450" spans="1:10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51"/>
    </row>
    <row r="451" spans="1:10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51"/>
    </row>
    <row r="452" spans="1:10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51"/>
    </row>
    <row r="453" spans="1:10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51"/>
    </row>
    <row r="454" spans="1:10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51"/>
    </row>
    <row r="455" spans="1:10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51"/>
    </row>
    <row r="456" spans="1:10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51"/>
    </row>
    <row r="457" spans="1:10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51"/>
    </row>
    <row r="458" spans="1:10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51"/>
    </row>
    <row r="459" spans="1:10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51"/>
    </row>
    <row r="460" spans="1:10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51"/>
    </row>
    <row r="461" spans="1:10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51"/>
    </row>
    <row r="462" spans="1:10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51"/>
    </row>
    <row r="463" spans="1:10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51"/>
    </row>
    <row r="464" spans="1:10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51"/>
    </row>
    <row r="465" spans="1:10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51"/>
    </row>
    <row r="466" spans="1:10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51"/>
    </row>
    <row r="467" spans="1:10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51"/>
    </row>
    <row r="468" spans="1:10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51"/>
    </row>
    <row r="469" spans="1:10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51"/>
    </row>
    <row r="470" spans="1:10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51"/>
    </row>
    <row r="471" spans="1:10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51"/>
    </row>
    <row r="472" spans="1:10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51"/>
    </row>
    <row r="473" spans="1:10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51"/>
    </row>
    <row r="474" spans="1:10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51"/>
    </row>
    <row r="475" spans="1:10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51"/>
    </row>
    <row r="476" spans="1:10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51"/>
    </row>
    <row r="477" spans="1:10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51"/>
    </row>
    <row r="478" spans="1:10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51"/>
    </row>
    <row r="479" spans="1:10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51"/>
    </row>
    <row r="480" spans="1:10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51"/>
    </row>
    <row r="481" spans="1:10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51"/>
    </row>
    <row r="482" spans="1:10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51"/>
    </row>
    <row r="483" spans="1:10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51"/>
    </row>
    <row r="484" spans="1:10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51"/>
    </row>
    <row r="485" spans="1:10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51"/>
    </row>
    <row r="486" spans="1:10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51"/>
    </row>
    <row r="487" spans="1:10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51"/>
    </row>
    <row r="488" spans="1:10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51"/>
    </row>
    <row r="489" spans="1:10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51"/>
    </row>
    <row r="490" spans="1:10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51"/>
    </row>
    <row r="491" spans="1:10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51"/>
    </row>
    <row r="492" spans="1:10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51"/>
    </row>
    <row r="493" spans="1:10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51"/>
    </row>
    <row r="494" spans="1:10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51"/>
    </row>
    <row r="495" spans="1:10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51"/>
    </row>
    <row r="496" spans="1:10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51"/>
    </row>
    <row r="497" spans="1:10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51"/>
    </row>
    <row r="498" spans="1:10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51"/>
    </row>
    <row r="499" spans="1:10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51"/>
    </row>
    <row r="500" spans="1:10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51"/>
    </row>
    <row r="501" spans="1:10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51"/>
    </row>
    <row r="502" spans="1:10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51"/>
    </row>
    <row r="503" spans="1:10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51"/>
    </row>
    <row r="504" spans="1:10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51"/>
    </row>
    <row r="505" spans="1:10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51"/>
    </row>
    <row r="506" spans="1:10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51"/>
    </row>
    <row r="507" spans="1:10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51"/>
    </row>
    <row r="508" spans="1:10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51"/>
    </row>
    <row r="509" spans="1:10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51"/>
    </row>
    <row r="510" spans="1:10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51"/>
    </row>
    <row r="511" spans="1:10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51"/>
    </row>
    <row r="512" spans="1:10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51"/>
    </row>
    <row r="513" spans="1:10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51"/>
    </row>
    <row r="514" spans="1:10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51"/>
    </row>
    <row r="515" spans="1:10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51"/>
    </row>
    <row r="516" spans="1:10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51"/>
    </row>
    <row r="517" spans="1:10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51"/>
    </row>
    <row r="518" spans="1:10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51"/>
    </row>
    <row r="519" spans="1:10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51"/>
    </row>
    <row r="520" spans="1:10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51"/>
    </row>
    <row r="521" spans="1:10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51"/>
    </row>
    <row r="522" spans="1:10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51"/>
    </row>
    <row r="523" spans="1:10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51"/>
    </row>
    <row r="524" spans="1:10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51"/>
    </row>
    <row r="525" spans="1:10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51"/>
    </row>
    <row r="526" spans="1:10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51"/>
    </row>
    <row r="527" spans="1:10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51"/>
    </row>
    <row r="528" spans="1:10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51"/>
    </row>
    <row r="529" spans="1:10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51"/>
    </row>
    <row r="530" spans="1:10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51"/>
    </row>
    <row r="531" spans="1:10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51"/>
    </row>
    <row r="532" spans="1:10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51"/>
    </row>
    <row r="533" spans="1:10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51"/>
    </row>
    <row r="534" spans="1:10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51"/>
    </row>
    <row r="535" spans="1:10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51"/>
    </row>
    <row r="536" spans="1:10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51"/>
    </row>
    <row r="537" spans="1:10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51"/>
    </row>
    <row r="538" spans="1:10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51"/>
    </row>
    <row r="539" spans="1:10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51"/>
    </row>
    <row r="540" spans="1:10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51"/>
    </row>
    <row r="541" spans="1:10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51"/>
    </row>
    <row r="542" spans="1:10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51"/>
    </row>
    <row r="543" spans="1:10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51"/>
    </row>
    <row r="544" spans="1:10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51"/>
    </row>
    <row r="545" spans="1:10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51"/>
    </row>
    <row r="546" spans="1:10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51"/>
    </row>
    <row r="547" spans="1:10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51"/>
    </row>
    <row r="548" spans="1:10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51"/>
    </row>
    <row r="549" spans="1:10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51"/>
    </row>
    <row r="550" spans="1:10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51"/>
    </row>
    <row r="551" spans="1:10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51"/>
    </row>
    <row r="552" spans="1:10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51"/>
    </row>
    <row r="553" spans="1:10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51"/>
    </row>
    <row r="554" spans="1:10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51"/>
    </row>
    <row r="555" spans="1:10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51"/>
    </row>
    <row r="556" spans="1:10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51"/>
    </row>
    <row r="557" spans="1:10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51"/>
    </row>
    <row r="558" spans="1:10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51"/>
    </row>
    <row r="559" spans="1:10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51"/>
    </row>
    <row r="560" spans="1:10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51"/>
    </row>
    <row r="561" spans="1:10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51"/>
    </row>
    <row r="562" spans="1:10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51"/>
    </row>
    <row r="563" spans="1:10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51"/>
    </row>
    <row r="564" spans="1:10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51"/>
    </row>
    <row r="565" spans="1:10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51"/>
    </row>
    <row r="566" spans="1:10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51"/>
    </row>
    <row r="567" spans="1:10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51"/>
    </row>
    <row r="568" spans="1:10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51"/>
    </row>
    <row r="569" spans="1:10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51"/>
    </row>
    <row r="570" spans="1:10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51"/>
    </row>
    <row r="571" spans="1:10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51"/>
    </row>
    <row r="572" spans="1:10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51"/>
    </row>
    <row r="573" spans="1:10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51"/>
    </row>
    <row r="574" spans="1:10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51"/>
    </row>
    <row r="575" spans="1:10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51"/>
    </row>
    <row r="576" spans="1:10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51"/>
    </row>
    <row r="577" spans="1:10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51"/>
    </row>
    <row r="578" spans="1:10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51"/>
    </row>
    <row r="579" spans="1:10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51"/>
    </row>
    <row r="580" spans="1:10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51"/>
    </row>
    <row r="581" spans="1:10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51"/>
    </row>
    <row r="582" spans="1:10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51"/>
    </row>
    <row r="583" spans="1:10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51"/>
    </row>
    <row r="584" spans="1:10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51"/>
    </row>
    <row r="585" spans="1:10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51"/>
    </row>
    <row r="586" spans="1:10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51"/>
    </row>
    <row r="587" spans="1:10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51"/>
    </row>
    <row r="588" spans="1:10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51"/>
    </row>
    <row r="589" spans="1:10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51"/>
    </row>
    <row r="590" spans="1:10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51"/>
    </row>
    <row r="591" spans="1:10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51"/>
    </row>
    <row r="592" spans="1:10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51"/>
    </row>
    <row r="593" spans="1:10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51"/>
    </row>
    <row r="594" spans="1:10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51"/>
    </row>
    <row r="595" spans="1:10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51"/>
    </row>
    <row r="596" spans="1:10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51"/>
    </row>
    <row r="597" spans="1:10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51"/>
    </row>
    <row r="598" spans="1:10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51"/>
    </row>
    <row r="599" spans="1:10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51"/>
    </row>
    <row r="600" spans="1:10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51"/>
    </row>
    <row r="601" spans="1:10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51"/>
    </row>
    <row r="602" spans="1:10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51"/>
    </row>
    <row r="603" spans="1:10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51"/>
    </row>
    <row r="604" spans="1:10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51"/>
    </row>
    <row r="605" spans="1:10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51"/>
    </row>
    <row r="606" spans="1:10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51"/>
    </row>
    <row r="607" spans="1:10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51"/>
    </row>
    <row r="608" spans="1:10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51"/>
    </row>
    <row r="609" spans="1:10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51"/>
    </row>
    <row r="610" spans="1:10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51"/>
    </row>
    <row r="611" spans="1:10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51"/>
    </row>
    <row r="612" spans="1:10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51"/>
    </row>
    <row r="613" spans="1:10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51"/>
    </row>
    <row r="614" spans="1:10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51"/>
    </row>
    <row r="615" spans="1:10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51"/>
    </row>
    <row r="616" spans="1:10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51"/>
    </row>
    <row r="617" spans="1:10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51"/>
    </row>
    <row r="618" spans="1:10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51"/>
    </row>
    <row r="619" spans="1:10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51"/>
    </row>
    <row r="620" spans="1:10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51"/>
    </row>
    <row r="621" spans="1:10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51"/>
    </row>
    <row r="622" spans="1:10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51"/>
    </row>
    <row r="623" spans="1:10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51"/>
    </row>
    <row r="624" spans="1:10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51"/>
    </row>
    <row r="625" spans="1:10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51"/>
    </row>
    <row r="626" spans="1:10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51"/>
    </row>
    <row r="627" spans="1:10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51"/>
    </row>
    <row r="628" spans="1:10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51"/>
    </row>
    <row r="629" spans="1:10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51"/>
    </row>
    <row r="630" spans="1:10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51"/>
    </row>
    <row r="631" spans="1:10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51"/>
    </row>
    <row r="632" spans="1:10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51"/>
    </row>
    <row r="633" spans="1:10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51"/>
    </row>
    <row r="634" spans="1:10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51"/>
    </row>
    <row r="635" spans="1:10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51"/>
    </row>
    <row r="636" spans="1:10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51"/>
    </row>
    <row r="637" spans="1:10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51"/>
    </row>
    <row r="638" spans="1:10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51"/>
    </row>
    <row r="639" spans="1:10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51"/>
    </row>
    <row r="640" spans="1:10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51"/>
    </row>
    <row r="641" spans="1:10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51"/>
    </row>
    <row r="642" spans="1:10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51"/>
    </row>
    <row r="643" spans="1:10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51"/>
    </row>
    <row r="644" spans="1:10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51"/>
    </row>
    <row r="645" spans="1:10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51"/>
    </row>
    <row r="646" spans="1:10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51"/>
    </row>
    <row r="647" spans="1:10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51"/>
    </row>
    <row r="648" spans="1:10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51"/>
    </row>
    <row r="649" spans="1:10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51"/>
    </row>
    <row r="650" spans="1:10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51"/>
    </row>
    <row r="651" spans="1:10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51"/>
    </row>
    <row r="652" spans="1:10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51"/>
    </row>
    <row r="653" spans="1:10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51"/>
    </row>
    <row r="654" spans="1:10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51"/>
    </row>
    <row r="655" spans="1:10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51"/>
    </row>
    <row r="656" spans="1:10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51"/>
    </row>
    <row r="657" spans="1:10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51"/>
    </row>
    <row r="658" spans="1:10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51"/>
    </row>
    <row r="659" spans="1:10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51"/>
    </row>
    <row r="660" spans="1:10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51"/>
    </row>
    <row r="661" spans="1:10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51"/>
    </row>
    <row r="662" spans="1:10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51"/>
    </row>
    <row r="663" spans="1:10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51"/>
    </row>
    <row r="664" spans="1:10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51"/>
    </row>
    <row r="665" spans="1:10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51"/>
    </row>
    <row r="666" spans="1:10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51"/>
    </row>
    <row r="667" spans="1:10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51"/>
    </row>
    <row r="668" spans="1:10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51"/>
    </row>
    <row r="669" spans="1:10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51"/>
    </row>
    <row r="670" spans="1:10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51"/>
    </row>
    <row r="671" spans="1:10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51"/>
    </row>
    <row r="672" spans="1:10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51"/>
    </row>
    <row r="673" spans="1:10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51"/>
    </row>
    <row r="674" spans="1:10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51"/>
    </row>
    <row r="675" spans="1:10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51"/>
    </row>
    <row r="676" spans="1:10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51"/>
    </row>
    <row r="677" spans="1:10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51"/>
    </row>
    <row r="678" spans="1:10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51"/>
    </row>
    <row r="679" spans="1:10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51"/>
    </row>
    <row r="680" spans="1:10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51"/>
    </row>
    <row r="681" spans="1:10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51"/>
    </row>
    <row r="682" spans="1:10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51"/>
    </row>
    <row r="683" spans="1:10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51"/>
    </row>
    <row r="684" spans="1:10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51"/>
    </row>
    <row r="685" spans="1:10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51"/>
    </row>
    <row r="686" spans="1:10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51"/>
    </row>
    <row r="687" spans="1:10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51"/>
    </row>
    <row r="688" spans="1:10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51"/>
    </row>
    <row r="689" spans="1:10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51"/>
    </row>
    <row r="690" spans="1:10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51"/>
    </row>
    <row r="691" spans="1:10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51"/>
    </row>
    <row r="692" spans="1:10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51"/>
    </row>
    <row r="693" spans="1:10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51"/>
    </row>
    <row r="694" spans="1:10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51"/>
    </row>
    <row r="695" spans="1:10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51"/>
    </row>
    <row r="696" spans="1:10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51"/>
    </row>
    <row r="697" spans="1:10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51"/>
    </row>
    <row r="698" spans="1:10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51"/>
    </row>
    <row r="699" spans="1:10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51"/>
    </row>
    <row r="700" spans="1:10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51"/>
    </row>
    <row r="701" spans="1:10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51"/>
    </row>
    <row r="702" spans="1:10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51"/>
    </row>
    <row r="703" spans="1:10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51"/>
    </row>
    <row r="704" spans="1:10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51"/>
    </row>
    <row r="705" spans="1:10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51"/>
    </row>
    <row r="706" spans="1:10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51"/>
    </row>
    <row r="707" spans="1:10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51"/>
    </row>
    <row r="708" spans="1:10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51"/>
    </row>
    <row r="709" spans="1:10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51"/>
    </row>
    <row r="710" spans="1:10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51"/>
    </row>
    <row r="711" spans="1:10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51"/>
    </row>
    <row r="712" spans="1:10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51"/>
    </row>
    <row r="713" spans="1:10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51"/>
    </row>
    <row r="714" spans="1:10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51"/>
    </row>
    <row r="715" spans="1:10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51"/>
    </row>
    <row r="716" spans="1:10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51"/>
    </row>
    <row r="717" spans="1:10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51"/>
    </row>
    <row r="718" spans="1:10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51"/>
    </row>
    <row r="719" spans="1:10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51"/>
    </row>
    <row r="720" spans="1:10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51"/>
    </row>
    <row r="721" spans="1:10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51"/>
    </row>
    <row r="722" spans="1:10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51"/>
    </row>
    <row r="723" spans="1:10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51"/>
    </row>
    <row r="724" spans="1:10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51"/>
    </row>
    <row r="725" spans="1:10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51"/>
    </row>
    <row r="726" spans="1:10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51"/>
    </row>
    <row r="727" spans="1:10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51"/>
    </row>
    <row r="728" spans="1:10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51"/>
    </row>
    <row r="729" spans="1:10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51"/>
    </row>
    <row r="730" spans="1:10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51"/>
    </row>
    <row r="731" spans="1:10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51"/>
    </row>
    <row r="732" spans="1:10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51"/>
    </row>
    <row r="733" spans="1:10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51"/>
    </row>
    <row r="734" spans="1:10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51"/>
    </row>
    <row r="735" spans="1:10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51"/>
    </row>
    <row r="736" spans="1:10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51"/>
    </row>
    <row r="737" spans="1:10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51"/>
    </row>
    <row r="738" spans="1:10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51"/>
    </row>
    <row r="739" spans="1:10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51"/>
    </row>
    <row r="740" spans="1:10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51"/>
    </row>
    <row r="741" spans="1:10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51"/>
    </row>
    <row r="742" spans="1:10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51"/>
    </row>
    <row r="743" spans="1:10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51"/>
    </row>
    <row r="744" spans="1:10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51"/>
    </row>
    <row r="745" spans="1:10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51"/>
    </row>
    <row r="746" spans="1:10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51"/>
    </row>
    <row r="747" spans="1:10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51"/>
    </row>
    <row r="748" spans="1:10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51"/>
    </row>
    <row r="749" spans="1:10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51"/>
    </row>
    <row r="750" spans="1:10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51"/>
    </row>
    <row r="751" spans="1:10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51"/>
    </row>
    <row r="752" spans="1:10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51"/>
    </row>
    <row r="753" spans="1:10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51"/>
    </row>
    <row r="754" spans="1:10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51"/>
    </row>
    <row r="755" spans="1:10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51"/>
    </row>
    <row r="756" spans="1:10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51"/>
    </row>
    <row r="757" spans="1:10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51"/>
    </row>
    <row r="758" spans="1:10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51"/>
    </row>
    <row r="759" spans="1:10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51"/>
    </row>
    <row r="760" spans="1:10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51"/>
    </row>
    <row r="761" spans="1:10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51"/>
    </row>
    <row r="762" spans="1:10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51"/>
    </row>
    <row r="763" spans="1:10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51"/>
    </row>
    <row r="764" spans="1:10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51"/>
    </row>
    <row r="765" spans="1:10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51"/>
    </row>
    <row r="766" spans="1:10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51"/>
    </row>
    <row r="767" spans="1:10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51"/>
    </row>
    <row r="768" spans="1:10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51"/>
    </row>
    <row r="769" spans="1:10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51"/>
    </row>
    <row r="770" spans="1:10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51"/>
    </row>
    <row r="771" spans="1:10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51"/>
    </row>
    <row r="772" spans="1:10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51"/>
    </row>
    <row r="773" spans="1:10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51"/>
    </row>
    <row r="774" spans="1:10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51"/>
    </row>
    <row r="775" spans="1:10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51"/>
    </row>
    <row r="776" spans="1:10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51"/>
    </row>
    <row r="777" spans="1:10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51"/>
    </row>
    <row r="778" spans="1:10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51"/>
    </row>
    <row r="779" spans="1:10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51"/>
    </row>
    <row r="780" spans="1:10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51"/>
    </row>
    <row r="781" spans="1:10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51"/>
    </row>
    <row r="782" spans="1:10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51"/>
    </row>
    <row r="783" spans="1:10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51"/>
    </row>
    <row r="784" spans="1:10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51"/>
    </row>
    <row r="785" spans="1:10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51"/>
    </row>
    <row r="786" spans="1:10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51"/>
    </row>
    <row r="787" spans="1:10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51"/>
    </row>
    <row r="788" spans="1:10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51"/>
    </row>
    <row r="789" spans="1:10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51"/>
    </row>
    <row r="790" spans="1:10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51"/>
    </row>
    <row r="791" spans="1:10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51"/>
    </row>
    <row r="792" spans="1:10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51"/>
    </row>
    <row r="793" spans="1:10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51"/>
    </row>
    <row r="794" spans="1:10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51"/>
    </row>
    <row r="795" spans="1:10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51"/>
    </row>
    <row r="796" spans="1:10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51"/>
    </row>
    <row r="797" spans="1:10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51"/>
    </row>
    <row r="798" spans="1:10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51"/>
    </row>
    <row r="799" spans="1:10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51"/>
    </row>
    <row r="800" spans="1:10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51"/>
    </row>
    <row r="801" spans="1:10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51"/>
    </row>
    <row r="802" spans="1:10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51"/>
    </row>
    <row r="803" spans="1:10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51"/>
    </row>
    <row r="804" spans="1:10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51"/>
    </row>
    <row r="805" spans="1:10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51"/>
    </row>
    <row r="806" spans="1:10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51"/>
    </row>
    <row r="807" spans="1:10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51"/>
    </row>
    <row r="808" spans="1:10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51"/>
    </row>
    <row r="809" spans="1:10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51"/>
    </row>
    <row r="810" spans="1:10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51"/>
    </row>
    <row r="811" spans="1:10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51"/>
    </row>
    <row r="812" spans="1:10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51"/>
    </row>
    <row r="813" spans="1:10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51"/>
    </row>
    <row r="814" spans="1:10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51"/>
    </row>
    <row r="815" spans="1:10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51"/>
    </row>
    <row r="816" spans="1:10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51"/>
    </row>
    <row r="817" spans="1:10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51"/>
    </row>
    <row r="818" spans="1:10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51"/>
    </row>
    <row r="819" spans="1:10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51"/>
    </row>
    <row r="820" spans="1:10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51"/>
    </row>
    <row r="821" spans="1:10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51"/>
    </row>
    <row r="822" spans="1:10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51"/>
    </row>
    <row r="823" spans="1:10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51"/>
    </row>
    <row r="824" spans="1:10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51"/>
    </row>
    <row r="825" spans="1:10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51"/>
    </row>
    <row r="826" spans="1:10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51"/>
    </row>
    <row r="827" spans="1:10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51"/>
    </row>
    <row r="828" spans="1:10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51"/>
    </row>
    <row r="829" spans="1:10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51"/>
    </row>
    <row r="830" spans="1:10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51"/>
    </row>
    <row r="831" spans="1:10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51"/>
    </row>
    <row r="832" spans="1:10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51"/>
    </row>
    <row r="833" spans="1:10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51"/>
    </row>
    <row r="834" spans="1:10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51"/>
    </row>
    <row r="835" spans="1:10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51"/>
    </row>
    <row r="836" spans="1:10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51"/>
    </row>
    <row r="837" spans="1:10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51"/>
    </row>
    <row r="838" spans="1:10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51"/>
    </row>
    <row r="839" spans="1:10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51"/>
    </row>
    <row r="840" spans="1:10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51"/>
    </row>
    <row r="841" spans="1:10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51"/>
    </row>
    <row r="842" spans="1:10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51"/>
    </row>
    <row r="843" spans="1:10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51"/>
    </row>
    <row r="844" spans="1:10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51"/>
    </row>
    <row r="845" spans="1:10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51"/>
    </row>
    <row r="846" spans="1:10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51"/>
    </row>
    <row r="847" spans="1:10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51"/>
    </row>
    <row r="848" spans="1:10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51"/>
    </row>
    <row r="849" spans="1:10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51"/>
    </row>
    <row r="850" spans="1:10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51"/>
    </row>
    <row r="851" spans="1:10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51"/>
    </row>
    <row r="852" spans="1:10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51"/>
    </row>
    <row r="853" spans="1:10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51"/>
    </row>
    <row r="854" spans="1:10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51"/>
    </row>
    <row r="855" spans="1:10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51"/>
    </row>
    <row r="856" spans="1:10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51"/>
    </row>
    <row r="857" spans="1:10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51"/>
    </row>
    <row r="858" spans="1:10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51"/>
    </row>
    <row r="859" spans="1:10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51"/>
    </row>
    <row r="860" spans="1:10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51"/>
    </row>
    <row r="861" spans="1:10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51"/>
    </row>
    <row r="862" spans="1:10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51"/>
    </row>
    <row r="863" spans="1:10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51"/>
    </row>
    <row r="864" spans="1:10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51"/>
    </row>
    <row r="865" spans="1:10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51"/>
    </row>
    <row r="866" spans="1:10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51"/>
    </row>
    <row r="867" spans="1:10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51"/>
    </row>
    <row r="868" spans="1:10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51"/>
    </row>
    <row r="869" spans="1:10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51"/>
    </row>
    <row r="870" spans="1:10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51"/>
    </row>
    <row r="871" spans="1:10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51"/>
    </row>
    <row r="872" spans="1:10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51"/>
    </row>
    <row r="873" spans="1:10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51"/>
    </row>
    <row r="874" spans="1:10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51"/>
    </row>
    <row r="875" spans="1:10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51"/>
    </row>
    <row r="876" spans="1:10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51"/>
    </row>
    <row r="877" spans="1:10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51"/>
    </row>
    <row r="878" spans="1:10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51"/>
    </row>
    <row r="879" spans="1:10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51"/>
    </row>
    <row r="880" spans="1:10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51"/>
    </row>
    <row r="881" spans="1:10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51"/>
    </row>
    <row r="882" spans="1:10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51"/>
    </row>
    <row r="883" spans="1:10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51"/>
    </row>
    <row r="884" spans="1:10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51"/>
    </row>
    <row r="885" spans="1:10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51"/>
    </row>
    <row r="886" spans="1:10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51"/>
    </row>
    <row r="887" spans="1:10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51"/>
    </row>
    <row r="888" spans="1:10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51"/>
    </row>
    <row r="889" spans="1:10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51"/>
    </row>
    <row r="890" spans="1:10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51"/>
    </row>
    <row r="891" spans="1:10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51"/>
    </row>
    <row r="892" spans="1:10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51"/>
    </row>
    <row r="893" spans="1:10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51"/>
    </row>
    <row r="894" spans="1:10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51"/>
    </row>
    <row r="895" spans="1:10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51"/>
    </row>
    <row r="896" spans="1:10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51"/>
    </row>
    <row r="897" spans="1:10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51"/>
    </row>
    <row r="898" spans="1:10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51"/>
    </row>
    <row r="899" spans="1:10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51"/>
    </row>
    <row r="900" spans="1:10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51"/>
    </row>
    <row r="901" spans="1:10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51"/>
    </row>
    <row r="902" spans="1:10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51"/>
    </row>
    <row r="903" spans="1:10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51"/>
    </row>
    <row r="904" spans="1:10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51"/>
    </row>
    <row r="905" spans="1:10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51"/>
    </row>
    <row r="906" spans="1:10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51"/>
    </row>
    <row r="907" spans="1:10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51"/>
    </row>
    <row r="908" spans="1:10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51"/>
    </row>
    <row r="909" spans="1:10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51"/>
    </row>
    <row r="910" spans="1:10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51"/>
    </row>
    <row r="911" spans="1:10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51"/>
    </row>
    <row r="912" spans="1:10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51"/>
    </row>
    <row r="913" spans="1:10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51"/>
    </row>
    <row r="914" spans="1:10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51"/>
    </row>
    <row r="915" spans="1:10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51"/>
    </row>
    <row r="916" spans="1:10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51"/>
    </row>
    <row r="917" spans="1:10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51"/>
    </row>
    <row r="918" spans="1:10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51"/>
    </row>
    <row r="919" spans="1:10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51"/>
    </row>
    <row r="920" spans="1:10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51"/>
    </row>
    <row r="921" spans="1:10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51"/>
    </row>
    <row r="922" spans="1:10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51"/>
    </row>
    <row r="923" spans="1:10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51"/>
    </row>
    <row r="924" spans="1:10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51"/>
    </row>
    <row r="925" spans="1:10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51"/>
    </row>
    <row r="926" spans="1:10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51"/>
    </row>
    <row r="927" spans="1:10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51"/>
    </row>
    <row r="928" spans="1:10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51"/>
    </row>
    <row r="929" spans="1:220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51"/>
    </row>
    <row r="930" spans="1:220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51"/>
    </row>
    <row r="931" spans="1:220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51"/>
    </row>
    <row r="932" spans="1:220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51"/>
    </row>
    <row r="933" spans="1:220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51"/>
    </row>
    <row r="934" spans="1:220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51"/>
    </row>
    <row r="935" spans="1:220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51"/>
    </row>
    <row r="936" spans="1:220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51"/>
    </row>
    <row r="937" spans="1:220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51"/>
    </row>
    <row r="938" spans="1:220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51"/>
    </row>
    <row r="939" spans="1:220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51"/>
    </row>
    <row r="940" spans="1:220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51"/>
    </row>
    <row r="941" spans="1:220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51"/>
    </row>
    <row r="942" spans="1:220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51"/>
    </row>
    <row r="943" spans="1:220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51"/>
    </row>
    <row r="944" spans="1:220" s="14" customFormat="1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51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5"/>
      <c r="FD944" s="15"/>
      <c r="FE944" s="15"/>
      <c r="FF944" s="15"/>
      <c r="FG944" s="15"/>
      <c r="FH944" s="15"/>
      <c r="FI944" s="15"/>
      <c r="FJ944" s="15"/>
      <c r="FK944" s="15"/>
      <c r="FL944" s="15"/>
      <c r="FM944" s="15"/>
      <c r="FN944" s="15"/>
      <c r="FO944" s="15"/>
      <c r="FP944" s="15"/>
      <c r="FQ944" s="15"/>
      <c r="FR944" s="15"/>
      <c r="FS944" s="15"/>
      <c r="FT944" s="15"/>
      <c r="FU944" s="15"/>
      <c r="FV944" s="15"/>
      <c r="FW944" s="15"/>
      <c r="FX944" s="15"/>
      <c r="FY944" s="15"/>
      <c r="FZ944" s="15"/>
      <c r="GA944" s="15"/>
      <c r="GB944" s="15"/>
      <c r="GC944" s="15"/>
      <c r="GD944" s="15"/>
      <c r="GE944" s="15"/>
      <c r="GF944" s="15"/>
      <c r="GG944" s="15"/>
      <c r="GH944" s="15"/>
      <c r="GI944" s="15"/>
      <c r="GJ944" s="15"/>
      <c r="GK944" s="15"/>
      <c r="GL944" s="15"/>
      <c r="GM944" s="15"/>
      <c r="GN944" s="15"/>
      <c r="GO944" s="15"/>
      <c r="GP944" s="15"/>
      <c r="GQ944" s="15"/>
      <c r="GR944" s="15"/>
      <c r="GS944" s="15"/>
      <c r="GT944" s="15"/>
      <c r="GU944" s="15"/>
      <c r="GV944" s="15"/>
      <c r="GW944" s="15"/>
      <c r="GX944" s="15"/>
      <c r="GY944" s="15"/>
      <c r="GZ944" s="15"/>
      <c r="HA944" s="15"/>
      <c r="HB944" s="15"/>
      <c r="HC944" s="15"/>
      <c r="HD944" s="15"/>
      <c r="HE944" s="15"/>
      <c r="HF944" s="15"/>
      <c r="HG944" s="15"/>
      <c r="HH944" s="15"/>
      <c r="HI944" s="15"/>
      <c r="HJ944" s="15"/>
      <c r="HK944" s="15"/>
      <c r="HL944" s="15"/>
    </row>
    <row r="945" spans="10:10" s="15" customFormat="1" x14ac:dyDescent="0.15">
      <c r="J945" s="51"/>
    </row>
    <row r="946" spans="10:10" s="15" customFormat="1" x14ac:dyDescent="0.15">
      <c r="J946" s="51"/>
    </row>
    <row r="947" spans="10:10" s="15" customFormat="1" x14ac:dyDescent="0.15">
      <c r="J947" s="51"/>
    </row>
    <row r="948" spans="10:10" s="15" customFormat="1" x14ac:dyDescent="0.15">
      <c r="J948" s="51"/>
    </row>
    <row r="949" spans="10:10" s="15" customFormat="1" x14ac:dyDescent="0.15">
      <c r="J949" s="51"/>
    </row>
    <row r="950" spans="10:10" s="15" customFormat="1" x14ac:dyDescent="0.15">
      <c r="J950" s="51"/>
    </row>
    <row r="951" spans="10:10" s="15" customFormat="1" x14ac:dyDescent="0.15">
      <c r="J951" s="51"/>
    </row>
    <row r="952" spans="10:10" s="15" customFormat="1" x14ac:dyDescent="0.15">
      <c r="J952" s="51"/>
    </row>
  </sheetData>
  <mergeCells count="37">
    <mergeCell ref="C92:C94"/>
    <mergeCell ref="C47:C48"/>
    <mergeCell ref="C58:C59"/>
    <mergeCell ref="C60:C61"/>
    <mergeCell ref="C62:C63"/>
    <mergeCell ref="C67:C69"/>
    <mergeCell ref="A45:A52"/>
    <mergeCell ref="C70:C71"/>
    <mergeCell ref="C72:C75"/>
    <mergeCell ref="C76:C77"/>
    <mergeCell ref="C79:C84"/>
    <mergeCell ref="G102:K102"/>
    <mergeCell ref="A9:A10"/>
    <mergeCell ref="A13:A23"/>
    <mergeCell ref="A24:A41"/>
    <mergeCell ref="A42:A44"/>
    <mergeCell ref="A53:A57"/>
    <mergeCell ref="A58:A71"/>
    <mergeCell ref="A72:A87"/>
    <mergeCell ref="A88:A100"/>
    <mergeCell ref="C13:C16"/>
    <mergeCell ref="C19:C20"/>
    <mergeCell ref="C21:C22"/>
    <mergeCell ref="C26:C31"/>
    <mergeCell ref="C32:C35"/>
    <mergeCell ref="C36:C38"/>
    <mergeCell ref="C95:C100"/>
    <mergeCell ref="A6:J6"/>
    <mergeCell ref="A7:J7"/>
    <mergeCell ref="G8:I8"/>
    <mergeCell ref="A11:J11"/>
    <mergeCell ref="G12:I12"/>
    <mergeCell ref="A1:I1"/>
    <mergeCell ref="E2:F2"/>
    <mergeCell ref="E3:F3"/>
    <mergeCell ref="E4:F4"/>
    <mergeCell ref="E5:F5"/>
  </mergeCells>
  <phoneticPr fontId="13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2"/>
  </sheetPr>
  <dimension ref="B1:B26"/>
  <sheetViews>
    <sheetView workbookViewId="0">
      <selection activeCell="C29" sqref="C29"/>
    </sheetView>
  </sheetViews>
  <sheetFormatPr defaultColWidth="9" defaultRowHeight="16.5" x14ac:dyDescent="0.15"/>
  <cols>
    <col min="1" max="16384" width="9" style="1"/>
  </cols>
  <sheetData>
    <row r="1" spans="2:2" x14ac:dyDescent="0.15">
      <c r="B1" s="1" t="s">
        <v>248</v>
      </c>
    </row>
    <row r="26" spans="2:2" x14ac:dyDescent="0.15">
      <c r="B26" s="1" t="s">
        <v>249</v>
      </c>
    </row>
  </sheetData>
  <phoneticPr fontId="13" type="noConversion"/>
  <pageMargins left="0.69930555555555596" right="0.69930555555555596" top="0.75" bottom="0.75" header="0.3" footer="0.3"/>
  <pageSetup paperSize="9" orientation="portrait" horizontalDpi="200" verticalDpi="300"/>
  <drawing r:id="rId1"/>
  <legacyDrawing r:id="rId2"/>
  <oleObjects>
    <mc:AlternateContent xmlns:mc="http://schemas.openxmlformats.org/markup-compatibility/2006">
      <mc:Choice Requires="x14">
        <oleObject progId="Visio.Drawing.11" shapeId="3073" r:id="rId3">
          <objectPr defaultSize="0" autoPict="0" r:id="rId4">
            <anchor moveWithCells="1" sizeWithCells="1">
              <from>
                <xdr:col>1</xdr:col>
                <xdr:colOff>19050</xdr:colOff>
                <xdr:row>2</xdr:row>
                <xdr:rowOff>19050</xdr:rowOff>
              </from>
              <to>
                <xdr:col>7</xdr:col>
                <xdr:colOff>666750</xdr:colOff>
                <xdr:row>24</xdr:row>
                <xdr:rowOff>161925</xdr:rowOff>
              </to>
            </anchor>
          </objectPr>
        </oleObject>
      </mc:Choice>
      <mc:Fallback>
        <oleObject progId="Visio.Drawing.11" shapeId="3073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3"/>
  </sheetPr>
  <dimension ref="A1:D36"/>
  <sheetViews>
    <sheetView workbookViewId="0">
      <selection activeCell="G17" sqref="G17"/>
    </sheetView>
  </sheetViews>
  <sheetFormatPr defaultColWidth="9" defaultRowHeight="16.5" x14ac:dyDescent="0.15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 x14ac:dyDescent="0.15">
      <c r="A1" s="2" t="s">
        <v>250</v>
      </c>
      <c r="B1" s="2" t="s">
        <v>251</v>
      </c>
      <c r="C1" s="2" t="s">
        <v>252</v>
      </c>
      <c r="D1" s="2" t="s">
        <v>253</v>
      </c>
    </row>
    <row r="2" spans="1:4" x14ac:dyDescent="0.15">
      <c r="A2" s="3"/>
      <c r="B2" s="4"/>
      <c r="C2" s="3"/>
      <c r="D2" s="4"/>
    </row>
    <row r="3" spans="1:4" x14ac:dyDescent="0.15">
      <c r="A3" s="3"/>
      <c r="B3" s="4"/>
      <c r="C3" s="3"/>
      <c r="D3" s="4"/>
    </row>
    <row r="4" spans="1:4" x14ac:dyDescent="0.15">
      <c r="A4" s="3"/>
      <c r="B4" s="4"/>
      <c r="C4" s="3"/>
      <c r="D4" s="5"/>
    </row>
    <row r="5" spans="1:4" x14ac:dyDescent="0.15">
      <c r="A5" s="3"/>
      <c r="B5" s="4"/>
      <c r="C5" s="3"/>
      <c r="D5" s="4"/>
    </row>
    <row r="6" spans="1:4" x14ac:dyDescent="0.15">
      <c r="A6" s="3"/>
      <c r="B6" s="4"/>
      <c r="C6" s="3"/>
      <c r="D6" s="5"/>
    </row>
    <row r="7" spans="1:4" x14ac:dyDescent="0.15">
      <c r="A7" s="3"/>
      <c r="B7" s="4"/>
      <c r="C7" s="3"/>
      <c r="D7" s="5"/>
    </row>
    <row r="8" spans="1:4" x14ac:dyDescent="0.15">
      <c r="A8" s="3"/>
      <c r="B8" s="4"/>
      <c r="C8" s="3"/>
      <c r="D8" s="4"/>
    </row>
    <row r="9" spans="1:4" x14ac:dyDescent="0.15">
      <c r="A9" s="3"/>
      <c r="B9" s="4"/>
      <c r="C9" s="3"/>
      <c r="D9" s="4"/>
    </row>
    <row r="10" spans="1:4" x14ac:dyDescent="0.15">
      <c r="A10" s="3"/>
      <c r="B10" s="4"/>
      <c r="C10" s="3"/>
      <c r="D10" s="5"/>
    </row>
    <row r="11" spans="1:4" x14ac:dyDescent="0.15">
      <c r="A11" s="3"/>
      <c r="B11" s="4"/>
      <c r="C11" s="3"/>
      <c r="D11" s="4"/>
    </row>
    <row r="12" spans="1:4" x14ac:dyDescent="0.15">
      <c r="A12" s="3"/>
      <c r="B12" s="4"/>
      <c r="C12" s="3"/>
      <c r="D12" s="6"/>
    </row>
    <row r="13" spans="1:4" x14ac:dyDescent="0.15">
      <c r="A13" s="3"/>
      <c r="B13" s="4"/>
      <c r="C13" s="3"/>
      <c r="D13" s="6"/>
    </row>
    <row r="14" spans="1:4" x14ac:dyDescent="0.15">
      <c r="A14" s="3"/>
      <c r="B14" s="4"/>
      <c r="C14" s="3"/>
      <c r="D14" s="6"/>
    </row>
    <row r="15" spans="1:4" x14ac:dyDescent="0.15">
      <c r="A15" s="3"/>
      <c r="B15" s="4"/>
      <c r="C15" s="3"/>
      <c r="D15" s="6"/>
    </row>
    <row r="16" spans="1:4" x14ac:dyDescent="0.15">
      <c r="A16" s="3"/>
      <c r="B16" s="4"/>
      <c r="C16" s="3"/>
      <c r="D16" s="7"/>
    </row>
    <row r="17" spans="1:4" x14ac:dyDescent="0.15">
      <c r="A17" s="3"/>
      <c r="B17" s="4"/>
      <c r="C17" s="3"/>
      <c r="D17" s="6"/>
    </row>
    <row r="18" spans="1:4" x14ac:dyDescent="0.15">
      <c r="A18" s="3"/>
      <c r="B18" s="4"/>
      <c r="C18" s="3"/>
      <c r="D18" s="6"/>
    </row>
    <row r="19" spans="1:4" x14ac:dyDescent="0.15">
      <c r="A19" s="3"/>
      <c r="B19" s="4"/>
      <c r="C19" s="3"/>
      <c r="D19" s="6"/>
    </row>
    <row r="20" spans="1:4" x14ac:dyDescent="0.15">
      <c r="A20" s="3"/>
      <c r="B20" s="4"/>
      <c r="C20" s="3"/>
      <c r="D20" s="6"/>
    </row>
    <row r="21" spans="1:4" x14ac:dyDescent="0.15">
      <c r="A21" s="3"/>
      <c r="B21" s="4"/>
      <c r="C21" s="3"/>
      <c r="D21" s="6"/>
    </row>
    <row r="22" spans="1:4" x14ac:dyDescent="0.15">
      <c r="A22" s="8"/>
      <c r="B22" s="9"/>
      <c r="C22" s="10"/>
      <c r="D22" s="6"/>
    </row>
    <row r="23" spans="1:4" x14ac:dyDescent="0.15">
      <c r="A23" s="8"/>
      <c r="B23" s="9"/>
      <c r="C23" s="10"/>
      <c r="D23" s="6"/>
    </row>
    <row r="24" spans="1:4" x14ac:dyDescent="0.15">
      <c r="A24" s="8"/>
      <c r="B24" s="9"/>
      <c r="C24" s="3"/>
      <c r="D24" s="6"/>
    </row>
    <row r="25" spans="1:4" x14ac:dyDescent="0.15">
      <c r="A25" s="8"/>
      <c r="B25" s="9"/>
      <c r="C25" s="10"/>
      <c r="D25" s="6"/>
    </row>
    <row r="26" spans="1:4" x14ac:dyDescent="0.15">
      <c r="A26" s="8"/>
      <c r="B26" s="9"/>
      <c r="C26" s="10"/>
      <c r="D26" s="6"/>
    </row>
    <row r="27" spans="1:4" x14ac:dyDescent="0.15">
      <c r="A27" s="3"/>
      <c r="B27" s="4"/>
      <c r="C27" s="3"/>
      <c r="D27" s="6"/>
    </row>
    <row r="28" spans="1:4" x14ac:dyDescent="0.15">
      <c r="A28" s="3"/>
      <c r="B28" s="4"/>
      <c r="C28" s="3"/>
      <c r="D28" s="6"/>
    </row>
    <row r="29" spans="1:4" x14ac:dyDescent="0.15">
      <c r="A29" s="11"/>
      <c r="B29" s="11"/>
      <c r="C29" s="11"/>
      <c r="D29" s="11"/>
    </row>
    <row r="30" spans="1:4" x14ac:dyDescent="0.15">
      <c r="A30" s="11"/>
      <c r="B30" s="11"/>
      <c r="C30" s="11"/>
      <c r="D30" s="11"/>
    </row>
    <row r="31" spans="1:4" x14ac:dyDescent="0.15">
      <c r="A31" s="11"/>
      <c r="B31" s="11"/>
      <c r="C31" s="11"/>
      <c r="D31" s="11"/>
    </row>
    <row r="32" spans="1:4" x14ac:dyDescent="0.15">
      <c r="A32" s="11"/>
      <c r="B32" s="11"/>
      <c r="C32" s="11"/>
      <c r="D32" s="11"/>
    </row>
    <row r="33" spans="1:4" x14ac:dyDescent="0.15">
      <c r="A33" s="11"/>
      <c r="B33" s="11"/>
      <c r="C33" s="11"/>
      <c r="D33" s="11"/>
    </row>
    <row r="34" spans="1:4" x14ac:dyDescent="0.15">
      <c r="A34" s="11"/>
      <c r="B34" s="11"/>
      <c r="C34" s="11"/>
      <c r="D34" s="11"/>
    </row>
    <row r="35" spans="1:4" x14ac:dyDescent="0.15">
      <c r="A35" s="11"/>
      <c r="B35" s="11"/>
      <c r="C35" s="11"/>
      <c r="D35" s="11"/>
    </row>
    <row r="36" spans="1:4" x14ac:dyDescent="0.15">
      <c r="A36" s="11"/>
      <c r="B36" s="11"/>
      <c r="C36" s="11"/>
      <c r="D36" s="11"/>
    </row>
  </sheetData>
  <phoneticPr fontId="1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H27" sqref="H27:H28"/>
    </sheetView>
  </sheetViews>
  <sheetFormatPr defaultColWidth="9" defaultRowHeight="16.5" x14ac:dyDescent="0.15"/>
  <cols>
    <col min="1" max="16384" width="9" style="1"/>
  </cols>
  <sheetData>
    <row r="1" spans="1:6" x14ac:dyDescent="0.15">
      <c r="A1" s="76" t="s">
        <v>254</v>
      </c>
      <c r="B1" s="77"/>
      <c r="C1" s="77"/>
      <c r="D1" s="77"/>
      <c r="E1" s="77"/>
      <c r="F1" s="77"/>
    </row>
    <row r="2" spans="1:6" x14ac:dyDescent="0.15">
      <c r="A2" s="77"/>
      <c r="B2" s="77"/>
      <c r="C2" s="77"/>
      <c r="D2" s="77"/>
      <c r="E2" s="77"/>
      <c r="F2" s="77"/>
    </row>
    <row r="3" spans="1:6" x14ac:dyDescent="0.15">
      <c r="A3" s="77"/>
      <c r="B3" s="77"/>
      <c r="C3" s="77"/>
      <c r="D3" s="77"/>
      <c r="E3" s="77"/>
      <c r="F3" s="77"/>
    </row>
    <row r="4" spans="1:6" x14ac:dyDescent="0.15">
      <c r="A4" s="77"/>
      <c r="B4" s="77"/>
      <c r="C4" s="77"/>
      <c r="D4" s="77"/>
      <c r="E4" s="77"/>
      <c r="F4" s="77"/>
    </row>
    <row r="5" spans="1:6" x14ac:dyDescent="0.15">
      <c r="A5" s="77"/>
      <c r="B5" s="77"/>
      <c r="C5" s="77"/>
      <c r="D5" s="77"/>
      <c r="E5" s="77"/>
      <c r="F5" s="77"/>
    </row>
    <row r="6" spans="1:6" x14ac:dyDescent="0.15">
      <c r="A6" s="77"/>
      <c r="B6" s="77"/>
      <c r="C6" s="77"/>
      <c r="D6" s="77"/>
      <c r="E6" s="77"/>
      <c r="F6" s="77"/>
    </row>
    <row r="7" spans="1:6" x14ac:dyDescent="0.15">
      <c r="A7" s="77"/>
      <c r="B7" s="77"/>
      <c r="C7" s="77"/>
      <c r="D7" s="77"/>
      <c r="E7" s="77"/>
      <c r="F7" s="77"/>
    </row>
    <row r="8" spans="1:6" x14ac:dyDescent="0.15">
      <c r="A8" s="77"/>
      <c r="B8" s="77"/>
      <c r="C8" s="77"/>
      <c r="D8" s="77"/>
      <c r="E8" s="77"/>
      <c r="F8" s="77"/>
    </row>
    <row r="9" spans="1:6" x14ac:dyDescent="0.15">
      <c r="A9" s="77"/>
      <c r="B9" s="77"/>
      <c r="C9" s="77"/>
      <c r="D9" s="77"/>
      <c r="E9" s="77"/>
      <c r="F9" s="77"/>
    </row>
    <row r="10" spans="1:6" x14ac:dyDescent="0.15">
      <c r="A10" s="77"/>
      <c r="B10" s="77"/>
      <c r="C10" s="77"/>
      <c r="D10" s="77"/>
      <c r="E10" s="77"/>
      <c r="F10" s="77"/>
    </row>
    <row r="11" spans="1:6" x14ac:dyDescent="0.15">
      <c r="A11" s="77"/>
      <c r="B11" s="77"/>
      <c r="C11" s="77"/>
      <c r="D11" s="77"/>
      <c r="E11" s="77"/>
      <c r="F11" s="77"/>
    </row>
    <row r="12" spans="1:6" x14ac:dyDescent="0.15">
      <c r="A12" s="77"/>
      <c r="B12" s="77"/>
      <c r="C12" s="77"/>
      <c r="D12" s="77"/>
      <c r="E12" s="77"/>
      <c r="F12" s="77"/>
    </row>
    <row r="13" spans="1:6" x14ac:dyDescent="0.15">
      <c r="A13" s="77"/>
      <c r="B13" s="77"/>
      <c r="C13" s="77"/>
      <c r="D13" s="77"/>
      <c r="E13" s="77"/>
      <c r="F13" s="77"/>
    </row>
    <row r="14" spans="1:6" x14ac:dyDescent="0.15">
      <c r="A14" s="77"/>
      <c r="B14" s="77"/>
      <c r="C14" s="77"/>
      <c r="D14" s="77"/>
      <c r="E14" s="77"/>
      <c r="F14" s="77"/>
    </row>
    <row r="15" spans="1:6" x14ac:dyDescent="0.15">
      <c r="A15" s="77"/>
      <c r="B15" s="77"/>
      <c r="C15" s="77"/>
      <c r="D15" s="77"/>
      <c r="E15" s="77"/>
      <c r="F15" s="77"/>
    </row>
    <row r="16" spans="1:6" x14ac:dyDescent="0.15">
      <c r="A16" s="77"/>
      <c r="B16" s="77"/>
      <c r="C16" s="77"/>
      <c r="D16" s="77"/>
      <c r="E16" s="77"/>
      <c r="F16" s="77"/>
    </row>
    <row r="17" spans="1:6" x14ac:dyDescent="0.15">
      <c r="A17" s="77"/>
      <c r="B17" s="77"/>
      <c r="C17" s="77"/>
      <c r="D17" s="77"/>
      <c r="E17" s="77"/>
      <c r="F17" s="77"/>
    </row>
    <row r="18" spans="1:6" x14ac:dyDescent="0.15">
      <c r="A18" s="77"/>
      <c r="B18" s="77"/>
      <c r="C18" s="77"/>
      <c r="D18" s="77"/>
      <c r="E18" s="77"/>
      <c r="F18" s="77"/>
    </row>
    <row r="19" spans="1:6" x14ac:dyDescent="0.15">
      <c r="A19" s="77"/>
      <c r="B19" s="77"/>
      <c r="C19" s="77"/>
      <c r="D19" s="77"/>
      <c r="E19" s="77"/>
      <c r="F19" s="77"/>
    </row>
    <row r="20" spans="1:6" x14ac:dyDescent="0.15">
      <c r="A20" s="77"/>
      <c r="B20" s="77"/>
      <c r="C20" s="77"/>
      <c r="D20" s="77"/>
      <c r="E20" s="77"/>
      <c r="F20" s="77"/>
    </row>
    <row r="21" spans="1:6" x14ac:dyDescent="0.15">
      <c r="A21" s="77"/>
      <c r="B21" s="77"/>
      <c r="C21" s="77"/>
      <c r="D21" s="77"/>
      <c r="E21" s="77"/>
      <c r="F21" s="77"/>
    </row>
    <row r="22" spans="1:6" x14ac:dyDescent="0.15">
      <c r="A22" s="77"/>
      <c r="B22" s="77"/>
      <c r="C22" s="77"/>
      <c r="D22" s="77"/>
      <c r="E22" s="77"/>
      <c r="F22" s="77"/>
    </row>
    <row r="23" spans="1:6" x14ac:dyDescent="0.15">
      <c r="A23" s="77"/>
      <c r="B23" s="77"/>
      <c r="C23" s="77"/>
      <c r="D23" s="77"/>
      <c r="E23" s="77"/>
      <c r="F23" s="77"/>
    </row>
    <row r="24" spans="1:6" x14ac:dyDescent="0.15">
      <c r="A24" s="77"/>
      <c r="B24" s="77"/>
      <c r="C24" s="77"/>
      <c r="D24" s="77"/>
      <c r="E24" s="77"/>
      <c r="F24" s="77"/>
    </row>
    <row r="25" spans="1:6" x14ac:dyDescent="0.15">
      <c r="A25" s="77"/>
      <c r="B25" s="77"/>
      <c r="C25" s="77"/>
      <c r="D25" s="77"/>
      <c r="E25" s="77"/>
      <c r="F25" s="77"/>
    </row>
    <row r="26" spans="1:6" x14ac:dyDescent="0.15">
      <c r="A26" s="77"/>
      <c r="B26" s="77"/>
      <c r="C26" s="77"/>
      <c r="D26" s="77"/>
      <c r="E26" s="77"/>
      <c r="F26" s="77"/>
    </row>
    <row r="27" spans="1:6" x14ac:dyDescent="0.15">
      <c r="A27" s="77"/>
      <c r="B27" s="77"/>
      <c r="C27" s="77"/>
      <c r="D27" s="77"/>
      <c r="E27" s="77"/>
      <c r="F27" s="77"/>
    </row>
  </sheetData>
  <mergeCells count="1">
    <mergeCell ref="A1:F27"/>
  </mergeCells>
  <phoneticPr fontId="1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deeplm</cp:lastModifiedBy>
  <dcterms:created xsi:type="dcterms:W3CDTF">2006-09-13T11:21:00Z</dcterms:created>
  <dcterms:modified xsi:type="dcterms:W3CDTF">2016-03-16T12:51:44Z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