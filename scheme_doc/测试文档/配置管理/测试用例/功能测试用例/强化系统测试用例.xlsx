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825" windowHeight="12630"/>
  </bookViews>
  <sheets>
    <sheet name="测试用例" sheetId="1" r:id="rId1"/>
    <sheet name="修改内容" sheetId="2" r:id="rId2"/>
    <sheet name="第一次测试报告" sheetId="3" r:id="rId3"/>
    <sheet name="第二次测试报告" sheetId="4" r:id="rId4"/>
  </sheets>
  <calcPr calcId="144525" concurrentCalc="0"/>
</workbook>
</file>

<file path=xl/sharedStrings.xml><?xml version="1.0" encoding="utf-8"?>
<sst xmlns="http://schemas.openxmlformats.org/spreadsheetml/2006/main" count="1194">
  <si>
    <t>强化系统测试用例</t>
  </si>
  <si>
    <t xml:space="preserve">设 计 人 : </t>
  </si>
  <si>
    <t>徐朋</t>
  </si>
  <si>
    <t>暂不处理</t>
  </si>
  <si>
    <t>主要功能分类</t>
  </si>
  <si>
    <t>测试记录</t>
  </si>
  <si>
    <t>备注</t>
  </si>
  <si>
    <t>Case总量</t>
  </si>
  <si>
    <t>设计时间 :</t>
  </si>
  <si>
    <t>2015.6.3</t>
  </si>
  <si>
    <t>需程序自测</t>
  </si>
  <si>
    <t>子功能测试序列</t>
  </si>
  <si>
    <t>测试时间</t>
  </si>
  <si>
    <t>2015.7.24</t>
  </si>
  <si>
    <t>2015.7.27</t>
  </si>
  <si>
    <t>2015.9.9</t>
  </si>
  <si>
    <t>2015.10.9</t>
  </si>
  <si>
    <t>2015.11.16</t>
  </si>
  <si>
    <t>P</t>
  </si>
  <si>
    <t>程    序 ：</t>
  </si>
  <si>
    <t>王斌、付彦清</t>
  </si>
  <si>
    <t>需策划评估</t>
  </si>
  <si>
    <t>测试序列分类</t>
  </si>
  <si>
    <t>测试版本</t>
  </si>
  <si>
    <t>F</t>
  </si>
  <si>
    <t>策    划 ：</t>
  </si>
  <si>
    <t>孔平</t>
  </si>
  <si>
    <t>补充说明</t>
  </si>
  <si>
    <t>附录_工作检查点</t>
  </si>
  <si>
    <t>测试人员</t>
  </si>
  <si>
    <t>徐鹏</t>
  </si>
  <si>
    <t>胡强</t>
  </si>
  <si>
    <t>赵新晨</t>
  </si>
  <si>
    <t>B</t>
  </si>
  <si>
    <r>
      <rPr>
        <sz val="10"/>
        <color indexed="8"/>
        <rFont val="微软雅黑"/>
        <charset val="134"/>
      </rPr>
      <t>说明：添加或修改测试序列，请使用</t>
    </r>
    <r>
      <rPr>
        <sz val="10"/>
        <color indexed="12"/>
        <rFont val="微软雅黑"/>
        <charset val="134"/>
      </rPr>
      <t>蓝字</t>
    </r>
    <r>
      <rPr>
        <sz val="10"/>
        <color indexed="8"/>
        <rFont val="微软雅黑"/>
        <charset val="134"/>
      </rPr>
      <t>标注，有疑问的测试序列请使用</t>
    </r>
    <r>
      <rPr>
        <sz val="10"/>
        <color indexed="10"/>
        <rFont val="微软雅黑"/>
        <charset val="134"/>
      </rPr>
      <t>红字</t>
    </r>
    <r>
      <rPr>
        <sz val="10"/>
        <color indexed="8"/>
        <rFont val="微软雅黑"/>
        <charset val="134"/>
      </rPr>
      <t>标注。</t>
    </r>
  </si>
  <si>
    <t>/</t>
  </si>
  <si>
    <t>一、基本信息</t>
  </si>
  <si>
    <t>Bug</t>
  </si>
  <si>
    <t>子功能名称</t>
  </si>
  <si>
    <t>案例编号</t>
  </si>
  <si>
    <t>测试点</t>
  </si>
  <si>
    <t>测试输入序列</t>
  </si>
  <si>
    <t>预期结果</t>
  </si>
  <si>
    <t>程序自测</t>
  </si>
  <si>
    <t>策划评估</t>
  </si>
  <si>
    <t>测试结果(P/F)</t>
  </si>
  <si>
    <t>强化入口</t>
  </si>
  <si>
    <t>QH_001</t>
  </si>
  <si>
    <t>主界面入口</t>
  </si>
  <si>
    <t>未完成强化引导，检查主界面有无强化入口</t>
  </si>
  <si>
    <t>没有强化按钮</t>
  </si>
  <si>
    <t>QH_002</t>
  </si>
  <si>
    <t>已完成强化引导，检查主界面有无强化入口</t>
  </si>
  <si>
    <t>有强化按钮</t>
  </si>
  <si>
    <t>QH_003</t>
  </si>
  <si>
    <t>检查强化按钮UI，ICON</t>
  </si>
  <si>
    <t>UI位置正确，IOCN大小、内容正确</t>
  </si>
  <si>
    <t>QH_004</t>
  </si>
  <si>
    <t>点击强化按钮</t>
  </si>
  <si>
    <t>正常打开强化界面</t>
  </si>
  <si>
    <t>QH_005</t>
  </si>
  <si>
    <t>战斗界面入口</t>
  </si>
  <si>
    <t>未完成强化引导，展开左上菜单检查有无强化入口</t>
  </si>
  <si>
    <t>QH_006</t>
  </si>
  <si>
    <t>已完成强化引导，展开左上菜单检查有无强化入口</t>
  </si>
  <si>
    <t>QH_007</t>
  </si>
  <si>
    <t>QH_008</t>
  </si>
  <si>
    <t>QH_009</t>
  </si>
  <si>
    <t>背包-装备入口</t>
  </si>
  <si>
    <t>背包界面，点击任意装备，打开装备信息界面，点击“镶嵌”</t>
  </si>
  <si>
    <t>打开“宝石镶嵌”界面</t>
  </si>
  <si>
    <t>QH_010</t>
  </si>
  <si>
    <t>背包-宝石入口</t>
  </si>
  <si>
    <t>背包界面，点击任意宝石，打开宝石信息界面，点击“使用”</t>
  </si>
  <si>
    <t>bug-1145</t>
  </si>
  <si>
    <t>强化界面</t>
  </si>
  <si>
    <t>QH_011</t>
  </si>
  <si>
    <t>默认界面</t>
  </si>
  <si>
    <t>进入游戏后，首次打开强化界面方式为从主界面或战斗界面打开，检查默认界面</t>
  </si>
  <si>
    <t>装备打造界面-可打造最高等级</t>
  </si>
  <si>
    <t>QH_012</t>
  </si>
  <si>
    <t>在强化界面，任意切换页签，返回登录界面重登，再次检查默认界面</t>
  </si>
  <si>
    <t>切换账号不可用</t>
  </si>
  <si>
    <t>QH_013</t>
  </si>
  <si>
    <t>游戏内界面状态保存</t>
  </si>
  <si>
    <t>游戏内在强化界面任意切换页签，修改界面状态，关闭强化界面重新打开</t>
  </si>
  <si>
    <t>记忆上次打开界面状态</t>
  </si>
  <si>
    <t>QH_014</t>
  </si>
  <si>
    <t>UI测试</t>
  </si>
  <si>
    <t>检查整体UI大小、位置、层级</t>
  </si>
  <si>
    <t>大小正确、位置正确，层级正确</t>
  </si>
  <si>
    <t>QH_015</t>
  </si>
  <si>
    <t>整体UI适配测试（16:9、4:3、其他等）</t>
  </si>
  <si>
    <t>适配正确</t>
  </si>
  <si>
    <t>4：3适配错误</t>
  </si>
  <si>
    <t>QH_016</t>
  </si>
  <si>
    <t>通用控件测试（关闭按钮、页签、底图等）</t>
  </si>
  <si>
    <t>控件布局、显示、功能均正确</t>
  </si>
  <si>
    <t>页签按钮实现有误</t>
  </si>
  <si>
    <t>UI</t>
  </si>
  <si>
    <t>QH_017</t>
  </si>
  <si>
    <t>装备打造界面</t>
  </si>
  <si>
    <t>1.点击强化按钮
2.查看</t>
  </si>
  <si>
    <t>默认显示装备打造界面</t>
  </si>
  <si>
    <t>QH_018</t>
  </si>
  <si>
    <t>界面顶端显示title字样为打造</t>
  </si>
  <si>
    <t>QH_019</t>
  </si>
  <si>
    <t>Title文字正确，位置正确，间距合理，字体端正</t>
  </si>
  <si>
    <t>QH_020</t>
  </si>
  <si>
    <t>界面右上角显示【X】</t>
  </si>
  <si>
    <t>QH_021</t>
  </si>
  <si>
    <t>界面左半部分为可打造装备显示区域</t>
  </si>
  <si>
    <t>QH_022</t>
  </si>
  <si>
    <t>界面右半部分为打造信息显示区域</t>
  </si>
  <si>
    <t>QH_023</t>
  </si>
  <si>
    <t>1.查看可打造装备显示区域</t>
  </si>
  <si>
    <t>可打造装备显示区域上边显示装备列表字样</t>
  </si>
  <si>
    <t>QH_024</t>
  </si>
  <si>
    <t>装备列表字样右边显示等级筛选下拉框</t>
  </si>
  <si>
    <t>QH_025</t>
  </si>
  <si>
    <t>装备信息上显示装备图标</t>
  </si>
  <si>
    <t>QH_026</t>
  </si>
  <si>
    <t>装备图标右侧上边显示装备名字</t>
  </si>
  <si>
    <t>QH_027</t>
  </si>
  <si>
    <t>装备名字下边左边显示装备等级</t>
  </si>
  <si>
    <t>QH_028</t>
  </si>
  <si>
    <t>装备等级右边显示装备类型</t>
  </si>
  <si>
    <t>QH_029</t>
  </si>
  <si>
    <t>1.查看打造信息显示区域</t>
  </si>
  <si>
    <t>打造信息显示区域上边为打造材料区域</t>
  </si>
  <si>
    <t>QH_030</t>
  </si>
  <si>
    <t>打造材料区域左边为打造图纸图标</t>
  </si>
  <si>
    <t>QH_031</t>
  </si>
  <si>
    <t>点击可打开打造图纸tips</t>
  </si>
  <si>
    <t>QH_032</t>
  </si>
  <si>
    <t>打造图纸tips上显示获取途径</t>
  </si>
  <si>
    <t>QH_033</t>
  </si>
  <si>
    <t>打造图纸图标下边为打造图纸名字</t>
  </si>
  <si>
    <t>QH_034</t>
  </si>
  <si>
    <t>打造图纸名字下边为打造图纸等级</t>
  </si>
  <si>
    <t>QH_035</t>
  </si>
  <si>
    <t>打造图纸图标右边显示为泰坦精铁图标</t>
  </si>
  <si>
    <t>QH_036</t>
  </si>
  <si>
    <t>点击泰坦精铁图标可以打开泰坦精铁tips</t>
  </si>
  <si>
    <t>QH_037</t>
  </si>
  <si>
    <t>泰坦精铁tips上显示有获取途径按钮</t>
  </si>
  <si>
    <t>QH_038</t>
  </si>
  <si>
    <t>泰坦精铁图标下边显示为泰坦精铁名字</t>
  </si>
  <si>
    <t>QH_039</t>
  </si>
  <si>
    <t>泰坦精铁名字下边显示泰坦精铁等级</t>
  </si>
  <si>
    <t>QH_040</t>
  </si>
  <si>
    <t>泰坦精铁图标右边显示为打造模具图标</t>
  </si>
  <si>
    <t>QH_041</t>
  </si>
  <si>
    <t>点击打造模具图标可打开打造模具tips</t>
  </si>
  <si>
    <t>QH_042</t>
  </si>
  <si>
    <t>打造模具tips上有获取途径按钮</t>
  </si>
  <si>
    <t>QH_043</t>
  </si>
  <si>
    <t>打造模具下方显示模具名字</t>
  </si>
  <si>
    <t>QH_044</t>
  </si>
  <si>
    <t>模具名字下方显示模具等级</t>
  </si>
  <si>
    <t>QH_045</t>
  </si>
  <si>
    <t>打造模具右边显示为原石图标</t>
  </si>
  <si>
    <t>QH_046</t>
  </si>
  <si>
    <t>原石图标下方显示原石名字字样</t>
  </si>
  <si>
    <t>QH_047</t>
  </si>
  <si>
    <t>原石名字下方是勾选框</t>
  </si>
  <si>
    <t>QH_048</t>
  </si>
  <si>
    <t>打造信息显示区域中间部分左边是打造概率显示区域</t>
  </si>
  <si>
    <t>QH_049</t>
  </si>
  <si>
    <t>打造概率显示区域右边是所打造装备的图标</t>
  </si>
  <si>
    <t>QH_050</t>
  </si>
  <si>
    <t>所打造装备的图标右边是预览按钮</t>
  </si>
  <si>
    <t>QH_051</t>
  </si>
  <si>
    <t>打造信息显示区域底部左边显示打造所需银币消耗</t>
  </si>
  <si>
    <t>QH_052</t>
  </si>
  <si>
    <t>消耗银币下方显示所拥有银币</t>
  </si>
  <si>
    <t>QH_053</t>
  </si>
  <si>
    <t>银币框右边时打造按钮</t>
  </si>
  <si>
    <t>QH_054</t>
  </si>
  <si>
    <t>宝石镶嵌界面</t>
  </si>
  <si>
    <t>1.切换至宝石镶嵌界面
2.查看</t>
  </si>
  <si>
    <t>界面顶端显示title字样为宝石镶嵌</t>
  </si>
  <si>
    <t>QH_055</t>
  </si>
  <si>
    <t>QH_056</t>
  </si>
  <si>
    <t>QH_057</t>
  </si>
  <si>
    <t>宝石镶嵌界面左边为装备列表</t>
  </si>
  <si>
    <t>QH_058</t>
  </si>
  <si>
    <t>宝石镶嵌界面中间是装备详细信息区域</t>
  </si>
  <si>
    <t>QH_059</t>
  </si>
  <si>
    <t>宝石镶嵌界面右边是可镶嵌宝石列表</t>
  </si>
  <si>
    <t>QH_060</t>
  </si>
  <si>
    <t>1.查看装备详细信息显示区域</t>
  </si>
  <si>
    <t>上方显示装备详细信息</t>
  </si>
  <si>
    <t>QH_061</t>
  </si>
  <si>
    <t>装备详细信息下方显示宝石镶嵌字样</t>
  </si>
  <si>
    <t>QH_062</t>
  </si>
  <si>
    <t>宝石镶嵌字样显示该装备最高可镶嵌的宝石等级说明</t>
  </si>
  <si>
    <t>QH_063</t>
  </si>
  <si>
    <t>下方是宝石镶嵌栏</t>
  </si>
  <si>
    <t>QH_064</t>
  </si>
  <si>
    <t>宝石镶嵌栏上显示点击右侧宝石可以镶嵌的说明</t>
  </si>
  <si>
    <t>QH_065</t>
  </si>
  <si>
    <t>1.查看可镶嵌的宝石列表</t>
  </si>
  <si>
    <t>列表上方显示XX部位可镶嵌</t>
  </si>
  <si>
    <t>QH_066</t>
  </si>
  <si>
    <t>下方显示可镶嵌宝石的下拉框</t>
  </si>
  <si>
    <t>QH_067</t>
  </si>
  <si>
    <t>下拉框上左边显示宝石图标</t>
  </si>
  <si>
    <t>QH_068</t>
  </si>
  <si>
    <t>右边显示宝石名称</t>
  </si>
  <si>
    <t>QH_069</t>
  </si>
  <si>
    <t>宝石名称下面显示所提升的属性</t>
  </si>
  <si>
    <t>QH_070</t>
  </si>
  <si>
    <t>宝石下拉框内显示“+”</t>
  </si>
  <si>
    <t>QH_071</t>
  </si>
  <si>
    <t>“+”下面显示宝石</t>
  </si>
  <si>
    <t>QH_072</t>
  </si>
  <si>
    <t>宝石合成界面</t>
  </si>
  <si>
    <t>1.查看宝石合成界面</t>
  </si>
  <si>
    <t>界面顶端显示title字样为宝石合成</t>
  </si>
  <si>
    <t>QH_073</t>
  </si>
  <si>
    <t>QH_074</t>
  </si>
  <si>
    <t>QH_075</t>
  </si>
  <si>
    <t>宝石合成界面左半部分是宝石列表</t>
  </si>
  <si>
    <t>QH_076</t>
  </si>
  <si>
    <t>列表上方显示字样“选择合成材料”</t>
  </si>
  <si>
    <t>QH_077</t>
  </si>
  <si>
    <t>宝石栏上左边显示宝石图标</t>
  </si>
  <si>
    <t>QH_078</t>
  </si>
  <si>
    <t>宝石图标右下角是宝石数量</t>
  </si>
  <si>
    <t>QH_079</t>
  </si>
  <si>
    <t>宝石图标右边是宝石名称</t>
  </si>
  <si>
    <t>QH_080</t>
  </si>
  <si>
    <t>宝石名称下方是宝石属性</t>
  </si>
  <si>
    <t>QH_081</t>
  </si>
  <si>
    <t>宝石合成界面右半部分是宝石合成详细信息区域</t>
  </si>
  <si>
    <t>QH_082</t>
  </si>
  <si>
    <t>上方显示材料字样</t>
  </si>
  <si>
    <t>QH_083</t>
  </si>
  <si>
    <t>材料字样右边是预览字样</t>
  </si>
  <si>
    <t>QH_084</t>
  </si>
  <si>
    <t>材料二字下方是材料宝石图标</t>
  </si>
  <si>
    <t>QH_085</t>
  </si>
  <si>
    <t>预览二字下方是将要合成出来的宝石的图标</t>
  </si>
  <si>
    <t>QH_086</t>
  </si>
  <si>
    <t>两个图标中间显示有一个箭头</t>
  </si>
  <si>
    <t>QH_087</t>
  </si>
  <si>
    <t>箭头下方显示“2合1”字样</t>
  </si>
  <si>
    <t>QH_088</t>
  </si>
  <si>
    <t>“2合1”字样下方显示成功率</t>
  </si>
  <si>
    <t>QH_089</t>
  </si>
  <si>
    <t>底部为左边为合成一个按钮</t>
  </si>
  <si>
    <t>QH_090</t>
  </si>
  <si>
    <t>合成一个按钮右边是合成全部按钮</t>
  </si>
  <si>
    <t>QH_091</t>
  </si>
  <si>
    <t>装备修理界面</t>
  </si>
  <si>
    <t>1.查看装备修理界面</t>
  </si>
  <si>
    <t>界面顶端显示title字样为装备修理</t>
  </si>
  <si>
    <t>QH_092</t>
  </si>
  <si>
    <t>QH_093</t>
  </si>
  <si>
    <t>QH_094</t>
  </si>
  <si>
    <t>装备修理界面左边是装备列表</t>
  </si>
  <si>
    <t>QH_095</t>
  </si>
  <si>
    <t>装备信息栏左边是装备图标</t>
  </si>
  <si>
    <t>QH_096</t>
  </si>
  <si>
    <t>装备图标右边是装备名称</t>
  </si>
  <si>
    <t>QH_097</t>
  </si>
  <si>
    <t>装备名称下方是装备耐久度</t>
  </si>
  <si>
    <t>QH_098</t>
  </si>
  <si>
    <t>装备修理界面右边是修理详细信息显示区域</t>
  </si>
  <si>
    <t>QH_099</t>
  </si>
  <si>
    <t>装备修理详细信息显示区域左边上面是所选中的装备的图标</t>
  </si>
  <si>
    <t>QH_100</t>
  </si>
  <si>
    <t>图标下方是普通修理二态按钮</t>
  </si>
  <si>
    <t>QH_101</t>
  </si>
  <si>
    <t>普通修理二态按钮右边是特殊修理二态按钮</t>
  </si>
  <si>
    <t>QH_102</t>
  </si>
  <si>
    <t>图标右边是装备属性详细信息</t>
  </si>
  <si>
    <t>QH_103</t>
  </si>
  <si>
    <t>普通修理二态按钮下方是模具图标</t>
  </si>
  <si>
    <t>QH_104</t>
  </si>
  <si>
    <t>模具图标下方是文字说明</t>
  </si>
  <si>
    <t>QH_105</t>
  </si>
  <si>
    <t>文字说明下方是修理所需银币数量</t>
  </si>
  <si>
    <t>QH_106</t>
  </si>
  <si>
    <t>银币框右边是修理按钮</t>
  </si>
  <si>
    <t>二、装备打造</t>
  </si>
  <si>
    <t>打造界面</t>
  </si>
  <si>
    <t>QH_107</t>
  </si>
  <si>
    <t>界面开关</t>
  </si>
  <si>
    <t>打开强化系统-默认界面</t>
  </si>
  <si>
    <t>正常打开装备打造界面</t>
  </si>
  <si>
    <t>p</t>
  </si>
  <si>
    <t>QH_108</t>
  </si>
  <si>
    <t>从强化系统其他非打造界面点击”打造“页签</t>
  </si>
  <si>
    <t>QH_109</t>
  </si>
  <si>
    <t>在装备打造界面，点击其他强化系统其他页签</t>
  </si>
  <si>
    <t>可正常切换界面</t>
  </si>
  <si>
    <t>QH_110</t>
  </si>
  <si>
    <t>在装备打造界面，点击关闭按钮</t>
  </si>
  <si>
    <t>可正常关闭界面</t>
  </si>
  <si>
    <t>QH_111</t>
  </si>
  <si>
    <t>UI布局检查（标题、打造列表、打造区等）</t>
  </si>
  <si>
    <t>布局正确合适，各区域大小正确</t>
  </si>
  <si>
    <t>打造列表</t>
  </si>
  <si>
    <t>QH_112</t>
  </si>
  <si>
    <t>装备等级选择</t>
  </si>
  <si>
    <t>打开强化系统-默认界面，检查默认等级</t>
  </si>
  <si>
    <t>可打造最高等级</t>
  </si>
  <si>
    <t>QH_113</t>
  </si>
  <si>
    <t>检查装备列表中装备是否与当前所选等级对应</t>
  </si>
  <si>
    <t>正确对应</t>
  </si>
  <si>
    <t>QH_114</t>
  </si>
  <si>
    <t>点击装备等级选择按钮</t>
  </si>
  <si>
    <t>正确展开下拉列表，同时下拉箭头变为上拉箭头</t>
  </si>
  <si>
    <t>QH_115</t>
  </si>
  <si>
    <t>下拉列表测试（大小、位置、布局、滚动、位置记忆，选项列显示）</t>
  </si>
  <si>
    <t>各测试项均正确</t>
  </si>
  <si>
    <t>文字出框（等装备命名文案后修改）</t>
  </si>
  <si>
    <t>QH_116</t>
  </si>
  <si>
    <t>下拉列表选项内容测试（等级范围、排序、文字）</t>
  </si>
  <si>
    <t>等级范围正确，排序（低到高）正确，文字使用正确</t>
  </si>
  <si>
    <t>QH_117</t>
  </si>
  <si>
    <t>在下拉列表中点击任意等级</t>
  </si>
  <si>
    <t>下拉列表收回，上拉箭头变为下拉箭头;</t>
  </si>
  <si>
    <t>QH_118</t>
  </si>
  <si>
    <t>装备等级变为选择等级，同时打造列表刷新为对应等级的装备</t>
  </si>
  <si>
    <t>QH_119</t>
  </si>
  <si>
    <t>装备列表</t>
  </si>
  <si>
    <t>列表测试（大小、位置、布局、滚动、位置记忆、装备列显示）</t>
  </si>
  <si>
    <r>
      <rPr>
        <sz val="10"/>
        <color indexed="8"/>
        <rFont val="微软雅黑"/>
        <charset val="134"/>
      </rPr>
      <t>没有打造位置记忆</t>
    </r>
    <r>
      <rPr>
        <sz val="10"/>
        <color indexed="10"/>
        <rFont val="微软雅黑"/>
        <charset val="134"/>
      </rPr>
      <t>bug1147</t>
    </r>
  </si>
  <si>
    <t>QH_120</t>
  </si>
  <si>
    <t>装备列表排序测试（可打造&gt;类型）</t>
  </si>
  <si>
    <t>排序规则正确,先按可打造状态排序，再按类型排序</t>
  </si>
  <si>
    <t>QH_121</t>
  </si>
  <si>
    <t>依次选择所有等级段，检查装备列表装备范围</t>
  </si>
  <si>
    <t>正确罗列出各等级段可打造所有装备</t>
  </si>
  <si>
    <t>QH_122</t>
  </si>
  <si>
    <t>检查所有装备信息（名称、Icon、等级、类型、整体控件显示）</t>
  </si>
  <si>
    <t>装备名称、ICON、等级、类型均正确</t>
  </si>
  <si>
    <t>名称以后会统一修改</t>
  </si>
  <si>
    <t>QH_123</t>
  </si>
  <si>
    <t>控件布局、文字、大小均正确</t>
  </si>
  <si>
    <t>QH_124</t>
  </si>
  <si>
    <t>可打造检测与可打造标记显示测试</t>
  </si>
  <si>
    <t>基本材料齐全时，装备即显示可打造标记，同时装备列表排序刷新，资源和控件位置显示正确；</t>
  </si>
  <si>
    <r>
      <rPr>
        <sz val="10"/>
        <color indexed="8"/>
        <rFont val="微软雅黑"/>
        <charset val="134"/>
      </rPr>
      <t xml:space="preserve">可打造标记显示不全，可打造标记不会及时刷新 </t>
    </r>
    <r>
      <rPr>
        <sz val="10"/>
        <color indexed="10"/>
        <rFont val="微软雅黑"/>
        <charset val="134"/>
      </rPr>
      <t>bug-647</t>
    </r>
  </si>
  <si>
    <t>QH_125</t>
  </si>
  <si>
    <t>基本材料不齐全时，不显示该标记</t>
  </si>
  <si>
    <t>QH_126</t>
  </si>
  <si>
    <t>切换等级段，切换装备列表，检查默认选择打造装备</t>
  </si>
  <si>
    <t>默认选择为列表第一个装备</t>
  </si>
  <si>
    <t>QH_127</t>
  </si>
  <si>
    <t>在装备列表选择任意装备，关闭打造界面重新打开，检查选择装备</t>
  </si>
  <si>
    <t>记忆界面关闭前选择装备</t>
  </si>
  <si>
    <t>不保存</t>
  </si>
  <si>
    <t>QH_128</t>
  </si>
  <si>
    <t>切换选择任意等级段任意装备，检查打造界面刷新</t>
  </si>
  <si>
    <t>该装备被高亮选中，右侧材料区域、预览区域、货币消耗均对应刷新为该装备信息</t>
  </si>
  <si>
    <t>材料列表</t>
  </si>
  <si>
    <t>QH_129</t>
  </si>
  <si>
    <t>基础材料</t>
  </si>
  <si>
    <t>UI测试（区域位置和大小、控件布局和属性）</t>
  </si>
  <si>
    <t>位置大小均正确、控件分布正确、属性设置正确</t>
  </si>
  <si>
    <t>QH_130</t>
  </si>
  <si>
    <t>切换装备，检查材料列表变化（类型、所需数量）</t>
  </si>
  <si>
    <t>材料列表根据选取装备刷新为对应材料类型和所需数量</t>
  </si>
  <si>
    <t>QH_131</t>
  </si>
  <si>
    <t>材料信息测试（ICON、名称、等级）</t>
  </si>
  <si>
    <t>ICON、名称、等级均正确</t>
  </si>
  <si>
    <t>QH_132</t>
  </si>
  <si>
    <t>材料信息测试（拥有数量显示与刷新、读取范围）</t>
  </si>
  <si>
    <t>材料数量只读取背包内材料，数量变化时刷新正常</t>
  </si>
  <si>
    <t>QH_133</t>
  </si>
  <si>
    <t>数量显示位置、格式、数量均正确</t>
  </si>
  <si>
    <t>QH_134</t>
  </si>
  <si>
    <t>当数量为0时显示红色警示字色，大于0时显示绿色；数量变化时，可正常刷新</t>
  </si>
  <si>
    <t>QH_135</t>
  </si>
  <si>
    <t>材料道具tips测试-点击任意材料</t>
  </si>
  <si>
    <t>点击响应范围正确（icon+名称+等级），弹出材料信息tips，tips位置、大小正确</t>
  </si>
  <si>
    <t>QH_136</t>
  </si>
  <si>
    <t>材料道具tips测试-检查材料信息tips内容</t>
  </si>
  <si>
    <t>tips控件布局正确，道具信息正确，控件功能及显示均正常</t>
  </si>
  <si>
    <t>QH_137</t>
  </si>
  <si>
    <t>材料道具tips测试-获取途径测试（tips打开与关闭、UI自动适配）</t>
  </si>
  <si>
    <t>点击获取途径，可正常打开tips，tips位置与道具tips自动调整，大小正确，tips内控件布局和显示正确</t>
  </si>
  <si>
    <t>QH_138</t>
  </si>
  <si>
    <t>材料道具tips测试-获取途径测试（获取途径匹配）</t>
  </si>
  <si>
    <t>切换任意材料，查看获取途径，均可正常读取获取途径</t>
  </si>
  <si>
    <t>QH_139</t>
  </si>
  <si>
    <t>材料道具tips测试-获取途径测试（跳转与转回）</t>
  </si>
  <si>
    <t>非战斗状态下，点击获取方式会关闭tips并正常跳转界面或前往目的地，关闭相关界面可返回打造界面；</t>
  </si>
  <si>
    <t>QH_140</t>
  </si>
  <si>
    <t>战斗状态下，点击获取方式可跳转相关界面，但不能前往目的地，提示战斗中不能寻路</t>
  </si>
  <si>
    <t>QH_141</t>
  </si>
  <si>
    <t>强化材料</t>
  </si>
  <si>
    <t>QH_142</t>
  </si>
  <si>
    <t>QH_143</t>
  </si>
  <si>
    <t>材料信息测试（ICON、名称）</t>
  </si>
  <si>
    <t>ICON、名称均正确</t>
  </si>
  <si>
    <t>QH_144</t>
  </si>
  <si>
    <t>QH_145</t>
  </si>
  <si>
    <t>QH_146</t>
  </si>
  <si>
    <t>QH_147</t>
  </si>
  <si>
    <t>材料道具tips测试-点击任意强化材料</t>
  </si>
  <si>
    <t>QH_148</t>
  </si>
  <si>
    <t>QH_149</t>
  </si>
  <si>
    <t>QH_150</t>
  </si>
  <si>
    <t>QH_151</t>
  </si>
  <si>
    <t>QH_152</t>
  </si>
  <si>
    <t>QH_153</t>
  </si>
  <si>
    <t>强化打造开关测试-勾选强化材料</t>
  </si>
  <si>
    <t>打造变为强化打造，界面刷新（箭头、按钮）</t>
  </si>
  <si>
    <t>QH_154</t>
  </si>
  <si>
    <t>强化打造开关测试-取消勾选强化材料</t>
  </si>
  <si>
    <t>打造变为普通打造，界面刷新（箭头、按钮）</t>
  </si>
  <si>
    <t>预览及生成区</t>
  </si>
  <si>
    <t>QH_155</t>
  </si>
  <si>
    <t>打造提示</t>
  </si>
  <si>
    <t>检查强化打造提示信息内容</t>
  </si>
  <si>
    <t>提示信息位置、内容、文字格式均正确</t>
  </si>
  <si>
    <t>QH_156</t>
  </si>
  <si>
    <t>检查打造说明（tips打开与关闭、排版、文字格式、内容）</t>
  </si>
  <si>
    <t>点击预览区箭头，可弹出打造说明tips，位置、大小均正确</t>
  </si>
  <si>
    <t>提bug</t>
  </si>
  <si>
    <t>QH_157</t>
  </si>
  <si>
    <t>说明内容排版、文字格式、内容均正确</t>
  </si>
  <si>
    <t>QH_158</t>
  </si>
  <si>
    <t>生成区</t>
  </si>
  <si>
    <t>生成指向箭头检查</t>
  </si>
  <si>
    <t>位置大小均正确、改变打造方式箭头颜色会变化</t>
  </si>
  <si>
    <t>QH_159</t>
  </si>
  <si>
    <t>装备生成区测试（未打造、打造成功）</t>
  </si>
  <si>
    <t>位置大小正确，未打造时，显示该装备ICON+蒙板，点击无反应；</t>
  </si>
  <si>
    <t>当前版本无蒙版</t>
  </si>
  <si>
    <t>QH_160</t>
  </si>
  <si>
    <t>打造成功后，显示该装备，点击弹出装备属性信息tips</t>
  </si>
  <si>
    <t>未显示该装备</t>
  </si>
  <si>
    <t>QH_161</t>
  </si>
  <si>
    <t>检查装备名称及其刷新</t>
  </si>
  <si>
    <t>名称文字格式正确，内容正确，切换装备可正常刷新</t>
  </si>
  <si>
    <t>QH_162</t>
  </si>
  <si>
    <t>装备预览</t>
  </si>
  <si>
    <t>预览界面开关测试</t>
  </si>
  <si>
    <t>开关位置正确、按钮显示正确，点击可打开预览界面，点击界面关闭按钮可关闭界面</t>
  </si>
  <si>
    <t>QH_163</t>
  </si>
  <si>
    <t>预览界面测试（界面大小、位置、控件布局和属性）</t>
  </si>
  <si>
    <t>界面大小正确，控件布局和属性正确，文字格式正确</t>
  </si>
  <si>
    <t>QH_164</t>
  </si>
  <si>
    <t>装备属性预览-基本信息（icon、名称、类型）</t>
  </si>
  <si>
    <t>装备与打造选择装备一致，装备icon、名称、类型正确</t>
  </si>
  <si>
    <t>QH_165</t>
  </si>
  <si>
    <t>切换其他装备，预览界面内容正确对应刷新</t>
  </si>
  <si>
    <t>QH_166</t>
  </si>
  <si>
    <t>装备属性预览-属性数值范围（属性类别、普通打造、强化打造）</t>
  </si>
  <si>
    <t>装备所附属性类别正确，根据配表验证，所有装备普通打造和强化打造属性生成范围显示正确</t>
  </si>
  <si>
    <t>QH_167</t>
  </si>
  <si>
    <t>普通打造和强化打造按钮测试</t>
  </si>
  <si>
    <t>按钮可用，点击后可进行普通打造和强化打造</t>
  </si>
  <si>
    <t>打造费用</t>
  </si>
  <si>
    <t>QH_168</t>
  </si>
  <si>
    <t>UI相关</t>
  </si>
  <si>
    <t>检查费用显示区UI（位置、大小、文字）</t>
  </si>
  <si>
    <t>两个控件位置大小正确，文字格式正确</t>
  </si>
  <si>
    <t>QH_169</t>
  </si>
  <si>
    <t>任意切换装备，检查打造费用显示</t>
  </si>
  <si>
    <t>打造费用显示正确，切换装备费用会根据装备正确刷新</t>
  </si>
  <si>
    <t>QH_170</t>
  </si>
  <si>
    <t>当前拥有金币</t>
  </si>
  <si>
    <t>检查当前拥有金币数量及刷新</t>
  </si>
  <si>
    <t>当前金币数量显示正确，数值变化后，该界面会正确刷新</t>
  </si>
  <si>
    <t>普通打造</t>
  </si>
  <si>
    <t>QH_171</t>
  </si>
  <si>
    <t>打造条件</t>
  </si>
  <si>
    <t>制造书（其他条件均满足）</t>
  </si>
  <si>
    <r>
      <rPr>
        <sz val="10"/>
        <color indexed="8"/>
        <rFont val="微软雅黑"/>
        <charset val="134"/>
      </rPr>
      <t>制造书数量足够时，可成功打造；不足时，会提示”缺少制造书“，</t>
    </r>
    <r>
      <rPr>
        <sz val="10"/>
        <color indexed="55"/>
        <rFont val="微软雅黑"/>
        <charset val="134"/>
      </rPr>
      <t>并弹出该制造书tips</t>
    </r>
  </si>
  <si>
    <t>提示正确，但未弹出tips</t>
  </si>
  <si>
    <t>QH_172</t>
  </si>
  <si>
    <r>
      <rPr>
        <sz val="10"/>
        <color indexed="55"/>
        <rFont val="微软雅黑"/>
        <charset val="134"/>
      </rPr>
      <t>百炼精铁</t>
    </r>
    <r>
      <rPr>
        <sz val="10"/>
        <color indexed="12"/>
        <rFont val="微软雅黑"/>
        <charset val="134"/>
      </rPr>
      <t>泰坦精铁</t>
    </r>
    <r>
      <rPr>
        <sz val="10"/>
        <color indexed="8"/>
        <rFont val="微软雅黑"/>
        <charset val="134"/>
      </rPr>
      <t>（其他条件均满足）</t>
    </r>
  </si>
  <si>
    <r>
      <rPr>
        <sz val="10"/>
        <color indexed="55"/>
        <rFont val="微软雅黑"/>
        <charset val="134"/>
      </rPr>
      <t>百炼精铁</t>
    </r>
    <r>
      <rPr>
        <sz val="10"/>
        <color indexed="12"/>
        <rFont val="微软雅黑"/>
        <charset val="134"/>
      </rPr>
      <t>泰坦精铁</t>
    </r>
    <r>
      <rPr>
        <sz val="10"/>
        <color indexed="8"/>
        <rFont val="微软雅黑"/>
        <charset val="134"/>
      </rPr>
      <t>数量足够时，可成功打造；不足时，会提示”精铁不足“，</t>
    </r>
    <r>
      <rPr>
        <sz val="10"/>
        <color indexed="55"/>
        <rFont val="微软雅黑"/>
        <charset val="134"/>
      </rPr>
      <t>并弹出该精铁tips</t>
    </r>
  </si>
  <si>
    <t>QH_173</t>
  </si>
  <si>
    <r>
      <rPr>
        <sz val="10"/>
        <color indexed="55"/>
        <rFont val="微软雅黑"/>
        <charset val="134"/>
      </rPr>
      <t>制造符</t>
    </r>
    <r>
      <rPr>
        <sz val="10"/>
        <color indexed="12"/>
        <rFont val="微软雅黑"/>
        <charset val="134"/>
      </rPr>
      <t>模具</t>
    </r>
    <r>
      <rPr>
        <sz val="10"/>
        <color indexed="58"/>
        <rFont val="微软雅黑"/>
        <charset val="134"/>
      </rPr>
      <t>（其他条件均满足）</t>
    </r>
  </si>
  <si>
    <r>
      <rPr>
        <sz val="10"/>
        <color indexed="55"/>
        <rFont val="微软雅黑"/>
        <charset val="134"/>
      </rPr>
      <t>制造符</t>
    </r>
    <r>
      <rPr>
        <sz val="10"/>
        <color indexed="12"/>
        <rFont val="微软雅黑"/>
        <charset val="134"/>
      </rPr>
      <t>模具</t>
    </r>
    <r>
      <rPr>
        <sz val="10"/>
        <color indexed="8"/>
        <rFont val="微软雅黑"/>
        <charset val="134"/>
      </rPr>
      <t>数量足够时，可成功打造；不足时，会提示”缺少制造符“，</t>
    </r>
    <r>
      <rPr>
        <sz val="10"/>
        <color indexed="55"/>
        <rFont val="微软雅黑"/>
        <charset val="134"/>
      </rPr>
      <t>并弹出该制造符tips</t>
    </r>
  </si>
  <si>
    <t>QH_174</t>
  </si>
  <si>
    <t>打造武器使用的是武器模具</t>
  </si>
  <si>
    <t>QH_175</t>
  </si>
  <si>
    <t>打造衣服使用的是防具模具</t>
  </si>
  <si>
    <t>QH_176</t>
  </si>
  <si>
    <t>打造项链、鞋子、腰带使用饰品模具</t>
  </si>
  <si>
    <t>QH_177</t>
  </si>
  <si>
    <t>打造费用（其他条件均满足）</t>
  </si>
  <si>
    <r>
      <rPr>
        <sz val="10"/>
        <color indexed="8"/>
        <rFont val="微软雅黑"/>
        <charset val="134"/>
      </rPr>
      <t>当前</t>
    </r>
    <r>
      <rPr>
        <sz val="10"/>
        <color indexed="55"/>
        <rFont val="微软雅黑"/>
        <charset val="134"/>
      </rPr>
      <t>金币</t>
    </r>
    <r>
      <rPr>
        <sz val="10"/>
        <color indexed="12"/>
        <rFont val="微软雅黑"/>
        <charset val="134"/>
      </rPr>
      <t>银币</t>
    </r>
    <r>
      <rPr>
        <sz val="10"/>
        <color indexed="8"/>
        <rFont val="微软雅黑"/>
        <charset val="134"/>
      </rPr>
      <t>足够时，可打造成功；不足时，会提示</t>
    </r>
    <r>
      <rPr>
        <sz val="10"/>
        <color indexed="55"/>
        <rFont val="微软雅黑"/>
        <charset val="134"/>
      </rPr>
      <t>金币</t>
    </r>
    <r>
      <rPr>
        <sz val="10"/>
        <color indexed="12"/>
        <rFont val="微软雅黑"/>
        <charset val="134"/>
      </rPr>
      <t>银币</t>
    </r>
    <r>
      <rPr>
        <sz val="10"/>
        <color indexed="8"/>
        <rFont val="微软雅黑"/>
        <charset val="134"/>
      </rPr>
      <t>不足，并弹出商城购买界面</t>
    </r>
  </si>
  <si>
    <t>功能应该是用金币代替和符石兑换</t>
  </si>
  <si>
    <t>QH_178</t>
  </si>
  <si>
    <t>等级（其他条件均满足）</t>
  </si>
  <si>
    <t>打造装备等级高于玩家等级10级时，会提示等级不足，无法打造；其他等级装备可打造成功</t>
  </si>
  <si>
    <t>QH_179</t>
  </si>
  <si>
    <t>背包空间（其他条件均满足）</t>
  </si>
  <si>
    <t>扣除打造材料后，背包空间大于0时，可打造成功；等于0时，提示背包空间不足</t>
  </si>
  <si>
    <t>QH_180</t>
  </si>
  <si>
    <t>角色状态（其他条件均满足）</t>
  </si>
  <si>
    <t>角色在战斗、非战斗状态下均可打造成功；</t>
  </si>
  <si>
    <t>QH_181</t>
  </si>
  <si>
    <t>打造操作</t>
  </si>
  <si>
    <t>条件满足，点击普通打造按钮，生成普通装备</t>
  </si>
  <si>
    <t>打造成功，材料和费用被消耗，新装备生成，提示”打造成功“，界面正确刷新（材料数量、生成区、当前金币）</t>
  </si>
  <si>
    <t>QH_182</t>
  </si>
  <si>
    <t>条件满足，点击普通打造按钮，生成珍品装备</t>
  </si>
  <si>
    <t>打造成功，材料和费用被消耗，新装备生成，提示”恭喜获得了一件珍品“，界面正确刷新（材料数量、生成区装备显示、当前金币）</t>
  </si>
  <si>
    <r>
      <rPr>
        <sz val="10"/>
        <color indexed="8"/>
        <rFont val="微软雅黑"/>
        <charset val="134"/>
      </rPr>
      <t>没有提示</t>
    </r>
    <r>
      <rPr>
        <sz val="10"/>
        <color indexed="10"/>
        <rFont val="微软雅黑"/>
        <charset val="134"/>
      </rPr>
      <t>bug1614</t>
    </r>
  </si>
  <si>
    <t>QH_183</t>
  </si>
  <si>
    <t>连续打造测试，检查效果，</t>
  </si>
  <si>
    <t>可正常连续打造，响应正常，</t>
  </si>
  <si>
    <t>QH_184</t>
  </si>
  <si>
    <t>生成装备</t>
  </si>
  <si>
    <t>普通打造任意装备，检查生成装备信息</t>
  </si>
  <si>
    <r>
      <rPr>
        <sz val="10"/>
        <color indexed="8"/>
        <rFont val="微软雅黑"/>
        <charset val="134"/>
      </rPr>
      <t>装备名称、ICON、等级、类型、耐久、打造信息</t>
    </r>
    <r>
      <rPr>
        <sz val="10"/>
        <color indexed="55"/>
        <rFont val="微软雅黑"/>
        <charset val="134"/>
      </rPr>
      <t>、珍品信息均正确</t>
    </r>
  </si>
  <si>
    <t>QH_185</t>
  </si>
  <si>
    <t>生成绿蓝紫各色的装备的几率正确</t>
  </si>
  <si>
    <t>QH_186</t>
  </si>
  <si>
    <t>普通打造任意装备，检查生成装备属性（基本属性）</t>
  </si>
  <si>
    <t>基本属性生成类型正确，属性数值在正确范围内</t>
  </si>
  <si>
    <t>QH_187</t>
  </si>
  <si>
    <t>普通打造任意装备，检查生成装备属性（附属属性）</t>
  </si>
  <si>
    <t>附属属性生成的数量、几率、数值在正确范围内</t>
  </si>
  <si>
    <t>QH_188</t>
  </si>
  <si>
    <t>普通打造任意装备，检查生成装备属性（特技）</t>
  </si>
  <si>
    <t>特技生成的数量、几率在正确范围内</t>
  </si>
  <si>
    <t>QH_189</t>
  </si>
  <si>
    <t>普通打造任意装备，检查生成装备属性（特效）</t>
  </si>
  <si>
    <t>特效生成的数量、几率在正确范围内</t>
  </si>
  <si>
    <t>强化打造</t>
  </si>
  <si>
    <t>QH_190</t>
  </si>
  <si>
    <t>制造书数量足够时，可成功打造；不足时，会提示”缺少制造书“，并弹出该制造书tips</t>
  </si>
  <si>
    <t>QH_191</t>
  </si>
  <si>
    <t>QH_192</t>
  </si>
  <si>
    <t>QH_193</t>
  </si>
  <si>
    <t>QH_194</t>
  </si>
  <si>
    <t>QH_195</t>
  </si>
  <si>
    <t>QH_196</t>
  </si>
  <si>
    <t>强化材料（其他条件均满足）</t>
  </si>
  <si>
    <t>强化材料数量足够时，可成功打造；不足时，会提示”缺少XXX“，并弹出该强化材料tips</t>
  </si>
  <si>
    <t>QH_197</t>
  </si>
  <si>
    <t>金币不足未转向商城,,商城未做</t>
  </si>
  <si>
    <t>QH_198</t>
  </si>
  <si>
    <t>未实现</t>
  </si>
  <si>
    <t>QH_199</t>
  </si>
  <si>
    <t>QH_200</t>
  </si>
  <si>
    <t>QH_201</t>
  </si>
  <si>
    <t>条件满足，点击强化打造按钮，生成普通装备</t>
  </si>
  <si>
    <t>QH_202</t>
  </si>
  <si>
    <t>条件满足，点击强化打造按钮，生成珍品装备</t>
  </si>
  <si>
    <t>装备不分珍品了</t>
  </si>
  <si>
    <t>QH_203</t>
  </si>
  <si>
    <t>QH_204</t>
  </si>
  <si>
    <r>
      <rPr>
        <sz val="10"/>
        <color indexed="55"/>
        <rFont val="微软雅黑"/>
        <charset val="134"/>
      </rPr>
      <t>普通打造</t>
    </r>
    <r>
      <rPr>
        <sz val="10"/>
        <color indexed="12"/>
        <rFont val="微软雅黑"/>
        <charset val="134"/>
      </rPr>
      <t>强化打造</t>
    </r>
    <r>
      <rPr>
        <sz val="10"/>
        <color indexed="58"/>
        <rFont val="微软雅黑"/>
        <charset val="134"/>
      </rPr>
      <t>任意装备，检查生成装备信息</t>
    </r>
  </si>
  <si>
    <t>QH_205</t>
  </si>
  <si>
    <t>强化打造生成绿蓝紫各色品质的装备的几率正确</t>
  </si>
  <si>
    <t>QH_206</t>
  </si>
  <si>
    <r>
      <rPr>
        <sz val="10"/>
        <color indexed="55"/>
        <rFont val="微软雅黑"/>
        <charset val="134"/>
      </rPr>
      <t>普通打造</t>
    </r>
    <r>
      <rPr>
        <sz val="10"/>
        <color indexed="12"/>
        <rFont val="微软雅黑"/>
        <charset val="134"/>
      </rPr>
      <t>强化打造</t>
    </r>
    <r>
      <rPr>
        <sz val="10"/>
        <color indexed="8"/>
        <rFont val="微软雅黑"/>
        <charset val="134"/>
      </rPr>
      <t>任意装备，检查生成装备属性（基本属性）</t>
    </r>
  </si>
  <si>
    <t>QH_207</t>
  </si>
  <si>
    <r>
      <rPr>
        <sz val="10"/>
        <color indexed="55"/>
        <rFont val="微软雅黑"/>
        <charset val="134"/>
      </rPr>
      <t>普通打造</t>
    </r>
    <r>
      <rPr>
        <sz val="10"/>
        <color indexed="12"/>
        <rFont val="微软雅黑"/>
        <charset val="134"/>
      </rPr>
      <t>强化打造</t>
    </r>
    <r>
      <rPr>
        <sz val="10"/>
        <color indexed="8"/>
        <rFont val="微软雅黑"/>
        <charset val="134"/>
      </rPr>
      <t>任意装备，检查生成装备属性（附属属性）</t>
    </r>
  </si>
  <si>
    <t>QH_208</t>
  </si>
  <si>
    <r>
      <rPr>
        <sz val="10"/>
        <color indexed="55"/>
        <rFont val="微软雅黑"/>
        <charset val="134"/>
      </rPr>
      <t>普通打造</t>
    </r>
    <r>
      <rPr>
        <sz val="10"/>
        <color indexed="12"/>
        <rFont val="微软雅黑"/>
        <charset val="134"/>
      </rPr>
      <t>强化打造</t>
    </r>
    <r>
      <rPr>
        <sz val="10"/>
        <color indexed="8"/>
        <rFont val="微软雅黑"/>
        <charset val="134"/>
      </rPr>
      <t>任意装备，检查生成装备属性（特技）</t>
    </r>
  </si>
  <si>
    <t>QH_209</t>
  </si>
  <si>
    <r>
      <rPr>
        <sz val="10"/>
        <color indexed="55"/>
        <rFont val="微软雅黑"/>
        <charset val="134"/>
      </rPr>
      <t>普通打造</t>
    </r>
    <r>
      <rPr>
        <sz val="10"/>
        <color indexed="12"/>
        <rFont val="微软雅黑"/>
        <charset val="134"/>
      </rPr>
      <t>强化打造</t>
    </r>
    <r>
      <rPr>
        <sz val="10"/>
        <color indexed="8"/>
        <rFont val="微软雅黑"/>
        <charset val="134"/>
      </rPr>
      <t>任意装备，检查生成装备属性（特效）</t>
    </r>
  </si>
  <si>
    <t>三、装备修理</t>
  </si>
  <si>
    <t>修理界面</t>
  </si>
  <si>
    <t>QH_210</t>
  </si>
  <si>
    <t>从强化系统其他非打造界面点击”修理“页签</t>
  </si>
  <si>
    <t>正常打开装备修理界面</t>
  </si>
  <si>
    <t>QH_211</t>
  </si>
  <si>
    <t>在装备修理界面，点击其他强化系统其他页签</t>
  </si>
  <si>
    <t>QH_212</t>
  </si>
  <si>
    <t>在装备修理界面，点击关闭按钮</t>
  </si>
  <si>
    <t>QH_213</t>
  </si>
  <si>
    <t>UI布局检查（标题、装备列表、装备信息、修理选择区等）</t>
  </si>
  <si>
    <t>QH_214</t>
  </si>
  <si>
    <t>QH_215</t>
  </si>
  <si>
    <t>装备列表排序测试（已装备&gt;类型&gt;等级）</t>
  </si>
  <si>
    <t>先按照装备穿戴状态排序</t>
  </si>
  <si>
    <t>QH_216</t>
  </si>
  <si>
    <t>穿戴状态相同，按照装备类型排序</t>
  </si>
  <si>
    <t>QH_217</t>
  </si>
  <si>
    <t>装备类型相同，按照装备等级排队，由低到高</t>
  </si>
  <si>
    <t>QH_218</t>
  </si>
  <si>
    <t>检查列表显示装备范围和列表刷新</t>
  </si>
  <si>
    <t>列表中只显示已装备和背包中装备；</t>
  </si>
  <si>
    <t>QH_219</t>
  </si>
  <si>
    <t>当装备穿戴状态变化，列表中会正确刷新；</t>
  </si>
  <si>
    <t>QH_220</t>
  </si>
  <si>
    <t>当背包中装备减少或增加时，列表会正确刷新</t>
  </si>
  <si>
    <t>QH_221</t>
  </si>
  <si>
    <t>检查任意装备信息（名称、Icon、耐久度、穿戴状态整体控件显示）</t>
  </si>
  <si>
    <t>装备名称、ICON、耐久度、穿戴状态均正确，控件布局、文字、大小均正确；</t>
  </si>
  <si>
    <t>QH_222</t>
  </si>
  <si>
    <t>耐久度字色大于0时显示绿色，等于0时显示红色</t>
  </si>
  <si>
    <t>QH_223</t>
  </si>
  <si>
    <t>登录游戏，首次打开修理界面检查默认选择修理装备</t>
  </si>
  <si>
    <t>QH_224</t>
  </si>
  <si>
    <t>在装备列表选择任意装备，关闭修理界面重新打开，检查选择装备</t>
  </si>
  <si>
    <t>不是关闭时选择的装备</t>
  </si>
  <si>
    <t>QH_225</t>
  </si>
  <si>
    <t>若期间该装备已不在背包或身上，恢复默认选择</t>
  </si>
  <si>
    <t>QH_226</t>
  </si>
  <si>
    <t>切换选择任意装备，检查打造界面刷新</t>
  </si>
  <si>
    <t>该装备被高亮选中，右侧装备信息、材料消耗、货币消耗均对应刷新为该装备信息</t>
  </si>
  <si>
    <t>QH_227</t>
  </si>
  <si>
    <t>当装备列表没有装备时，检查列表显示</t>
  </si>
  <si>
    <t>列表显示为空，右侧修理区域装备信息为空，材料区域为空</t>
  </si>
  <si>
    <t>装备信息</t>
  </si>
  <si>
    <t>QH_228</t>
  </si>
  <si>
    <t>ICON和名称</t>
  </si>
  <si>
    <t>任意选择装备，检查中间区域装备ICON和名称</t>
  </si>
  <si>
    <t>控件位置大小正确，ICON和名称显示正确</t>
  </si>
  <si>
    <t>QH_229</t>
  </si>
  <si>
    <t>装备属性</t>
  </si>
  <si>
    <t>任意选择装备，检查右侧装备属性显示</t>
  </si>
  <si>
    <t>整体显示控件位置大小正确，文本排版正确，文字格式正确，装备属性读取正确，修理失败次数显示正确</t>
  </si>
  <si>
    <t>QH_230</t>
  </si>
  <si>
    <t>耐久度</t>
  </si>
  <si>
    <t>耐久度损耗规则测试（武器）</t>
  </si>
  <si>
    <t>每物理攻击8次，武器耐久损耗1点</t>
  </si>
  <si>
    <t>QH_231</t>
  </si>
  <si>
    <t>每法术攻击20次，武器耐久损耗1点</t>
  </si>
  <si>
    <t>QH_232</t>
  </si>
  <si>
    <t>耐久度损耗规则测试（防具）</t>
  </si>
  <si>
    <t>每被物理攻击30次，防具耐久损耗1点</t>
  </si>
  <si>
    <t>QH_233</t>
  </si>
  <si>
    <r>
      <rPr>
        <sz val="10"/>
        <color indexed="8"/>
        <rFont val="微软雅黑"/>
        <charset val="134"/>
      </rPr>
      <t>每被</t>
    </r>
    <r>
      <rPr>
        <sz val="10"/>
        <color indexed="55"/>
        <rFont val="微软雅黑"/>
        <charset val="134"/>
      </rPr>
      <t>物理</t>
    </r>
    <r>
      <rPr>
        <sz val="10"/>
        <color indexed="12"/>
        <rFont val="微软雅黑"/>
        <charset val="134"/>
      </rPr>
      <t>法术</t>
    </r>
    <r>
      <rPr>
        <sz val="10"/>
        <color indexed="8"/>
        <rFont val="微软雅黑"/>
        <charset val="134"/>
      </rPr>
      <t>攻击</t>
    </r>
    <r>
      <rPr>
        <sz val="10"/>
        <color indexed="55"/>
        <rFont val="微软雅黑"/>
        <charset val="134"/>
      </rPr>
      <t xml:space="preserve">10 </t>
    </r>
    <r>
      <rPr>
        <sz val="10"/>
        <color indexed="12"/>
        <rFont val="微软雅黑"/>
        <charset val="134"/>
      </rPr>
      <t>50</t>
    </r>
    <r>
      <rPr>
        <sz val="10"/>
        <color indexed="8"/>
        <rFont val="微软雅黑"/>
        <charset val="134"/>
      </rPr>
      <t>次，防具耐久损耗1点，</t>
    </r>
    <r>
      <rPr>
        <sz val="10"/>
        <color indexed="10"/>
        <rFont val="微软雅黑"/>
        <charset val="134"/>
      </rPr>
      <t>闪避？</t>
    </r>
  </si>
  <si>
    <t>QH_234</t>
  </si>
  <si>
    <t>耐久度损耗规则测试（死亡）</t>
  </si>
  <si>
    <r>
      <rPr>
        <sz val="10"/>
        <color indexed="8"/>
        <rFont val="微软雅黑"/>
        <charset val="134"/>
      </rPr>
      <t>每死亡1次，所有装备耐久损耗1%（</t>
    </r>
    <r>
      <rPr>
        <sz val="10"/>
        <rFont val="微软雅黑"/>
        <charset val="134"/>
      </rPr>
      <t>四舍五入</t>
    </r>
    <r>
      <rPr>
        <sz val="10"/>
        <color indexed="8"/>
        <rFont val="微软雅黑"/>
        <charset val="134"/>
      </rPr>
      <t>）</t>
    </r>
  </si>
  <si>
    <t>QH_235</t>
  </si>
  <si>
    <t>列表UI</t>
  </si>
  <si>
    <t>材料列表整体UI检查</t>
  </si>
  <si>
    <t>位置大小正确，控件布局和功能正确，文字格式和内容正确</t>
  </si>
  <si>
    <t>QH_236</t>
  </si>
  <si>
    <t>普通修理</t>
  </si>
  <si>
    <t>普通修理开关测试</t>
  </si>
  <si>
    <t>点击普通修理按钮，即可打开普通修理模式，同时材料列表刷新，金币消耗刷新</t>
  </si>
  <si>
    <t>QH_237</t>
  </si>
  <si>
    <t>普通修理提示检查</t>
  </si>
  <si>
    <t>提示信息显示正确</t>
  </si>
  <si>
    <t>QH_238</t>
  </si>
  <si>
    <t>切换任意装备，检查消耗材料和金币消耗配置</t>
  </si>
  <si>
    <t>材料消耗类型和数量显示正确；</t>
  </si>
  <si>
    <t>QH_239</t>
  </si>
  <si>
    <t>金币消耗显示正确：</t>
  </si>
  <si>
    <t>QH_240</t>
  </si>
  <si>
    <t>切换装备可正确刷新</t>
  </si>
  <si>
    <t>QH_241</t>
  </si>
  <si>
    <t>特殊修理</t>
  </si>
  <si>
    <t>特殊修理开关测试</t>
  </si>
  <si>
    <t>点击特殊修理按钮，即可打开特殊修理模式，同时材料列表刷新，金币消耗刷新</t>
  </si>
  <si>
    <t>QH_242</t>
  </si>
  <si>
    <t>特殊修理提示检查</t>
  </si>
  <si>
    <t>提示正确</t>
  </si>
  <si>
    <t>QH_243</t>
  </si>
  <si>
    <t>QH_244</t>
  </si>
  <si>
    <t>QH_245</t>
  </si>
  <si>
    <t>QH_246</t>
  </si>
  <si>
    <t>材料信息</t>
  </si>
  <si>
    <t>QH_247</t>
  </si>
  <si>
    <t>材料信息测试（数量显示与刷新、读取范围）</t>
  </si>
  <si>
    <t>QH_248</t>
  </si>
  <si>
    <t>当数量小于所需数量时时显示红色警示字色;</t>
  </si>
  <si>
    <t>QH_249</t>
  </si>
  <si>
    <t>大于或等于所需数量时显示绿色；</t>
  </si>
  <si>
    <t>QH_250</t>
  </si>
  <si>
    <t>点击响应范围正确（icon+名称），弹出材料信息tips，tips位置、大小正确</t>
  </si>
  <si>
    <t>QH_251</t>
  </si>
  <si>
    <t>QH_252</t>
  </si>
  <si>
    <t>QH_253</t>
  </si>
  <si>
    <t>QH_254</t>
  </si>
  <si>
    <t>QH_255</t>
  </si>
  <si>
    <t>修理费用</t>
  </si>
  <si>
    <t>QH_256</t>
  </si>
  <si>
    <t>QH_257</t>
  </si>
  <si>
    <t>任意切换装备和修理模式，检查打造费用显示</t>
  </si>
  <si>
    <t>打造费用显示正确，切换装备和修理模式费用会根据装备正确刷新</t>
  </si>
  <si>
    <t>QH_258</t>
  </si>
  <si>
    <r>
      <rPr>
        <sz val="10"/>
        <color indexed="8"/>
        <rFont val="微软雅黑"/>
        <charset val="134"/>
      </rPr>
      <t>检查当前拥有</t>
    </r>
    <r>
      <rPr>
        <sz val="10"/>
        <color indexed="55"/>
        <rFont val="微软雅黑"/>
        <charset val="134"/>
      </rPr>
      <t>金币</t>
    </r>
    <r>
      <rPr>
        <sz val="10"/>
        <color indexed="12"/>
        <rFont val="微软雅黑"/>
        <charset val="134"/>
      </rPr>
      <t>银币</t>
    </r>
    <r>
      <rPr>
        <sz val="10"/>
        <color indexed="8"/>
        <rFont val="微软雅黑"/>
        <charset val="134"/>
      </rPr>
      <t>数量及刷新</t>
    </r>
  </si>
  <si>
    <r>
      <rPr>
        <sz val="10"/>
        <color indexed="8"/>
        <rFont val="微软雅黑"/>
        <charset val="134"/>
      </rPr>
      <t>当前</t>
    </r>
    <r>
      <rPr>
        <sz val="10"/>
        <color indexed="55"/>
        <rFont val="微软雅黑"/>
        <charset val="134"/>
      </rPr>
      <t>金币</t>
    </r>
    <r>
      <rPr>
        <sz val="10"/>
        <color indexed="12"/>
        <rFont val="微软雅黑"/>
        <charset val="134"/>
      </rPr>
      <t>银币</t>
    </r>
    <r>
      <rPr>
        <sz val="10"/>
        <color indexed="8"/>
        <rFont val="微软雅黑"/>
        <charset val="134"/>
      </rPr>
      <t>数量显示正确，数值变化后，该界面会正确刷新</t>
    </r>
  </si>
  <si>
    <t>QH_259</t>
  </si>
  <si>
    <t>修理条件</t>
  </si>
  <si>
    <r>
      <rPr>
        <sz val="10"/>
        <color indexed="55"/>
        <rFont val="微软雅黑"/>
        <charset val="134"/>
      </rPr>
      <t>制造符</t>
    </r>
    <r>
      <rPr>
        <sz val="10"/>
        <color indexed="12"/>
        <rFont val="微软雅黑"/>
        <charset val="134"/>
      </rPr>
      <t>模具</t>
    </r>
    <r>
      <rPr>
        <sz val="10"/>
        <color indexed="8"/>
        <rFont val="微软雅黑"/>
        <charset val="134"/>
      </rPr>
      <t>（其他条件均满足）</t>
    </r>
  </si>
  <si>
    <t>修理武器使用武器模具</t>
  </si>
  <si>
    <t>无法修理，无法测试</t>
  </si>
  <si>
    <t>QH_260</t>
  </si>
  <si>
    <t>修理衣服使用防具模具</t>
  </si>
  <si>
    <t>QH_261</t>
  </si>
  <si>
    <t>修理项链、鞋子、腰带使用饰品模具</t>
  </si>
  <si>
    <t>QH_262</t>
  </si>
  <si>
    <r>
      <rPr>
        <sz val="10"/>
        <color indexed="55"/>
        <rFont val="微软雅黑"/>
        <charset val="134"/>
      </rPr>
      <t>制造符</t>
    </r>
    <r>
      <rPr>
        <sz val="10"/>
        <color indexed="12"/>
        <rFont val="微软雅黑"/>
        <charset val="134"/>
      </rPr>
      <t>模具</t>
    </r>
    <r>
      <rPr>
        <sz val="10"/>
        <color indexed="8"/>
        <rFont val="微软雅黑"/>
        <charset val="134"/>
      </rPr>
      <t>数量足够时，可修理；</t>
    </r>
  </si>
  <si>
    <t>QH_263</t>
  </si>
  <si>
    <r>
      <rPr>
        <sz val="10"/>
        <color indexed="8"/>
        <rFont val="微软雅黑"/>
        <charset val="134"/>
      </rPr>
      <t>不足时，会提示”缺少</t>
    </r>
    <r>
      <rPr>
        <sz val="10"/>
        <color indexed="55"/>
        <rFont val="微软雅黑"/>
        <charset val="134"/>
      </rPr>
      <t>制造符</t>
    </r>
    <r>
      <rPr>
        <sz val="10"/>
        <color indexed="12"/>
        <rFont val="微软雅黑"/>
        <charset val="134"/>
      </rPr>
      <t>模具</t>
    </r>
    <r>
      <rPr>
        <sz val="10"/>
        <color indexed="8"/>
        <rFont val="微软雅黑"/>
        <charset val="134"/>
      </rPr>
      <t>“，</t>
    </r>
    <r>
      <rPr>
        <sz val="10"/>
        <color indexed="55"/>
        <rFont val="微软雅黑"/>
        <charset val="134"/>
      </rPr>
      <t>并弹出该制造符tips</t>
    </r>
  </si>
  <si>
    <t>QH_264</t>
  </si>
  <si>
    <t>修理费用（其他条件均满足）</t>
  </si>
  <si>
    <r>
      <rPr>
        <sz val="10"/>
        <color indexed="8"/>
        <rFont val="微软雅黑"/>
        <charset val="134"/>
      </rPr>
      <t>当前</t>
    </r>
    <r>
      <rPr>
        <sz val="10"/>
        <color indexed="55"/>
        <rFont val="微软雅黑"/>
        <charset val="134"/>
      </rPr>
      <t>金币</t>
    </r>
    <r>
      <rPr>
        <sz val="10"/>
        <color indexed="12"/>
        <rFont val="微软雅黑"/>
        <charset val="134"/>
      </rPr>
      <t>银币</t>
    </r>
    <r>
      <rPr>
        <sz val="10"/>
        <color indexed="8"/>
        <rFont val="微软雅黑"/>
        <charset val="134"/>
      </rPr>
      <t>足够时，可修理成功；</t>
    </r>
  </si>
  <si>
    <t>QH_265</t>
  </si>
  <si>
    <r>
      <rPr>
        <sz val="10"/>
        <color indexed="8"/>
        <rFont val="微软雅黑"/>
        <charset val="134"/>
      </rPr>
      <t>不足时，会提示</t>
    </r>
    <r>
      <rPr>
        <sz val="10"/>
        <color indexed="55"/>
        <rFont val="微软雅黑"/>
        <charset val="134"/>
      </rPr>
      <t>金币</t>
    </r>
    <r>
      <rPr>
        <sz val="10"/>
        <color indexed="12"/>
        <rFont val="微软雅黑"/>
        <charset val="134"/>
      </rPr>
      <t>银币</t>
    </r>
    <r>
      <rPr>
        <sz val="10"/>
        <color indexed="8"/>
        <rFont val="微软雅黑"/>
        <charset val="134"/>
      </rPr>
      <t>不足，并弹出商城购买界面</t>
    </r>
  </si>
  <si>
    <t>QH_266</t>
  </si>
  <si>
    <t>修理失败次数（其他条件均满足）</t>
  </si>
  <si>
    <t>修理失败次数等于3时，不可修理，提示正确；</t>
  </si>
  <si>
    <t>QH_267</t>
  </si>
  <si>
    <t>修理失败次数小于3时，可修理</t>
  </si>
  <si>
    <t>QH_268</t>
  </si>
  <si>
    <t>非战斗状态可修理，</t>
  </si>
  <si>
    <t>QH_269</t>
  </si>
  <si>
    <t>战斗状态不可修理，</t>
  </si>
  <si>
    <t>QH_270</t>
  </si>
  <si>
    <t>修理操作</t>
  </si>
  <si>
    <t>条件满足，点击修理，检查结果（成功）</t>
  </si>
  <si>
    <t>修理操作成功，修理特效正确，提示”修理成功“
材料和费用被消耗并刷新库存，装备耐久恢复当前上限</t>
  </si>
  <si>
    <t>QH_271</t>
  </si>
  <si>
    <t>条件满足，点击修理，检查结果（第一次损坏）</t>
  </si>
  <si>
    <t>修理操作成功，修理特效正确；提示"意外损坏，耐久上限降低"</t>
  </si>
  <si>
    <t>QH_272</t>
  </si>
  <si>
    <t>材料和费用被消耗并刷新库存，装备耐久上限和当前耐久变为原始上限80%，损坏次数刷新为1</t>
  </si>
  <si>
    <t>QH_273</t>
  </si>
  <si>
    <t>条件满足，点击修理，检查结果（第二次损坏）</t>
  </si>
  <si>
    <t>QH_274</t>
  </si>
  <si>
    <t>材料和费用被消耗并刷新库存，装备耐久上限和当前耐久变为原始上限60%，损坏次数刷新为2</t>
  </si>
  <si>
    <t>QH_275</t>
  </si>
  <si>
    <t>条件满足，点击修理，检查结果（第三次损坏）</t>
  </si>
  <si>
    <t>修理操作成功，修理特效正确；提示"出现意外，装备无法再使用普通修理了”</t>
  </si>
  <si>
    <t>QH_276</t>
  </si>
  <si>
    <t>材料和费用被消耗并刷新库存，装备耐久恢复为当前上限，损坏次数刷新为3</t>
  </si>
  <si>
    <t>QH_277</t>
  </si>
  <si>
    <t>制造符（其他条件均满足）</t>
  </si>
  <si>
    <t>QH_278</t>
  </si>
  <si>
    <t>QH_279</t>
  </si>
  <si>
    <t>QH_280</t>
  </si>
  <si>
    <t>制造符数量足够时，可修理；</t>
  </si>
  <si>
    <t>QH_281</t>
  </si>
  <si>
    <t>不足时，会提示”缺少制造符“，并弹出该制造符tips</t>
  </si>
  <si>
    <t>QH_282</t>
  </si>
  <si>
    <r>
      <rPr>
        <sz val="10"/>
        <color indexed="55"/>
        <rFont val="微软雅黑"/>
        <charset val="134"/>
      </rPr>
      <t>珍珠</t>
    </r>
    <r>
      <rPr>
        <sz val="10"/>
        <color indexed="12"/>
        <rFont val="微软雅黑"/>
        <charset val="134"/>
      </rPr>
      <t>修理宝石</t>
    </r>
    <r>
      <rPr>
        <sz val="10"/>
        <color indexed="8"/>
        <rFont val="微软雅黑"/>
        <charset val="134"/>
      </rPr>
      <t>（其他条件均满足）</t>
    </r>
  </si>
  <si>
    <r>
      <rPr>
        <sz val="10"/>
        <color indexed="55"/>
        <rFont val="微软雅黑"/>
        <charset val="134"/>
      </rPr>
      <t>珍珠</t>
    </r>
    <r>
      <rPr>
        <sz val="10"/>
        <color indexed="12"/>
        <rFont val="微软雅黑"/>
        <charset val="134"/>
      </rPr>
      <t>修理宝石</t>
    </r>
    <r>
      <rPr>
        <sz val="10"/>
        <color indexed="8"/>
        <rFont val="微软雅黑"/>
        <charset val="134"/>
      </rPr>
      <t>数量足够时，可修理；</t>
    </r>
  </si>
  <si>
    <t>QH_283</t>
  </si>
  <si>
    <r>
      <rPr>
        <sz val="10"/>
        <color indexed="8"/>
        <rFont val="微软雅黑"/>
        <charset val="134"/>
      </rPr>
      <t>不足时，会提示”缺少</t>
    </r>
    <r>
      <rPr>
        <sz val="10"/>
        <color indexed="55"/>
        <rFont val="微软雅黑"/>
        <charset val="134"/>
      </rPr>
      <t>珍珠</t>
    </r>
    <r>
      <rPr>
        <sz val="10"/>
        <color indexed="12"/>
        <rFont val="微软雅黑"/>
        <charset val="134"/>
      </rPr>
      <t>修理宝石</t>
    </r>
    <r>
      <rPr>
        <sz val="10"/>
        <color indexed="8"/>
        <rFont val="微软雅黑"/>
        <charset val="134"/>
      </rPr>
      <t>“，</t>
    </r>
    <r>
      <rPr>
        <sz val="10"/>
        <color indexed="55"/>
        <rFont val="微软雅黑"/>
        <charset val="134"/>
      </rPr>
      <t>并弹出珍珠tips</t>
    </r>
  </si>
  <si>
    <t>QH_284</t>
  </si>
  <si>
    <t>QH_285</t>
  </si>
  <si>
    <t>QH_286</t>
  </si>
  <si>
    <t>条件满足，点击修理，检查结果</t>
  </si>
  <si>
    <t>修理操作成功，修理特效正确，提示”修理成功“</t>
  </si>
  <si>
    <t>QH_287</t>
  </si>
  <si>
    <t>材料被消耗并刷新库存；</t>
  </si>
  <si>
    <t>QH_288</t>
  </si>
  <si>
    <t>当前耐久上限-当前耐久&gt;100点时，装备耐久恢复100点</t>
  </si>
  <si>
    <t>QH_289</t>
  </si>
  <si>
    <t>当前耐久上限-当前耐久≤100点时，装备耐久恢复至当前上限</t>
  </si>
  <si>
    <t>四、宝石合成</t>
  </si>
  <si>
    <t>合成界面</t>
  </si>
  <si>
    <t>QH_290</t>
  </si>
  <si>
    <t>从强化系统其他非打造界面点击”合成“页签</t>
  </si>
  <si>
    <t>正常打开宝石合成界面</t>
  </si>
  <si>
    <t>QH_291</t>
  </si>
  <si>
    <t>在宝石合成界面，点击其他强化系统其他页签</t>
  </si>
  <si>
    <t>QH_292</t>
  </si>
  <si>
    <t>在宝石合成界面，点击关闭按钮</t>
  </si>
  <si>
    <t>QH_293</t>
  </si>
  <si>
    <t>UI布局检查（标题、宝石列表、装备信息、合成区、合成说明等）</t>
  </si>
  <si>
    <t>宝石列表</t>
  </si>
  <si>
    <t>QH_294</t>
  </si>
  <si>
    <t>列表测试（大小、位置、布局、滚动、位置记忆、宝石列显示）</t>
  </si>
  <si>
    <t>QH_295</t>
  </si>
  <si>
    <t>宝石列表排序测试（可合成数量&gt;类型&gt;宝石等级）</t>
  </si>
  <si>
    <t>首先以可合成数量排序；</t>
  </si>
  <si>
    <t>QH_296</t>
  </si>
  <si>
    <t>合成数量相同，以宝石等级排序（低到高）：</t>
  </si>
  <si>
    <t>QH_297</t>
  </si>
  <si>
    <t>等级相同，以宝石类型排序</t>
  </si>
  <si>
    <t>QH_298</t>
  </si>
  <si>
    <t>检查列表显示宝石范围和列表刷新</t>
  </si>
  <si>
    <t>列表中只显示背包中非最高等级宝石；</t>
  </si>
  <si>
    <t>显示最高级宝石,</t>
  </si>
  <si>
    <t>QH_299</t>
  </si>
  <si>
    <t>当背包中宝石减少或增加时，列表会正确刷新</t>
  </si>
  <si>
    <t>QH_300</t>
  </si>
  <si>
    <t>检查任意宝石信息（名称、Icon、属性、数量、整体控件显示）</t>
  </si>
  <si>
    <t>宝石名称、ICON、属性、数量均正确，控件布局、文字、大小均正确；</t>
  </si>
  <si>
    <t>QH_301</t>
  </si>
  <si>
    <t>登录游戏，首次打开合成界面检查默认选择宝石</t>
  </si>
  <si>
    <t>默认选择第一个宝石</t>
  </si>
  <si>
    <t>QH_302</t>
  </si>
  <si>
    <t>在宝石列表选择任意宝石，关闭合成宝石界面重新打开，检查选择宝石</t>
  </si>
  <si>
    <t>记忆界面关闭前选择宝石</t>
  </si>
  <si>
    <t>QH_303</t>
  </si>
  <si>
    <t>若期间该宝石已不在背包，恢复默认界面</t>
  </si>
  <si>
    <t>QH_304</t>
  </si>
  <si>
    <t>切换选择任意宝石，检查合成界面刷新</t>
  </si>
  <si>
    <t>该装备被高亮选中，右侧合成材料、预览、合成几率均对应刷新为该宝石信息</t>
  </si>
  <si>
    <t>QH_305</t>
  </si>
  <si>
    <t>当宝石列表没有宝石时，检查列表显示</t>
  </si>
  <si>
    <t>右侧合成区，材料和预览均为空</t>
  </si>
  <si>
    <t>合成区</t>
  </si>
  <si>
    <t>QH_306</t>
  </si>
  <si>
    <t>位置大小均正确、控件分布正确、属性设置正确，文字内容格式正确</t>
  </si>
  <si>
    <t>QH_307</t>
  </si>
  <si>
    <t>切换宝石，检查材料变化（类型、数量）</t>
  </si>
  <si>
    <t>材料根据选取宝石刷新为对应宝石和数量</t>
  </si>
  <si>
    <t>QH_308</t>
  </si>
  <si>
    <t>材料信息测试（ICON、名称、数量）</t>
  </si>
  <si>
    <t>ICON、名称、数量均正确</t>
  </si>
  <si>
    <t>QH_309</t>
  </si>
  <si>
    <t>QH_310</t>
  </si>
  <si>
    <t>QH_311</t>
  </si>
  <si>
    <t>QH_312</t>
  </si>
  <si>
    <t>QH_313</t>
  </si>
  <si>
    <t>QH_314</t>
  </si>
  <si>
    <t>QH_315</t>
  </si>
  <si>
    <t>合成提示</t>
  </si>
  <si>
    <t>检查合成说明（UI、合成消耗）</t>
  </si>
  <si>
    <t>UI显示正确，消耗提示正确“2合1”</t>
  </si>
  <si>
    <t>QH_316</t>
  </si>
  <si>
    <t>切换不同等级宝石，检查合成几率显示与刷新</t>
  </si>
  <si>
    <t>数值与宝石正确对应，显示与刷新正常</t>
  </si>
  <si>
    <t>QH_317</t>
  </si>
  <si>
    <t>合成预览</t>
  </si>
  <si>
    <t>切换宝石，检查预览宝石变化</t>
  </si>
  <si>
    <t>预览宝石根据选取宝石类型刷新为对应高级宝石</t>
  </si>
  <si>
    <t>QH_318</t>
  </si>
  <si>
    <t>预览宝石信息测试（ICON、名称、数量）</t>
  </si>
  <si>
    <t>ICON、名称、均正确</t>
  </si>
  <si>
    <t>QH_319</t>
  </si>
  <si>
    <t>材料数量为偶数N时，数量显示N/2；</t>
  </si>
  <si>
    <t>QH_320</t>
  </si>
  <si>
    <t>材料数量为奇数M时，数量显示（M-1）/2</t>
  </si>
  <si>
    <t>合成说明</t>
  </si>
  <si>
    <t>QH_321</t>
  </si>
  <si>
    <t>UI测试（区域位置和大小、控件布局、文字）</t>
  </si>
  <si>
    <t>位置大小均正确、控件分布正确、属性设置正确，文字格式正确</t>
  </si>
  <si>
    <t>QH_322</t>
  </si>
  <si>
    <t>NPC</t>
  </si>
  <si>
    <t>检查NPC（资源调用）</t>
  </si>
  <si>
    <t>调用资源正确，显示正确</t>
  </si>
  <si>
    <t>QH_323</t>
  </si>
  <si>
    <t>说明内容</t>
  </si>
  <si>
    <t>检查说明内容</t>
  </si>
  <si>
    <t>内容正确</t>
  </si>
  <si>
    <t>合成</t>
  </si>
  <si>
    <t>QH_324</t>
  </si>
  <si>
    <t>合成条件</t>
  </si>
  <si>
    <t>材料数量（其他条件满足）</t>
  </si>
  <si>
    <t>材料数量大于1时，可合成：</t>
  </si>
  <si>
    <t>QH_325</t>
  </si>
  <si>
    <t>小于2时，提示材料不足</t>
  </si>
  <si>
    <t>QH_326</t>
  </si>
  <si>
    <t>合成后背包空间大于0时，可合成；</t>
  </si>
  <si>
    <t>QH_327</t>
  </si>
  <si>
    <t>等于0时，提示背包空间不足</t>
  </si>
  <si>
    <t>QH_328</t>
  </si>
  <si>
    <t>角色在战斗、非战斗状态下均可合成；</t>
  </si>
  <si>
    <t>QH_329</t>
  </si>
  <si>
    <t>金币消耗（其他条件满足）</t>
  </si>
  <si>
    <t>金币足够时，可以合成</t>
  </si>
  <si>
    <t>合成宝石不用钱</t>
  </si>
  <si>
    <t>QH_330</t>
  </si>
  <si>
    <t>金币不足时，提示金币不足，并打开商城界面</t>
  </si>
  <si>
    <t>QH_331</t>
  </si>
  <si>
    <t>宝石等级（其他条件满足）</t>
  </si>
  <si>
    <t>宝石材料等级小于最高等级时，可以合成为高一级宝石</t>
  </si>
  <si>
    <t>QH_332</t>
  </si>
  <si>
    <t>宝石材料等级为最高等级时，不可再合成，从宝石列表过滤掉</t>
  </si>
  <si>
    <t>显示可合成10级宝石</t>
  </si>
  <si>
    <t>QH_333</t>
  </si>
  <si>
    <t>合成按钮</t>
  </si>
  <si>
    <t>检查按钮UI</t>
  </si>
  <si>
    <t>位置、大小、资源正确，控件功能正常</t>
  </si>
  <si>
    <t>QH_334</t>
  </si>
  <si>
    <t>合成一个</t>
  </si>
  <si>
    <t>条件满足，点击“合成一个”</t>
  </si>
  <si>
    <t>操作成功，材料被消耗，弹出合成结果提示，结果为成功或失败</t>
  </si>
  <si>
    <t>无提示，按钮不灵敏</t>
  </si>
  <si>
    <t>QH_335</t>
  </si>
  <si>
    <t>合成成功率测试（功能）</t>
  </si>
  <si>
    <t>成功率功能正常工作，正确产生合成结果</t>
  </si>
  <si>
    <t>QH_336</t>
  </si>
  <si>
    <t>合成成功检查</t>
  </si>
  <si>
    <t>提示“合成成功”，材料被消耗，高级宝石数量+1</t>
  </si>
  <si>
    <t>无提示，只有飞入过程</t>
  </si>
  <si>
    <t>QH_337</t>
  </si>
  <si>
    <t>合成失败检查</t>
  </si>
  <si>
    <t>提示“合成失败，返回部分材料”，材料只消耗一个</t>
  </si>
  <si>
    <t>合成失败无提示</t>
  </si>
  <si>
    <t>QH_338</t>
  </si>
  <si>
    <t>合成全部</t>
  </si>
  <si>
    <t>条件满足，点击“合成全部”</t>
  </si>
  <si>
    <r>
      <rPr>
        <sz val="10"/>
        <color indexed="8"/>
        <rFont val="微软雅黑"/>
        <charset val="134"/>
      </rPr>
      <t>操作成功，合成</t>
    </r>
    <r>
      <rPr>
        <sz val="10"/>
        <rFont val="微软雅黑"/>
        <charset val="134"/>
      </rPr>
      <t>机制为全部一次合成，失败返还不继续参与合成，合成界面正确刷新</t>
    </r>
  </si>
  <si>
    <t>QH_339</t>
  </si>
  <si>
    <t>材料被消耗，依次弹出合成结果提示</t>
  </si>
  <si>
    <t>失败无提示</t>
  </si>
  <si>
    <t>QH_340</t>
  </si>
  <si>
    <t>失败返还一颗材料宝石，成功背包中增加一颗高级宝石</t>
  </si>
  <si>
    <t>五、宝石镶嵌</t>
  </si>
  <si>
    <t>镶嵌界面</t>
  </si>
  <si>
    <t>QH_341</t>
  </si>
  <si>
    <t>从强化系统其他非打造界面点击”镶嵌“页签</t>
  </si>
  <si>
    <t>正常打开宝石镶嵌界面</t>
  </si>
  <si>
    <t>QH_342</t>
  </si>
  <si>
    <t>从装备tips中点击“镶嵌”</t>
  </si>
  <si>
    <t>正常打开宝石镶嵌界面，且选中该装备</t>
  </si>
  <si>
    <t>QH_343</t>
  </si>
  <si>
    <t>从宝石tips中点击“使用”</t>
  </si>
  <si>
    <t>QH_344</t>
  </si>
  <si>
    <t>在宝石镶嵌界面，点击其他强化系统其他页签</t>
  </si>
  <si>
    <t>QH_345</t>
  </si>
  <si>
    <t>在宝石镶嵌界面，点击关闭按钮</t>
  </si>
  <si>
    <t>QH_346</t>
  </si>
  <si>
    <t>UI布局检查（标题、装备列表、装备信息、镶嵌区、镶嵌说明等）</t>
  </si>
  <si>
    <t>QH_347</t>
  </si>
  <si>
    <t>镶嵌提示</t>
  </si>
  <si>
    <t>镶嵌提示测试</t>
  </si>
  <si>
    <t>当装备列表中有装备符合镶嵌条件，且未镶嵌时，页签会出现小红点提示，红点位置和资源均正确</t>
  </si>
  <si>
    <t>QH_348</t>
  </si>
  <si>
    <t>QH_349</t>
  </si>
  <si>
    <t>装备列表排序测试</t>
  </si>
  <si>
    <r>
      <rPr>
        <sz val="10"/>
        <color indexed="8"/>
        <rFont val="微软雅黑"/>
        <charset val="134"/>
      </rPr>
      <t>排序规则正确，已装备&gt;类型&gt;等级（</t>
    </r>
    <r>
      <rPr>
        <sz val="10"/>
        <color indexed="11"/>
        <rFont val="微软雅黑"/>
        <charset val="134"/>
      </rPr>
      <t>高到低</t>
    </r>
    <r>
      <rPr>
        <sz val="10"/>
        <color indexed="8"/>
        <rFont val="微软雅黑"/>
        <charset val="134"/>
      </rPr>
      <t>）</t>
    </r>
  </si>
  <si>
    <t>等级高到低</t>
  </si>
  <si>
    <t>QH_350</t>
  </si>
  <si>
    <t>检查列表显示装备范围</t>
  </si>
  <si>
    <t>QH_351</t>
  </si>
  <si>
    <t>检查列表显示列表刷新——穿戴状态变化</t>
  </si>
  <si>
    <t>QH_352</t>
  </si>
  <si>
    <t>检查列表显示列表刷新——背包中装备数量变化</t>
  </si>
  <si>
    <t>QH_353</t>
  </si>
  <si>
    <t>检查任意装备信息（名称、Icon、穿戴状态、整体控件显示）</t>
  </si>
  <si>
    <t>装备名称、ICON、穿戴状态均正确，控件布局、文字、大小均正确；</t>
  </si>
  <si>
    <t>QH_354</t>
  </si>
  <si>
    <t>检查装备宝石信息——未镶嵌宝石</t>
  </si>
  <si>
    <t>当装备未镶嵌宝石，且背包内有可镶嵌宝石时，装备信息中显示“有可镶嵌宝石”：反之，后一条件不成立时，装备信息中不显示宝石信息：</t>
  </si>
  <si>
    <t>通过</t>
  </si>
  <si>
    <t>QH_355</t>
  </si>
  <si>
    <t>检查装备宝石信息——已镶嵌一颗宝石</t>
  </si>
  <si>
    <t>当装备已镶嵌一颗宝石，且另一孔已开放，且背包中存在可镶嵌宝石，装备信息中会显示一颗已镶嵌宝石icon，右上会显示小红点；反之，后俩条件任一成立时，不显示小红点；</t>
  </si>
  <si>
    <t>已镶嵌宝石icon显示错误，无小红点</t>
  </si>
  <si>
    <t>QH_356</t>
  </si>
  <si>
    <t>检查装备宝石信息——已镶嵌两颗宝石</t>
  </si>
  <si>
    <t>当装备已镶嵌两颗宝石，装备信息中正确显示已镶嵌宝石的icon，icon顺序按照开放等级由左至右显示</t>
  </si>
  <si>
    <t>QH_357</t>
  </si>
  <si>
    <t>登录游戏，首次打开镶嵌界面检查默认选择装备</t>
  </si>
  <si>
    <t>QH_358</t>
  </si>
  <si>
    <t>在装备列表选择任意装备，关闭镶嵌界面重新打开，检查选择装备</t>
  </si>
  <si>
    <t>没记住选择的装备</t>
  </si>
  <si>
    <t>QH_359</t>
  </si>
  <si>
    <t>在装备列表选择任意装备，关闭镶嵌界面，把该装备从身上或背包移除，打开镶嵌界面，检查选择装备</t>
  </si>
  <si>
    <t>该装备已不在背包或身上，恢复默认选择</t>
  </si>
  <si>
    <t>QH_360</t>
  </si>
  <si>
    <t>切换选择任意装备，检查镶嵌界面刷新</t>
  </si>
  <si>
    <t>该装备被高亮选中，右侧装备信息、可镶嵌宝石界面刷新</t>
  </si>
  <si>
    <t>QH_361</t>
  </si>
  <si>
    <t>列表显示为空，右侧镶嵌区域为空，可镶嵌界面为空</t>
  </si>
  <si>
    <t>bug-659</t>
  </si>
  <si>
    <t>QH_362</t>
  </si>
  <si>
    <t>QH_363</t>
  </si>
  <si>
    <t>选择任意装备，检查装备信息显示（非宝石信息）</t>
  </si>
  <si>
    <t>装备ICON、名称、等级、类型、属性、穿戴状态均显示正确</t>
  </si>
  <si>
    <t>QH_364</t>
  </si>
  <si>
    <t>选择任意装备，检查第一个宝石孔开放设置</t>
  </si>
  <si>
    <t>第一个孔30级装备开放，未达30级孔位显示被锁；达到30级时，可镶嵌宝石；</t>
  </si>
  <si>
    <t>QH_365</t>
  </si>
  <si>
    <t>选择任意装备，检查第二个宝石孔开放设置</t>
  </si>
  <si>
    <t>第二个孔60级装备开放，未达60级孔位显示被锁；达到60级时，可镶嵌宝石；</t>
  </si>
  <si>
    <t>QH_366</t>
  </si>
  <si>
    <t>选择任意装备，检查宝石信息（未镶嵌）</t>
  </si>
  <si>
    <t>宝石孔位开放，但未镶嵌宝石时，孔位左侧显示“+”号，右侧提示“添加宝石”；</t>
  </si>
  <si>
    <t>QH_367</t>
  </si>
  <si>
    <t>点击后右侧列表显示可镶嵌宝石列表，右下出现“镶嵌”按钮</t>
  </si>
  <si>
    <t>镶嵌按钮显示规则建议</t>
  </si>
  <si>
    <t>QH_368</t>
  </si>
  <si>
    <t>选择任意装备，检查宝石信息（已镶嵌）</t>
  </si>
  <si>
    <t>宝石孔位已镶嵌宝石时，孔位显示宝石信息，ICON、名称、效果显示正确；</t>
  </si>
  <si>
    <t>名称显示不全</t>
  </si>
  <si>
    <t>QH_369</t>
  </si>
  <si>
    <t>点击后右侧列表显示可替换宝石列表，右下显示“替换”按钮</t>
  </si>
  <si>
    <t>镶嵌宝石列表</t>
  </si>
  <si>
    <t>QH_370</t>
  </si>
  <si>
    <t>UI测试（区域位置和大小、控件布局和属性、文字）</t>
  </si>
  <si>
    <t>位置大小均正确、控件分布正确、属性设置正确、文字格式正确</t>
  </si>
  <si>
    <t>镶嵌有问题、待测</t>
  </si>
  <si>
    <t>QH_371</t>
  </si>
  <si>
    <t>列表内容</t>
  </si>
  <si>
    <t>选择任意装备，选择可用孔位，检查右侧列表内容</t>
  </si>
  <si>
    <t>右侧列表显示镶嵌说明界面；</t>
  </si>
  <si>
    <t>QH_372</t>
  </si>
  <si>
    <t>显示装备可镶嵌的宝石类型，ICON、名称内容正确，UI布局正确</t>
  </si>
  <si>
    <t>QH_373</t>
  </si>
  <si>
    <t>镶嵌和取下说明，内容正确，文字格式正确</t>
  </si>
  <si>
    <t>QH_374</t>
  </si>
  <si>
    <t>选择任意装备，选择未镶嵌宝石孔位，在右侧列表中点击任意可镶嵌宝石</t>
  </si>
  <si>
    <t>显示该类型可镶嵌宝石列表 ，列表UI属性正确；</t>
  </si>
  <si>
    <t>QH_375</t>
  </si>
  <si>
    <t>宝石列表显示范围为可镶嵌最高等级以内宝石</t>
  </si>
  <si>
    <t>QH_376</t>
  </si>
  <si>
    <t>宝石列表读取范围为背包，背包刷新时可正确刷新</t>
  </si>
  <si>
    <t>QH_377</t>
  </si>
  <si>
    <t>宝石列表排序规则为等级（高至低）；</t>
  </si>
  <si>
    <t>QH_378</t>
  </si>
  <si>
    <t>宝石信息显示正确（ICON、名称、数量、效果）；</t>
  </si>
  <si>
    <t>QH_379</t>
  </si>
  <si>
    <t>点击宝石，呈选中状态，显示正确；</t>
  </si>
  <si>
    <t>QH_380</t>
  </si>
  <si>
    <t>选中宝石后，点击任意装备或孔位，右侧列表正确重置；</t>
  </si>
  <si>
    <t>QH_381</t>
  </si>
  <si>
    <t>选择任意装备，点击已镶嵌宝石孔位，在右侧列表中点击任意可镶嵌宝石</t>
  </si>
  <si>
    <t>显示该类型可替换宝石列表，列表UI属性正确</t>
  </si>
  <si>
    <t>QH_382</t>
  </si>
  <si>
    <t>QH_383</t>
  </si>
  <si>
    <t>QH_384</t>
  </si>
  <si>
    <t>宝石列表排序规则为等级（高到低）；</t>
  </si>
  <si>
    <t>QH_385</t>
  </si>
  <si>
    <t>QH_386</t>
  </si>
  <si>
    <t>QH_387</t>
  </si>
  <si>
    <t>选中宝石后，点击任意装备或孔位，界面正确重置；</t>
  </si>
  <si>
    <t>镶嵌和替换</t>
  </si>
  <si>
    <t>QH_388</t>
  </si>
  <si>
    <t>镶嵌</t>
  </si>
  <si>
    <t>检查镶嵌按钮</t>
  </si>
  <si>
    <t>位置、资源均正确，点击开始镶嵌流程判定</t>
  </si>
  <si>
    <t>QH_389</t>
  </si>
  <si>
    <t>镶嵌条件 —— 宝石孔位（其他条件满足）</t>
  </si>
  <si>
    <t>宝石孔位未开放时，不可镶嵌；</t>
  </si>
  <si>
    <t>QH_390</t>
  </si>
  <si>
    <t>宝石孔位已有宝石，不可镶嵌</t>
  </si>
  <si>
    <t>QH_391</t>
  </si>
  <si>
    <t>宝石孔位开放，且该孔位没有宝石，可镶嵌;</t>
  </si>
  <si>
    <t>QH_392</t>
  </si>
  <si>
    <t>镶嵌条件 —— 可镶嵌宝石（其他条件满足）</t>
  </si>
  <si>
    <t>可镶嵌列表中存在可镶嵌宝石时，可镶嵌；</t>
  </si>
  <si>
    <t>QH_393</t>
  </si>
  <si>
    <t>可镶嵌列表中没有可镶嵌宝石时，不可镶嵌</t>
  </si>
  <si>
    <t>QH_394</t>
  </si>
  <si>
    <t>镶嵌条件 —— 角色状态（其他条件满足）</t>
  </si>
  <si>
    <t>战斗状态不可镶嵌宝石</t>
  </si>
  <si>
    <t>QH_395</t>
  </si>
  <si>
    <t>非战斗状态可以镶嵌宝石</t>
  </si>
  <si>
    <t>QH_396</t>
  </si>
  <si>
    <t>条件均满足，依次选择装备，孔位，宝石，点击“镶嵌”按钮</t>
  </si>
  <si>
    <t>提示“镶嵌成功”，属性提升提示正确，宝石属性生效；</t>
  </si>
  <si>
    <t>QH_397</t>
  </si>
  <si>
    <t>装备列表中该装备信息刷新正确，显示已镶嵌宝石icon；</t>
  </si>
  <si>
    <t>QH_398</t>
  </si>
  <si>
    <t>中间装备信息-宝石信息刷新正确，显示已镶嵌宝石信息；</t>
  </si>
  <si>
    <t>QH_399</t>
  </si>
  <si>
    <t>右侧可镶嵌宝石列表刷新正确，背包中宝石数量变化正确；</t>
  </si>
  <si>
    <t>QH_400</t>
  </si>
  <si>
    <t>“镶嵌”按钮变为“替换”按钮</t>
  </si>
  <si>
    <t>QH_401</t>
  </si>
  <si>
    <t>替换</t>
  </si>
  <si>
    <t>检查替换按钮</t>
  </si>
  <si>
    <t>位置、资源均正确，点击开始替换流程判定</t>
  </si>
  <si>
    <t>QH_402</t>
  </si>
  <si>
    <t>替换条件 —— 宝石孔位（其他条件满足）</t>
  </si>
  <si>
    <t>孔位没有宝石，不可替换；</t>
  </si>
  <si>
    <t>QH_403</t>
  </si>
  <si>
    <t>孔位已有宝石，可替换;</t>
  </si>
  <si>
    <t>QH_404</t>
  </si>
  <si>
    <t>替换条件 —— 可替换宝石（其他条件满足）</t>
  </si>
  <si>
    <t>可替换列表中存在可替换宝石时，可替换；</t>
  </si>
  <si>
    <t>QH_405</t>
  </si>
  <si>
    <t>可替换列表中没有可替换宝石时，不可替换</t>
  </si>
  <si>
    <t>QH_406</t>
  </si>
  <si>
    <t>替换条件 —— 背包空间（其他条件满足）</t>
  </si>
  <si>
    <t>背包空间大于0时，可替换；</t>
  </si>
  <si>
    <t>QH_407</t>
  </si>
  <si>
    <t>背包中不存在同类宝石，背包空间等于0时，不可替换，提示“背包空间不足”；</t>
  </si>
  <si>
    <t>QH_408</t>
  </si>
  <si>
    <t>背包中存在同类宝石，背包空间等于0时，可替换</t>
  </si>
  <si>
    <t>QH_409</t>
  </si>
  <si>
    <t>替换条件 —— 角色状态（其他条件满足）</t>
  </si>
  <si>
    <t>战斗状态不可取下宝石</t>
  </si>
  <si>
    <t>QH_410</t>
  </si>
  <si>
    <t>非战斗状态可以取下宝石</t>
  </si>
  <si>
    <t>QH_411</t>
  </si>
  <si>
    <t>条件均满足，依次选择装备，孔位，宝石，点击“替换”按钮</t>
  </si>
  <si>
    <t>提示“替换成功”，属性变化提示正确，新宝石属性生效；</t>
  </si>
  <si>
    <t>提示错误，非宝石属性</t>
  </si>
  <si>
    <t>QH_412</t>
  </si>
  <si>
    <t>装备列表中该装备信息刷新正确，显示已替换宝石icon；</t>
  </si>
  <si>
    <t>QH_413</t>
  </si>
  <si>
    <t>中间装备信息-宝石信息刷新正确，显示已替换宝石信息；</t>
  </si>
  <si>
    <t>QH_414</t>
  </si>
  <si>
    <t>右侧可替换宝石列表刷新正确，背包中宝石数量变化正确；</t>
  </si>
  <si>
    <t>宝石取下</t>
  </si>
  <si>
    <t>QH_415</t>
  </si>
  <si>
    <t>取下</t>
  </si>
  <si>
    <t>检查取下按钮</t>
  </si>
  <si>
    <t>位置、资源均正确，点击开始取下流程判定</t>
  </si>
  <si>
    <t>QH_416</t>
  </si>
  <si>
    <t>取下条件 —— 宝石孔位（其他条件满足）</t>
  </si>
  <si>
    <t>孔位没有宝石，不可取下，提示“未镶嵌宝石”；</t>
  </si>
  <si>
    <t>QH_417</t>
  </si>
  <si>
    <t>孔位已有宝石，可取下;</t>
  </si>
  <si>
    <t>QH_418</t>
  </si>
  <si>
    <t>取下条件 —— 背包空间（其他条件满足）</t>
  </si>
  <si>
    <t>背包空间大于0时，可取下；</t>
  </si>
  <si>
    <t>QH_419</t>
  </si>
  <si>
    <t>背包中不存在同类宝石，背包空间等于0时，不可取下，提示“背包空间不足”；</t>
  </si>
  <si>
    <t>QH_420</t>
  </si>
  <si>
    <t>背包中存在同类宝石，背包空间等于0时，可取下</t>
  </si>
  <si>
    <t>QH_421</t>
  </si>
  <si>
    <t>取下条件 —— 角色状态（其他条件满足）</t>
  </si>
  <si>
    <t>QH_422</t>
  </si>
  <si>
    <t>QH_423</t>
  </si>
  <si>
    <t>条件均满足，依次选择装备，孔位，点击“取下”按钮</t>
  </si>
  <si>
    <t>提示“卸下成功”，属性损失提示正确，宝石属性失效；</t>
  </si>
  <si>
    <t>取下无属性更新提示</t>
  </si>
  <si>
    <t>QH_424</t>
  </si>
  <si>
    <t>装备列表中该装备信息刷新正确，已取下宝石icon消失；</t>
  </si>
  <si>
    <t>QH_425</t>
  </si>
  <si>
    <t>两孔都有宝石且选择第一个宝石取下时，第二个孔位宝石会递补到第一孔位，第二孔位变空；其他情况该孔位变空；</t>
  </si>
  <si>
    <t>QH_426</t>
  </si>
  <si>
    <t>右侧宝石列表宝石数量刷新正确</t>
  </si>
  <si>
    <t>QH_427</t>
  </si>
  <si>
    <t>背包中该宝石数量变化正确；</t>
  </si>
  <si>
    <t>六、相关资源</t>
  </si>
  <si>
    <r>
      <rPr>
        <sz val="10"/>
        <color indexed="8"/>
        <rFont val="微软雅黑"/>
        <charset val="134"/>
      </rPr>
      <t>测试结果(</t>
    </r>
    <r>
      <rPr>
        <sz val="10"/>
        <color indexed="12"/>
        <rFont val="微软雅黑"/>
        <charset val="134"/>
      </rPr>
      <t>P</t>
    </r>
    <r>
      <rPr>
        <sz val="10"/>
        <color indexed="8"/>
        <rFont val="微软雅黑"/>
        <charset val="134"/>
      </rPr>
      <t>/</t>
    </r>
    <r>
      <rPr>
        <sz val="10"/>
        <color indexed="10"/>
        <rFont val="微软雅黑"/>
        <charset val="134"/>
      </rPr>
      <t>F</t>
    </r>
    <r>
      <rPr>
        <sz val="10"/>
        <color indexed="8"/>
        <rFont val="微软雅黑"/>
        <charset val="134"/>
      </rPr>
      <t>)</t>
    </r>
  </si>
  <si>
    <t>音效</t>
  </si>
  <si>
    <t>QH_428</t>
  </si>
  <si>
    <t>界面音效</t>
  </si>
  <si>
    <t>检查强化系统操作音效——强度（切换页签、下拉菜单、点击按钮、打造合成镶嵌修理结果音效等）</t>
  </si>
  <si>
    <t>各类控件操作音效强度正确</t>
  </si>
  <si>
    <t>QH_429</t>
  </si>
  <si>
    <t>检查强化系统操作音效——内容（切换页签、下拉菜单、点击按钮、打造合成镶嵌修理结果音效等）</t>
  </si>
  <si>
    <t>各类控件操作音效内容正确</t>
  </si>
  <si>
    <t>数值</t>
  </si>
  <si>
    <t>QH_430</t>
  </si>
  <si>
    <t>装备打造</t>
  </si>
  <si>
    <t>检查z装备打造显示列表（装备信息）</t>
  </si>
  <si>
    <t>各等级段装备配置正确，包括icon、名称、等级、类型</t>
  </si>
  <si>
    <t>bug-656 武器类型配置错误</t>
  </si>
  <si>
    <t>QH_431</t>
  </si>
  <si>
    <t>检查z装备打造显示列表（材料类型和数量）</t>
  </si>
  <si>
    <t>所有装备所需材料类型和数量配置正确</t>
  </si>
  <si>
    <t>QH_432</t>
  </si>
  <si>
    <t>检查z装备打造显示列表（银币消耗）</t>
  </si>
  <si>
    <t>所有装备银币消耗配置正确</t>
  </si>
  <si>
    <t>QH_433</t>
  </si>
  <si>
    <t>检查z装备表——基本属性范围（普通打造）</t>
  </si>
  <si>
    <t>所有装备普通打造的配置生成范围和属性类型正确</t>
  </si>
  <si>
    <t>QH_434</t>
  </si>
  <si>
    <t>检查z装备表——基本属性范围（强化打造）</t>
  </si>
  <si>
    <t>所有装备强化打造的配置生成范围和属性类型正确</t>
  </si>
  <si>
    <t>QH_435</t>
  </si>
  <si>
    <t>检查z装备表——强化属性（普通打造）</t>
  </si>
  <si>
    <t>所有装备普通打造的生成类型、范围和数量正确</t>
  </si>
  <si>
    <t>QH_436</t>
  </si>
  <si>
    <t>检查z装备表——强化属性（强化打造）</t>
  </si>
  <si>
    <t>所有装备强化打造的生成类型、范围和数量正确</t>
  </si>
  <si>
    <t>QH_437</t>
  </si>
  <si>
    <t>检查z装备表——特效（普通打造）</t>
  </si>
  <si>
    <t>所有装备普通打造的生成类型、数量正确</t>
  </si>
  <si>
    <t>QH_438</t>
  </si>
  <si>
    <t>检查z装备表——特效（强化打造）</t>
  </si>
  <si>
    <t>所有装备强化打造的生成类型、数量正确</t>
  </si>
  <si>
    <t>QH_439</t>
  </si>
  <si>
    <t>检查z装备表——特技（普通打造）</t>
  </si>
  <si>
    <t>QH_440</t>
  </si>
  <si>
    <t>检查z装备表——特技（强化打造）</t>
  </si>
  <si>
    <t>QH_441</t>
  </si>
  <si>
    <t>装备修理</t>
  </si>
  <si>
    <t>检查z装备表——修理材料类型和数量（普通）</t>
  </si>
  <si>
    <t>所有装备普通修理配置的材料类型和数量正确</t>
  </si>
  <si>
    <t>QH_442</t>
  </si>
  <si>
    <t>检查z装备表——修理材料类型和数量（特殊）</t>
  </si>
  <si>
    <t>所有装备特殊修理配置的材料类型和数量正确</t>
  </si>
  <si>
    <t>QH_443</t>
  </si>
  <si>
    <t>检查z装备表——失败几率（普通）</t>
  </si>
  <si>
    <t>所有装备普通修理配置的失败几率正确</t>
  </si>
  <si>
    <t>QH_444</t>
  </si>
  <si>
    <t>检查z装备表——金币消耗（普通和特殊）</t>
  </si>
  <si>
    <t>所有装备普通修理配置的金币消耗正确</t>
  </si>
  <si>
    <t>QH_445</t>
  </si>
  <si>
    <t>所有装备特殊修理配置的金币消耗正确</t>
  </si>
  <si>
    <t>QH_446</t>
  </si>
  <si>
    <t>宝石合成</t>
  </si>
  <si>
    <t>检查d宝石表——宝石信息（宝石属性）</t>
  </si>
  <si>
    <t>所有宝石信息配置正确</t>
  </si>
  <si>
    <t>QH_447</t>
  </si>
  <si>
    <t>检查d道具合成表——宝石消耗</t>
  </si>
  <si>
    <t>所有宝石合成所需材料和数量正确</t>
  </si>
  <si>
    <t>QH_448</t>
  </si>
  <si>
    <t>检查d道具合成表——成功几率</t>
  </si>
  <si>
    <t>所有宝石合成成功率配置正确</t>
  </si>
  <si>
    <t>QH_449</t>
  </si>
  <si>
    <t>检查d道具合成表——失败返还</t>
  </si>
  <si>
    <t>所有宝石合成失败返还数量和类型配置正确</t>
  </si>
  <si>
    <t>修改时间</t>
  </si>
  <si>
    <t>修改人</t>
  </si>
  <si>
    <t>案例编码</t>
  </si>
  <si>
    <t>修改内容</t>
  </si>
  <si>
    <r>
      <rPr>
        <sz val="10"/>
        <rFont val="微软雅黑"/>
        <charset val="134"/>
      </rPr>
      <t>一、执行情况
Case总量 283</t>
    </r>
    <r>
      <rPr>
        <sz val="10"/>
        <color indexed="8"/>
        <rFont val="微软雅黑"/>
        <charset val="134"/>
      </rPr>
      <t xml:space="preserve">
P</t>
    </r>
    <r>
      <rPr>
        <sz val="10"/>
        <rFont val="微软雅黑"/>
        <charset val="134"/>
      </rPr>
      <t xml:space="preserve">  </t>
    </r>
    <r>
      <rPr>
        <sz val="10"/>
        <color indexed="8"/>
        <rFont val="微软雅黑"/>
        <charset val="134"/>
      </rPr>
      <t>2</t>
    </r>
    <r>
      <rPr>
        <sz val="10"/>
        <rFont val="微软雅黑"/>
        <charset val="134"/>
      </rPr>
      <t>78</t>
    </r>
    <r>
      <rPr>
        <sz val="10"/>
        <color indexed="8"/>
        <rFont val="微软雅黑"/>
        <charset val="134"/>
      </rPr>
      <t xml:space="preserve">
F</t>
    </r>
    <r>
      <rPr>
        <sz val="10"/>
        <rFont val="微软雅黑"/>
        <charset val="134"/>
      </rPr>
      <t xml:space="preserve">  5</t>
    </r>
    <r>
      <rPr>
        <sz val="10"/>
        <color indexed="8"/>
        <rFont val="微软雅黑"/>
        <charset val="134"/>
      </rPr>
      <t xml:space="preserve">
B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/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Bug</t>
    </r>
    <r>
      <rPr>
        <sz val="10"/>
        <rFont val="微软雅黑"/>
        <charset val="134"/>
      </rPr>
      <t xml:space="preserve">  4
</t>
    </r>
    <r>
      <rPr>
        <sz val="10"/>
        <color indexed="8"/>
        <rFont val="微软雅黑"/>
        <charset val="134"/>
      </rPr>
      <t xml:space="preserve">
二、系统完成度评估
已完成:</t>
    </r>
    <r>
      <rPr>
        <sz val="10"/>
        <rFont val="微软雅黑"/>
        <charset val="134"/>
      </rPr>
      <t>98.23</t>
    </r>
    <r>
      <rPr>
        <sz val="10"/>
        <color indexed="8"/>
        <rFont val="微软雅黑"/>
        <charset val="134"/>
      </rPr>
      <t>%
三、近期需要完成的功能:
无
非近期需要完成的功能:
无
四、Bug分布
功能性Bug：</t>
    </r>
    <r>
      <rPr>
        <sz val="10"/>
        <rFont val="微软雅黑"/>
        <charset val="134"/>
      </rPr>
      <t>25</t>
    </r>
    <r>
      <rPr>
        <sz val="10"/>
        <color indexed="8"/>
        <rFont val="微软雅黑"/>
        <charset val="134"/>
      </rPr>
      <t>%
界面Bug：</t>
    </r>
    <r>
      <rPr>
        <sz val="10"/>
        <rFont val="微软雅黑"/>
        <charset val="134"/>
      </rPr>
      <t>75</t>
    </r>
    <r>
      <rPr>
        <sz val="10"/>
        <color indexed="8"/>
        <rFont val="微软雅黑"/>
        <charset val="134"/>
      </rPr>
      <t>%
五、较严重的Bug
无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</si>
</sst>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16">
    <font>
      <sz val="11"/>
      <color indexed="8"/>
      <name val="宋体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4"/>
      <color indexed="8"/>
      <name val="微软雅黑"/>
      <charset val="134"/>
    </font>
    <font>
      <sz val="11"/>
      <color indexed="8"/>
      <name val="微软雅黑"/>
      <charset val="134"/>
    </font>
    <font>
      <sz val="10"/>
      <color indexed="12"/>
      <name val="微软雅黑"/>
      <charset val="134"/>
    </font>
    <font>
      <b/>
      <sz val="14"/>
      <color indexed="8"/>
      <name val="微软雅黑"/>
      <charset val="134"/>
    </font>
    <font>
      <b/>
      <sz val="11"/>
      <name val="微软雅黑"/>
      <charset val="134"/>
    </font>
    <font>
      <sz val="10"/>
      <color indexed="10"/>
      <name val="微软雅黑"/>
      <charset val="134"/>
    </font>
    <font>
      <sz val="11"/>
      <color indexed="10"/>
      <name val="微软雅黑"/>
      <charset val="134"/>
    </font>
    <font>
      <sz val="11"/>
      <name val="微软雅黑"/>
      <charset val="134"/>
    </font>
    <font>
      <b/>
      <sz val="10"/>
      <color indexed="8"/>
      <name val="微软雅黑"/>
      <charset val="134"/>
    </font>
    <font>
      <sz val="10"/>
      <color indexed="55"/>
      <name val="微软雅黑"/>
      <charset val="134"/>
    </font>
    <font>
      <sz val="10"/>
      <color indexed="58"/>
      <name val="微软雅黑"/>
      <charset val="134"/>
    </font>
    <font>
      <sz val="10"/>
      <color indexed="11"/>
      <name val="微软雅黑"/>
      <charset val="134"/>
    </font>
  </fonts>
  <fills count="1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1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6" fillId="0" borderId="2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9" borderId="3" xfId="0" applyFont="1" applyFill="1" applyBorder="1" applyAlignment="1">
      <alignment horizontal="left" vertical="center"/>
    </xf>
    <xf numFmtId="0" fontId="1" fillId="9" borderId="4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5" xfId="0" applyNumberFormat="1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4" fillId="0" borderId="0" xfId="0" applyFont="1" applyBorder="1">
      <alignment vertical="center"/>
    </xf>
    <xf numFmtId="0" fontId="1" fillId="4" borderId="3" xfId="0" applyFont="1" applyFill="1" applyBorder="1" applyAlignment="1">
      <alignment horizontal="center" vertical="center"/>
    </xf>
    <xf numFmtId="0" fontId="2" fillId="10" borderId="2" xfId="0" applyFont="1" applyFill="1" applyBorder="1" applyAlignment="1" applyProtection="1">
      <alignment horizontal="center" vertical="center" wrapText="1"/>
    </xf>
    <xf numFmtId="49" fontId="1" fillId="0" borderId="3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 applyProtection="1">
      <alignment vertical="center" wrapText="1"/>
    </xf>
    <xf numFmtId="0" fontId="9" fillId="0" borderId="2" xfId="0" applyFont="1" applyBorder="1">
      <alignment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10" fillId="0" borderId="5" xfId="0" applyFont="1" applyBorder="1">
      <alignment vertical="center"/>
    </xf>
    <xf numFmtId="0" fontId="11" fillId="0" borderId="2" xfId="0" applyFont="1" applyBorder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2" fillId="3" borderId="5" xfId="0" applyFont="1" applyFill="1" applyBorder="1" applyAlignment="1" applyProtection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left" vertical="center"/>
    </xf>
    <xf numFmtId="0" fontId="1" fillId="11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12" borderId="2" xfId="0" applyFont="1" applyFill="1" applyBorder="1" applyAlignment="1">
      <alignment vertical="center" wrapText="1"/>
    </xf>
    <xf numFmtId="0" fontId="1" fillId="12" borderId="2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Fill="1" applyBorder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>
      <alignment vertical="center"/>
    </xf>
    <xf numFmtId="0" fontId="1" fillId="0" borderId="2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horizontal="center"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0"/>
  </sheetPr>
  <dimension ref="A1:HO1178"/>
  <sheetViews>
    <sheetView tabSelected="1" workbookViewId="0">
      <pane ySplit="6" topLeftCell="A445" activePane="bottomLeft" state="frozen"/>
      <selection/>
      <selection pane="bottomLeft" activeCell="C464" sqref="C464:C467"/>
    </sheetView>
  </sheetViews>
  <sheetFormatPr defaultColWidth="9" defaultRowHeight="16.5"/>
  <cols>
    <col min="1" max="1" width="10.5" style="13" customWidth="1"/>
    <col min="2" max="2" width="12.75" style="13" customWidth="1"/>
    <col min="3" max="3" width="18.375" style="19" customWidth="1"/>
    <col min="4" max="4" width="38.625" style="20" customWidth="1"/>
    <col min="5" max="5" width="43.625" style="20" customWidth="1"/>
    <col min="6" max="8" width="9" style="13"/>
    <col min="9" max="9" width="9.125" style="21" customWidth="1"/>
    <col min="10" max="12" width="9" style="13"/>
    <col min="13" max="13" width="15.625" style="20" customWidth="1"/>
    <col min="14" max="223" width="9" style="18"/>
    <col min="224" max="16384" width="9" style="13"/>
  </cols>
  <sheetData>
    <row r="1" s="14" customFormat="1" ht="21" spans="1:223">
      <c r="A1" s="22" t="s">
        <v>0</v>
      </c>
      <c r="B1" s="23"/>
      <c r="C1" s="23"/>
      <c r="D1" s="23"/>
      <c r="E1" s="23"/>
      <c r="F1" s="23"/>
      <c r="G1" s="23"/>
      <c r="H1" s="23"/>
      <c r="I1" s="60"/>
      <c r="J1" s="61"/>
      <c r="K1" s="62"/>
      <c r="L1" s="62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  <c r="CI1" s="63"/>
      <c r="CJ1" s="63"/>
      <c r="CK1" s="63"/>
      <c r="CL1" s="63"/>
      <c r="CM1" s="63"/>
      <c r="CN1" s="63"/>
      <c r="CO1" s="63"/>
      <c r="CP1" s="63"/>
      <c r="CQ1" s="63"/>
      <c r="CR1" s="63"/>
      <c r="CS1" s="63"/>
      <c r="CT1" s="63"/>
      <c r="CU1" s="63"/>
      <c r="CV1" s="63"/>
      <c r="CW1" s="63"/>
      <c r="CX1" s="63"/>
      <c r="CY1" s="63"/>
      <c r="CZ1" s="63"/>
      <c r="DA1" s="63"/>
      <c r="DB1" s="63"/>
      <c r="DC1" s="63"/>
      <c r="DD1" s="63"/>
      <c r="DE1" s="63"/>
      <c r="DF1" s="63"/>
      <c r="DG1" s="63"/>
      <c r="DH1" s="63"/>
      <c r="DI1" s="63"/>
      <c r="DJ1" s="63"/>
      <c r="DK1" s="63"/>
      <c r="DL1" s="63"/>
      <c r="DM1" s="63"/>
      <c r="DN1" s="63"/>
      <c r="DO1" s="63"/>
      <c r="DP1" s="63"/>
      <c r="DQ1" s="63"/>
      <c r="DR1" s="63"/>
      <c r="DS1" s="63"/>
      <c r="DT1" s="63"/>
      <c r="DU1" s="63"/>
      <c r="DV1" s="63"/>
      <c r="DW1" s="63"/>
      <c r="DX1" s="63"/>
      <c r="DY1" s="63"/>
      <c r="DZ1" s="63"/>
      <c r="EA1" s="63"/>
      <c r="EB1" s="63"/>
      <c r="EC1" s="63"/>
      <c r="ED1" s="63"/>
      <c r="EE1" s="63"/>
      <c r="EF1" s="63"/>
      <c r="EG1" s="63"/>
      <c r="EH1" s="63"/>
      <c r="EI1" s="63"/>
      <c r="EJ1" s="63"/>
      <c r="EK1" s="63"/>
      <c r="EL1" s="63"/>
      <c r="EM1" s="63"/>
      <c r="EN1" s="63"/>
      <c r="EO1" s="63"/>
      <c r="EP1" s="63"/>
      <c r="EQ1" s="63"/>
      <c r="ER1" s="63"/>
      <c r="ES1" s="63"/>
      <c r="ET1" s="63"/>
      <c r="EU1" s="63"/>
      <c r="EV1" s="63"/>
      <c r="EW1" s="63"/>
      <c r="EX1" s="63"/>
      <c r="EY1" s="63"/>
      <c r="EZ1" s="63"/>
      <c r="FA1" s="63"/>
      <c r="FB1" s="63"/>
      <c r="FC1" s="63"/>
      <c r="FD1" s="63"/>
      <c r="FE1" s="63"/>
      <c r="FF1" s="63"/>
      <c r="FG1" s="63"/>
      <c r="FH1" s="63"/>
      <c r="FI1" s="63"/>
      <c r="FJ1" s="63"/>
      <c r="FK1" s="63"/>
      <c r="FL1" s="63"/>
      <c r="FM1" s="63"/>
      <c r="FN1" s="63"/>
      <c r="FO1" s="63"/>
      <c r="FP1" s="63"/>
      <c r="FQ1" s="63"/>
      <c r="FR1" s="63"/>
      <c r="FS1" s="63"/>
      <c r="FT1" s="63"/>
      <c r="FU1" s="63"/>
      <c r="FV1" s="63"/>
      <c r="FW1" s="63"/>
      <c r="FX1" s="63"/>
      <c r="FY1" s="63"/>
      <c r="FZ1" s="63"/>
      <c r="GA1" s="63"/>
      <c r="GB1" s="63"/>
      <c r="GC1" s="63"/>
      <c r="GD1" s="63"/>
      <c r="GE1" s="63"/>
      <c r="GF1" s="63"/>
      <c r="GG1" s="63"/>
      <c r="GH1" s="63"/>
      <c r="GI1" s="63"/>
      <c r="GJ1" s="63"/>
      <c r="GK1" s="63"/>
      <c r="GL1" s="63"/>
      <c r="GM1" s="63"/>
      <c r="GN1" s="63"/>
      <c r="GO1" s="63"/>
      <c r="GP1" s="63"/>
      <c r="GQ1" s="63"/>
      <c r="GR1" s="63"/>
      <c r="GS1" s="63"/>
      <c r="GT1" s="63"/>
      <c r="GU1" s="63"/>
      <c r="GV1" s="63"/>
      <c r="GW1" s="63"/>
      <c r="GX1" s="63"/>
      <c r="GY1" s="63"/>
      <c r="GZ1" s="63"/>
      <c r="HA1" s="63"/>
      <c r="HB1" s="63"/>
      <c r="HC1" s="63"/>
      <c r="HD1" s="63"/>
      <c r="HE1" s="63"/>
      <c r="HF1" s="63"/>
      <c r="HG1" s="63"/>
      <c r="HH1" s="63"/>
      <c r="HI1" s="63"/>
      <c r="HJ1" s="63"/>
      <c r="HK1" s="63"/>
      <c r="HL1" s="63"/>
      <c r="HM1" s="63"/>
      <c r="HN1" s="63"/>
      <c r="HO1" s="63"/>
    </row>
    <row r="2" spans="1:19">
      <c r="A2" s="24" t="s">
        <v>1</v>
      </c>
      <c r="B2" s="19" t="s">
        <v>2</v>
      </c>
      <c r="C2" s="25" t="s">
        <v>3</v>
      </c>
      <c r="D2" s="26"/>
      <c r="E2" s="27" t="s">
        <v>4</v>
      </c>
      <c r="F2" s="28" t="s">
        <v>5</v>
      </c>
      <c r="G2" s="28"/>
      <c r="H2" s="28">
        <v>1</v>
      </c>
      <c r="I2" s="64">
        <v>2</v>
      </c>
      <c r="J2" s="28">
        <v>3</v>
      </c>
      <c r="K2" s="28">
        <v>4</v>
      </c>
      <c r="L2" s="28">
        <v>5</v>
      </c>
      <c r="M2" s="65" t="s">
        <v>6</v>
      </c>
      <c r="N2" s="6" t="s">
        <v>7</v>
      </c>
      <c r="O2" s="6">
        <f t="shared" ref="O2:S2" si="0">SUM(O3:O6)</f>
        <v>337</v>
      </c>
      <c r="P2" s="6">
        <f>SUM(P3:P6)</f>
        <v>278</v>
      </c>
      <c r="Q2" s="6">
        <f>SUM(Q3:Q6)</f>
        <v>0</v>
      </c>
      <c r="R2" s="6">
        <f>SUM(R3:R6)</f>
        <v>337</v>
      </c>
      <c r="S2" s="6">
        <f>SUM(S3:S6)</f>
        <v>344</v>
      </c>
    </row>
    <row r="3" spans="1:19">
      <c r="A3" s="24" t="s">
        <v>8</v>
      </c>
      <c r="B3" s="29" t="s">
        <v>9</v>
      </c>
      <c r="C3" s="30" t="s">
        <v>10</v>
      </c>
      <c r="D3" s="31"/>
      <c r="E3" s="27" t="s">
        <v>11</v>
      </c>
      <c r="F3" s="32" t="s">
        <v>12</v>
      </c>
      <c r="G3" s="32"/>
      <c r="H3" s="33" t="s">
        <v>13</v>
      </c>
      <c r="I3" s="66" t="s">
        <v>14</v>
      </c>
      <c r="J3" s="67" t="s">
        <v>15</v>
      </c>
      <c r="K3" s="67" t="s">
        <v>16</v>
      </c>
      <c r="L3" s="67" t="s">
        <v>17</v>
      </c>
      <c r="M3" s="68"/>
      <c r="N3" s="16" t="s">
        <v>18</v>
      </c>
      <c r="O3" s="6">
        <f>COUNTIF(H:H,"P")</f>
        <v>191</v>
      </c>
      <c r="P3" s="6">
        <f>COUNTIF(I:I,"P")</f>
        <v>249</v>
      </c>
      <c r="Q3" s="6">
        <f t="shared" ref="Q3:S3" si="1">COUNTIF(G:G,"P")</f>
        <v>0</v>
      </c>
      <c r="R3" s="6">
        <f>COUNTIF(H:H,"P")</f>
        <v>191</v>
      </c>
      <c r="S3" s="6">
        <f>COUNTIF(I:I,"P")</f>
        <v>249</v>
      </c>
    </row>
    <row r="4" spans="1:19">
      <c r="A4" s="13" t="s">
        <v>19</v>
      </c>
      <c r="B4" s="19" t="s">
        <v>20</v>
      </c>
      <c r="C4" s="34" t="s">
        <v>21</v>
      </c>
      <c r="D4" s="35"/>
      <c r="E4" s="27" t="s">
        <v>22</v>
      </c>
      <c r="F4" s="32" t="s">
        <v>23</v>
      </c>
      <c r="G4" s="32"/>
      <c r="H4" s="33"/>
      <c r="I4" s="66"/>
      <c r="J4" s="67"/>
      <c r="K4" s="67"/>
      <c r="L4" s="67"/>
      <c r="M4" s="68"/>
      <c r="N4" s="69" t="s">
        <v>24</v>
      </c>
      <c r="O4" s="6">
        <f>COUNTIF(H:H,"F")</f>
        <v>72</v>
      </c>
      <c r="P4" s="6">
        <f>COUNTIF(I:I,"F")</f>
        <v>29</v>
      </c>
      <c r="Q4" s="6">
        <f t="shared" ref="Q4:S4" si="2">COUNTIF(G:G,"F")</f>
        <v>0</v>
      </c>
      <c r="R4" s="6">
        <f>COUNTIF(H:H,"F")</f>
        <v>72</v>
      </c>
      <c r="S4" s="6">
        <f>COUNTIF(I:I,"F")</f>
        <v>29</v>
      </c>
    </row>
    <row r="5" ht="13.5" customHeight="1" spans="1:19">
      <c r="A5" s="13" t="s">
        <v>25</v>
      </c>
      <c r="B5" s="19" t="s">
        <v>26</v>
      </c>
      <c r="C5" s="36" t="s">
        <v>27</v>
      </c>
      <c r="D5" s="37"/>
      <c r="E5" s="38" t="s">
        <v>28</v>
      </c>
      <c r="F5" s="32" t="s">
        <v>29</v>
      </c>
      <c r="G5" s="32"/>
      <c r="H5" s="33" t="s">
        <v>30</v>
      </c>
      <c r="I5" s="66" t="s">
        <v>31</v>
      </c>
      <c r="J5" s="67" t="s">
        <v>32</v>
      </c>
      <c r="K5" s="67" t="s">
        <v>31</v>
      </c>
      <c r="L5" s="67" t="s">
        <v>31</v>
      </c>
      <c r="M5" s="68"/>
      <c r="N5" s="6" t="s">
        <v>33</v>
      </c>
      <c r="O5" s="6">
        <f>COUNTIF(H:H,"B")</f>
        <v>36</v>
      </c>
      <c r="P5" s="6">
        <f t="shared" ref="P5:S5" si="3">COUNTIF(F:F,"B")</f>
        <v>0</v>
      </c>
      <c r="Q5" s="6">
        <f>COUNTIF(G:G,"B")</f>
        <v>0</v>
      </c>
      <c r="R5" s="6">
        <f>COUNTIF(H:H,"B")</f>
        <v>36</v>
      </c>
      <c r="S5" s="6">
        <f>COUNTIF(I:I,"B")</f>
        <v>36</v>
      </c>
    </row>
    <row r="6" spans="1:19">
      <c r="A6" s="39" t="s">
        <v>34</v>
      </c>
      <c r="B6" s="40"/>
      <c r="C6" s="40"/>
      <c r="D6" s="40"/>
      <c r="E6" s="40"/>
      <c r="F6" s="40"/>
      <c r="G6" s="40"/>
      <c r="H6" s="40"/>
      <c r="I6" s="70"/>
      <c r="J6" s="40"/>
      <c r="K6" s="40"/>
      <c r="L6" s="40"/>
      <c r="M6" s="71"/>
      <c r="N6" s="13" t="s">
        <v>35</v>
      </c>
      <c r="O6" s="6">
        <f>COUNTIF(H:H,"/")</f>
        <v>38</v>
      </c>
      <c r="P6" s="6">
        <f t="shared" ref="P6:S6" si="4">COUNTIF(F:F,"/")</f>
        <v>0</v>
      </c>
      <c r="Q6" s="6">
        <f>COUNTIF(G:G,"/")</f>
        <v>0</v>
      </c>
      <c r="R6" s="6">
        <f>COUNTIF(H:H,"/")</f>
        <v>38</v>
      </c>
      <c r="S6" s="6">
        <f>COUNTIF(I:I,"/")</f>
        <v>30</v>
      </c>
    </row>
    <row r="7" s="15" customFormat="1" spans="1:223">
      <c r="A7" s="41" t="s">
        <v>36</v>
      </c>
      <c r="B7" s="41"/>
      <c r="C7" s="41"/>
      <c r="D7" s="41"/>
      <c r="E7" s="41"/>
      <c r="F7" s="41"/>
      <c r="G7" s="41"/>
      <c r="H7" s="42"/>
      <c r="I7" s="72"/>
      <c r="J7" s="42"/>
      <c r="K7" s="42"/>
      <c r="L7" s="42"/>
      <c r="M7" s="41"/>
      <c r="N7" s="73" t="s">
        <v>37</v>
      </c>
      <c r="O7" s="74">
        <v>0</v>
      </c>
      <c r="P7" s="74"/>
      <c r="Q7" s="74"/>
      <c r="R7" s="74"/>
      <c r="S7" s="7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/>
      <c r="EF7" s="84"/>
      <c r="EG7" s="84"/>
      <c r="EH7" s="84"/>
      <c r="EI7" s="84"/>
      <c r="EJ7" s="84"/>
      <c r="EK7" s="84"/>
      <c r="EL7" s="84"/>
      <c r="EM7" s="84"/>
      <c r="EN7" s="84"/>
      <c r="EO7" s="84"/>
      <c r="EP7" s="84"/>
      <c r="EQ7" s="84"/>
      <c r="ER7" s="84"/>
      <c r="ES7" s="84"/>
      <c r="ET7" s="84"/>
      <c r="EU7" s="84"/>
      <c r="EV7" s="84"/>
      <c r="EW7" s="84"/>
      <c r="EX7" s="84"/>
      <c r="EY7" s="84"/>
      <c r="EZ7" s="84"/>
      <c r="FA7" s="84"/>
      <c r="FB7" s="84"/>
      <c r="FC7" s="84"/>
      <c r="FD7" s="84"/>
      <c r="FE7" s="84"/>
      <c r="FF7" s="84"/>
      <c r="FG7" s="84"/>
      <c r="FH7" s="84"/>
      <c r="FI7" s="84"/>
      <c r="FJ7" s="84"/>
      <c r="FK7" s="84"/>
      <c r="FL7" s="84"/>
      <c r="FM7" s="84"/>
      <c r="FN7" s="84"/>
      <c r="FO7" s="84"/>
      <c r="FP7" s="84"/>
      <c r="FQ7" s="84"/>
      <c r="FR7" s="84"/>
      <c r="FS7" s="84"/>
      <c r="FT7" s="84"/>
      <c r="FU7" s="84"/>
      <c r="FV7" s="84"/>
      <c r="FW7" s="84"/>
      <c r="FX7" s="84"/>
      <c r="FY7" s="84"/>
      <c r="FZ7" s="84"/>
      <c r="GA7" s="84"/>
      <c r="GB7" s="84"/>
      <c r="GC7" s="84"/>
      <c r="GD7" s="84"/>
      <c r="GE7" s="84"/>
      <c r="GF7" s="84"/>
      <c r="GG7" s="84"/>
      <c r="GH7" s="84"/>
      <c r="GI7" s="84"/>
      <c r="GJ7" s="84"/>
      <c r="GK7" s="84"/>
      <c r="GL7" s="84"/>
      <c r="GM7" s="84"/>
      <c r="GN7" s="84"/>
      <c r="GO7" s="84"/>
      <c r="GP7" s="84"/>
      <c r="GQ7" s="84"/>
      <c r="GR7" s="84"/>
      <c r="GS7" s="84"/>
      <c r="GT7" s="84"/>
      <c r="GU7" s="84"/>
      <c r="GV7" s="84"/>
      <c r="GW7" s="84"/>
      <c r="GX7" s="84"/>
      <c r="GY7" s="84"/>
      <c r="GZ7" s="84"/>
      <c r="HA7" s="84"/>
      <c r="HB7" s="84"/>
      <c r="HC7" s="84"/>
      <c r="HD7" s="84"/>
      <c r="HE7" s="84"/>
      <c r="HF7" s="84"/>
      <c r="HG7" s="84"/>
      <c r="HH7" s="84"/>
      <c r="HI7" s="84"/>
      <c r="HJ7" s="84"/>
      <c r="HK7" s="84"/>
      <c r="HL7" s="84"/>
      <c r="HM7" s="84"/>
      <c r="HN7" s="84"/>
      <c r="HO7" s="84"/>
    </row>
    <row r="8" spans="1:13">
      <c r="A8" s="43" t="s">
        <v>38</v>
      </c>
      <c r="B8" s="44" t="s">
        <v>39</v>
      </c>
      <c r="C8" s="44" t="s">
        <v>40</v>
      </c>
      <c r="D8" s="45" t="s">
        <v>41</v>
      </c>
      <c r="E8" s="27" t="s">
        <v>42</v>
      </c>
      <c r="F8" s="44" t="s">
        <v>43</v>
      </c>
      <c r="G8" s="46" t="s">
        <v>44</v>
      </c>
      <c r="H8" s="46" t="s">
        <v>45</v>
      </c>
      <c r="I8" s="75"/>
      <c r="J8" s="75"/>
      <c r="K8" s="75"/>
      <c r="L8" s="76"/>
      <c r="M8" s="77" t="s">
        <v>6</v>
      </c>
    </row>
    <row r="9" spans="1:12">
      <c r="A9" s="19" t="s">
        <v>46</v>
      </c>
      <c r="B9" s="19" t="s">
        <v>47</v>
      </c>
      <c r="C9" s="19" t="s">
        <v>48</v>
      </c>
      <c r="D9" s="20" t="s">
        <v>49</v>
      </c>
      <c r="E9" s="20" t="s">
        <v>50</v>
      </c>
      <c r="H9" s="47" t="s">
        <v>33</v>
      </c>
      <c r="I9" s="78" t="s">
        <v>33</v>
      </c>
      <c r="J9" s="78" t="s">
        <v>33</v>
      </c>
      <c r="K9" s="78" t="s">
        <v>33</v>
      </c>
      <c r="L9" s="79" t="s">
        <v>18</v>
      </c>
    </row>
    <row r="10" spans="1:12">
      <c r="A10" s="19"/>
      <c r="B10" s="19" t="s">
        <v>51</v>
      </c>
      <c r="D10" s="20" t="s">
        <v>52</v>
      </c>
      <c r="E10" s="20" t="s">
        <v>53</v>
      </c>
      <c r="H10" s="13" t="s">
        <v>33</v>
      </c>
      <c r="I10" s="19" t="s">
        <v>33</v>
      </c>
      <c r="J10" s="19" t="s">
        <v>33</v>
      </c>
      <c r="K10" s="19" t="s">
        <v>33</v>
      </c>
      <c r="L10" s="79" t="s">
        <v>18</v>
      </c>
    </row>
    <row r="11" spans="1:12">
      <c r="A11" s="19"/>
      <c r="B11" s="19" t="s">
        <v>54</v>
      </c>
      <c r="D11" s="20" t="s">
        <v>55</v>
      </c>
      <c r="E11" s="20" t="s">
        <v>56</v>
      </c>
      <c r="H11" s="13" t="s">
        <v>18</v>
      </c>
      <c r="I11" s="79" t="s">
        <v>18</v>
      </c>
      <c r="J11" s="79" t="s">
        <v>18</v>
      </c>
      <c r="K11" s="79" t="s">
        <v>18</v>
      </c>
      <c r="L11" s="79" t="s">
        <v>18</v>
      </c>
    </row>
    <row r="12" spans="1:12">
      <c r="A12" s="19"/>
      <c r="B12" s="19" t="s">
        <v>57</v>
      </c>
      <c r="D12" s="20" t="s">
        <v>58</v>
      </c>
      <c r="E12" s="20" t="s">
        <v>59</v>
      </c>
      <c r="H12" s="13" t="s">
        <v>18</v>
      </c>
      <c r="I12" s="79" t="s">
        <v>18</v>
      </c>
      <c r="J12" s="79" t="s">
        <v>18</v>
      </c>
      <c r="K12" s="79" t="s">
        <v>18</v>
      </c>
      <c r="L12" s="79" t="s">
        <v>18</v>
      </c>
    </row>
    <row r="13" spans="1:12">
      <c r="A13" s="19"/>
      <c r="B13" s="19" t="s">
        <v>60</v>
      </c>
      <c r="C13" s="19" t="s">
        <v>61</v>
      </c>
      <c r="D13" s="20" t="s">
        <v>62</v>
      </c>
      <c r="E13" s="20" t="s">
        <v>50</v>
      </c>
      <c r="H13" s="13" t="s">
        <v>33</v>
      </c>
      <c r="I13" s="19" t="s">
        <v>33</v>
      </c>
      <c r="J13" s="19" t="s">
        <v>33</v>
      </c>
      <c r="K13" s="19" t="s">
        <v>33</v>
      </c>
      <c r="L13" s="79" t="s">
        <v>18</v>
      </c>
    </row>
    <row r="14" spans="1:12">
      <c r="A14" s="19"/>
      <c r="B14" s="19" t="s">
        <v>63</v>
      </c>
      <c r="D14" s="20" t="s">
        <v>64</v>
      </c>
      <c r="E14" s="20" t="s">
        <v>53</v>
      </c>
      <c r="H14" s="13" t="s">
        <v>33</v>
      </c>
      <c r="I14" s="19" t="s">
        <v>33</v>
      </c>
      <c r="J14" s="19" t="s">
        <v>33</v>
      </c>
      <c r="K14" s="19" t="s">
        <v>33</v>
      </c>
      <c r="L14" s="79" t="s">
        <v>18</v>
      </c>
    </row>
    <row r="15" spans="1:12">
      <c r="A15" s="19"/>
      <c r="B15" s="19" t="s">
        <v>65</v>
      </c>
      <c r="D15" s="20" t="s">
        <v>55</v>
      </c>
      <c r="E15" s="20" t="s">
        <v>56</v>
      </c>
      <c r="H15" s="13" t="s">
        <v>18</v>
      </c>
      <c r="I15" s="79" t="s">
        <v>18</v>
      </c>
      <c r="J15" s="79" t="s">
        <v>18</v>
      </c>
      <c r="K15" s="79" t="s">
        <v>18</v>
      </c>
      <c r="L15" s="79" t="s">
        <v>18</v>
      </c>
    </row>
    <row r="16" spans="1:12">
      <c r="A16" s="19"/>
      <c r="B16" s="19" t="s">
        <v>66</v>
      </c>
      <c r="D16" s="20" t="s">
        <v>58</v>
      </c>
      <c r="E16" s="20" t="s">
        <v>59</v>
      </c>
      <c r="H16" s="13" t="s">
        <v>18</v>
      </c>
      <c r="I16" s="79" t="s">
        <v>18</v>
      </c>
      <c r="J16" s="79" t="s">
        <v>18</v>
      </c>
      <c r="K16" s="79" t="s">
        <v>18</v>
      </c>
      <c r="L16" s="79" t="s">
        <v>18</v>
      </c>
    </row>
    <row r="17" ht="33" spans="1:12">
      <c r="A17" s="19"/>
      <c r="B17" s="19" t="s">
        <v>67</v>
      </c>
      <c r="C17" s="19" t="s">
        <v>68</v>
      </c>
      <c r="D17" s="20" t="s">
        <v>69</v>
      </c>
      <c r="E17" s="20" t="s">
        <v>70</v>
      </c>
      <c r="H17" s="13" t="s">
        <v>33</v>
      </c>
      <c r="I17" s="19" t="s">
        <v>33</v>
      </c>
      <c r="J17" s="79" t="s">
        <v>18</v>
      </c>
      <c r="K17" s="79" t="s">
        <v>18</v>
      </c>
      <c r="L17" s="79" t="s">
        <v>18</v>
      </c>
    </row>
    <row r="18" ht="33" spans="1:13">
      <c r="A18" s="19"/>
      <c r="B18" s="19" t="s">
        <v>71</v>
      </c>
      <c r="C18" s="19" t="s">
        <v>72</v>
      </c>
      <c r="D18" s="20" t="s">
        <v>73</v>
      </c>
      <c r="E18" s="20" t="s">
        <v>70</v>
      </c>
      <c r="H18" s="13" t="s">
        <v>24</v>
      </c>
      <c r="I18" s="79" t="s">
        <v>18</v>
      </c>
      <c r="J18" s="80" t="s">
        <v>24</v>
      </c>
      <c r="K18" s="80"/>
      <c r="L18" s="79" t="s">
        <v>18</v>
      </c>
      <c r="M18" s="81" t="s">
        <v>74</v>
      </c>
    </row>
    <row r="19" ht="33" spans="1:12">
      <c r="A19" s="19" t="s">
        <v>75</v>
      </c>
      <c r="B19" s="19" t="s">
        <v>76</v>
      </c>
      <c r="C19" s="19" t="s">
        <v>77</v>
      </c>
      <c r="D19" s="20" t="s">
        <v>78</v>
      </c>
      <c r="E19" s="20" t="s">
        <v>79</v>
      </c>
      <c r="H19" s="13" t="s">
        <v>18</v>
      </c>
      <c r="I19" s="79" t="s">
        <v>18</v>
      </c>
      <c r="J19" s="79" t="s">
        <v>18</v>
      </c>
      <c r="K19" s="79" t="s">
        <v>18</v>
      </c>
      <c r="L19" s="79" t="s">
        <v>18</v>
      </c>
    </row>
    <row r="20" ht="33" spans="1:13">
      <c r="A20" s="19"/>
      <c r="B20" s="19" t="s">
        <v>80</v>
      </c>
      <c r="D20" s="20" t="s">
        <v>81</v>
      </c>
      <c r="E20" s="20" t="s">
        <v>79</v>
      </c>
      <c r="H20" s="13" t="s">
        <v>18</v>
      </c>
      <c r="I20" s="79" t="s">
        <v>18</v>
      </c>
      <c r="J20" s="19" t="s">
        <v>33</v>
      </c>
      <c r="K20" s="79" t="s">
        <v>18</v>
      </c>
      <c r="L20" s="79" t="s">
        <v>18</v>
      </c>
      <c r="M20" s="20" t="s">
        <v>82</v>
      </c>
    </row>
    <row r="21" ht="33" spans="1:12">
      <c r="A21" s="19"/>
      <c r="B21" s="19" t="s">
        <v>83</v>
      </c>
      <c r="C21" s="19" t="s">
        <v>84</v>
      </c>
      <c r="D21" s="20" t="s">
        <v>85</v>
      </c>
      <c r="E21" s="20" t="s">
        <v>86</v>
      </c>
      <c r="H21" s="13" t="s">
        <v>24</v>
      </c>
      <c r="I21" s="80" t="s">
        <v>24</v>
      </c>
      <c r="J21" s="79" t="s">
        <v>18</v>
      </c>
      <c r="K21" s="79" t="s">
        <v>18</v>
      </c>
      <c r="L21" s="79" t="s">
        <v>18</v>
      </c>
    </row>
    <row r="22" spans="1:12">
      <c r="A22" s="19"/>
      <c r="B22" s="19" t="s">
        <v>87</v>
      </c>
      <c r="C22" s="19" t="s">
        <v>88</v>
      </c>
      <c r="D22" s="20" t="s">
        <v>89</v>
      </c>
      <c r="E22" s="20" t="s">
        <v>90</v>
      </c>
      <c r="H22" s="13" t="s">
        <v>18</v>
      </c>
      <c r="I22" s="79" t="s">
        <v>18</v>
      </c>
      <c r="J22" s="79" t="s">
        <v>18</v>
      </c>
      <c r="K22" s="79" t="s">
        <v>18</v>
      </c>
      <c r="L22" s="79" t="s">
        <v>18</v>
      </c>
    </row>
    <row r="23" spans="1:13">
      <c r="A23" s="19"/>
      <c r="B23" s="19" t="s">
        <v>91</v>
      </c>
      <c r="D23" s="20" t="s">
        <v>92</v>
      </c>
      <c r="E23" s="20" t="s">
        <v>93</v>
      </c>
      <c r="H23" s="13" t="s">
        <v>24</v>
      </c>
      <c r="I23" s="80" t="s">
        <v>24</v>
      </c>
      <c r="J23" s="19" t="s">
        <v>33</v>
      </c>
      <c r="K23" s="79" t="s">
        <v>18</v>
      </c>
      <c r="L23" s="79" t="s">
        <v>18</v>
      </c>
      <c r="M23" s="20" t="s">
        <v>94</v>
      </c>
    </row>
    <row r="24" spans="1:13">
      <c r="A24" s="48"/>
      <c r="B24" s="19" t="s">
        <v>95</v>
      </c>
      <c r="C24" s="48"/>
      <c r="D24" s="49" t="s">
        <v>96</v>
      </c>
      <c r="E24" s="20" t="s">
        <v>97</v>
      </c>
      <c r="H24" s="13" t="s">
        <v>24</v>
      </c>
      <c r="I24" s="80" t="s">
        <v>24</v>
      </c>
      <c r="J24" s="19" t="s">
        <v>33</v>
      </c>
      <c r="K24" s="79" t="s">
        <v>18</v>
      </c>
      <c r="L24" s="79" t="s">
        <v>18</v>
      </c>
      <c r="M24" s="20" t="s">
        <v>98</v>
      </c>
    </row>
    <row r="25" s="16" customFormat="1" spans="1:223">
      <c r="A25" s="50" t="s">
        <v>99</v>
      </c>
      <c r="B25" s="19" t="s">
        <v>100</v>
      </c>
      <c r="C25" s="51" t="s">
        <v>101</v>
      </c>
      <c r="D25" s="52" t="s">
        <v>102</v>
      </c>
      <c r="E25" s="53" t="s">
        <v>103</v>
      </c>
      <c r="H25" s="54"/>
      <c r="I25" s="50"/>
      <c r="J25" s="50"/>
      <c r="K25" s="50"/>
      <c r="L25" s="50"/>
      <c r="M25" s="82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83"/>
      <c r="CX25" s="83"/>
      <c r="CY25" s="83"/>
      <c r="CZ25" s="83"/>
      <c r="DA25" s="83"/>
      <c r="DB25" s="83"/>
      <c r="DC25" s="83"/>
      <c r="DD25" s="83"/>
      <c r="DE25" s="83"/>
      <c r="DF25" s="83"/>
      <c r="DG25" s="83"/>
      <c r="DH25" s="83"/>
      <c r="DI25" s="83"/>
      <c r="DJ25" s="83"/>
      <c r="DK25" s="83"/>
      <c r="DL25" s="83"/>
      <c r="DM25" s="83"/>
      <c r="DN25" s="83"/>
      <c r="DO25" s="83"/>
      <c r="DP25" s="83"/>
      <c r="DQ25" s="83"/>
      <c r="DR25" s="83"/>
      <c r="DS25" s="83"/>
      <c r="DT25" s="83"/>
      <c r="DU25" s="83"/>
      <c r="DV25" s="83"/>
      <c r="DW25" s="83"/>
      <c r="DX25" s="83"/>
      <c r="DY25" s="83"/>
      <c r="DZ25" s="83"/>
      <c r="EA25" s="83"/>
      <c r="EB25" s="83"/>
      <c r="EC25" s="83"/>
      <c r="ED25" s="83"/>
      <c r="EE25" s="83"/>
      <c r="EF25" s="83"/>
      <c r="EG25" s="83"/>
      <c r="EH25" s="83"/>
      <c r="EI25" s="83"/>
      <c r="EJ25" s="83"/>
      <c r="EK25" s="83"/>
      <c r="EL25" s="83"/>
      <c r="EM25" s="83"/>
      <c r="EN25" s="83"/>
      <c r="EO25" s="83"/>
      <c r="EP25" s="83"/>
      <c r="EQ25" s="83"/>
      <c r="ER25" s="83"/>
      <c r="ES25" s="83"/>
      <c r="ET25" s="83"/>
      <c r="EU25" s="83"/>
      <c r="EV25" s="83"/>
      <c r="EW25" s="83"/>
      <c r="EX25" s="83"/>
      <c r="EY25" s="83"/>
      <c r="EZ25" s="83"/>
      <c r="FA25" s="83"/>
      <c r="FB25" s="83"/>
      <c r="FC25" s="83"/>
      <c r="FD25" s="83"/>
      <c r="FE25" s="83"/>
      <c r="FF25" s="83"/>
      <c r="FG25" s="83"/>
      <c r="FH25" s="83"/>
      <c r="FI25" s="83"/>
      <c r="FJ25" s="83"/>
      <c r="FK25" s="83"/>
      <c r="FL25" s="83"/>
      <c r="FM25" s="83"/>
      <c r="FN25" s="83"/>
      <c r="FO25" s="83"/>
      <c r="FP25" s="83"/>
      <c r="FQ25" s="83"/>
      <c r="FR25" s="83"/>
      <c r="FS25" s="83"/>
      <c r="FT25" s="83"/>
      <c r="FU25" s="83"/>
      <c r="FV25" s="83"/>
      <c r="FW25" s="83"/>
      <c r="FX25" s="83"/>
      <c r="FY25" s="83"/>
      <c r="FZ25" s="83"/>
      <c r="GA25" s="83"/>
      <c r="GB25" s="83"/>
      <c r="GC25" s="83"/>
      <c r="GD25" s="83"/>
      <c r="GE25" s="83"/>
      <c r="GF25" s="83"/>
      <c r="GG25" s="83"/>
      <c r="GH25" s="83"/>
      <c r="GI25" s="83"/>
      <c r="GJ25" s="83"/>
      <c r="GK25" s="83"/>
      <c r="GL25" s="83"/>
      <c r="GM25" s="83"/>
      <c r="GN25" s="83"/>
      <c r="GO25" s="83"/>
      <c r="GP25" s="83"/>
      <c r="GQ25" s="83"/>
      <c r="GR25" s="83"/>
      <c r="GS25" s="83"/>
      <c r="GT25" s="83"/>
      <c r="GU25" s="83"/>
      <c r="GV25" s="83"/>
      <c r="GW25" s="83"/>
      <c r="GX25" s="83"/>
      <c r="GY25" s="83"/>
      <c r="GZ25" s="83"/>
      <c r="HA25" s="83"/>
      <c r="HB25" s="83"/>
      <c r="HC25" s="83"/>
      <c r="HD25" s="83"/>
      <c r="HE25" s="83"/>
      <c r="HF25" s="83"/>
      <c r="HG25" s="83"/>
      <c r="HH25" s="83"/>
      <c r="HI25" s="83"/>
      <c r="HJ25" s="83"/>
      <c r="HK25" s="83"/>
      <c r="HL25" s="83"/>
      <c r="HM25" s="83"/>
      <c r="HN25" s="83"/>
      <c r="HO25" s="83"/>
    </row>
    <row r="26" s="16" customFormat="1" spans="1:223">
      <c r="A26" s="55"/>
      <c r="B26" s="19" t="s">
        <v>104</v>
      </c>
      <c r="C26" s="56"/>
      <c r="D26" s="57"/>
      <c r="E26" s="53" t="s">
        <v>105</v>
      </c>
      <c r="H26" s="54"/>
      <c r="I26" s="50"/>
      <c r="J26" s="50"/>
      <c r="K26" s="50"/>
      <c r="L26" s="50"/>
      <c r="M26" s="82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3"/>
      <c r="BP26" s="83"/>
      <c r="BQ26" s="83"/>
      <c r="BR26" s="83"/>
      <c r="BS26" s="83"/>
      <c r="BT26" s="83"/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83"/>
      <c r="CF26" s="83"/>
      <c r="CG26" s="83"/>
      <c r="CH26" s="83"/>
      <c r="CI26" s="83"/>
      <c r="CJ26" s="83"/>
      <c r="CK26" s="83"/>
      <c r="CL26" s="83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3"/>
      <c r="DA26" s="83"/>
      <c r="DB26" s="83"/>
      <c r="DC26" s="83"/>
      <c r="DD26" s="83"/>
      <c r="DE26" s="83"/>
      <c r="DF26" s="83"/>
      <c r="DG26" s="83"/>
      <c r="DH26" s="83"/>
      <c r="DI26" s="83"/>
      <c r="DJ26" s="83"/>
      <c r="DK26" s="83"/>
      <c r="DL26" s="83"/>
      <c r="DM26" s="83"/>
      <c r="DN26" s="83"/>
      <c r="DO26" s="83"/>
      <c r="DP26" s="83"/>
      <c r="DQ26" s="83"/>
      <c r="DR26" s="83"/>
      <c r="DS26" s="83"/>
      <c r="DT26" s="83"/>
      <c r="DU26" s="83"/>
      <c r="DV26" s="83"/>
      <c r="DW26" s="83"/>
      <c r="DX26" s="83"/>
      <c r="DY26" s="83"/>
      <c r="DZ26" s="83"/>
      <c r="EA26" s="83"/>
      <c r="EB26" s="83"/>
      <c r="EC26" s="83"/>
      <c r="ED26" s="83"/>
      <c r="EE26" s="83"/>
      <c r="EF26" s="83"/>
      <c r="EG26" s="83"/>
      <c r="EH26" s="83"/>
      <c r="EI26" s="83"/>
      <c r="EJ26" s="83"/>
      <c r="EK26" s="83"/>
      <c r="EL26" s="83"/>
      <c r="EM26" s="83"/>
      <c r="EN26" s="83"/>
      <c r="EO26" s="83"/>
      <c r="EP26" s="83"/>
      <c r="EQ26" s="83"/>
      <c r="ER26" s="83"/>
      <c r="ES26" s="83"/>
      <c r="ET26" s="83"/>
      <c r="EU26" s="83"/>
      <c r="EV26" s="83"/>
      <c r="EW26" s="83"/>
      <c r="EX26" s="83"/>
      <c r="EY26" s="83"/>
      <c r="EZ26" s="83"/>
      <c r="FA26" s="83"/>
      <c r="FB26" s="83"/>
      <c r="FC26" s="83"/>
      <c r="FD26" s="83"/>
      <c r="FE26" s="83"/>
      <c r="FF26" s="83"/>
      <c r="FG26" s="83"/>
      <c r="FH26" s="83"/>
      <c r="FI26" s="83"/>
      <c r="FJ26" s="83"/>
      <c r="FK26" s="83"/>
      <c r="FL26" s="83"/>
      <c r="FM26" s="83"/>
      <c r="FN26" s="83"/>
      <c r="FO26" s="83"/>
      <c r="FP26" s="83"/>
      <c r="FQ26" s="83"/>
      <c r="FR26" s="83"/>
      <c r="FS26" s="83"/>
      <c r="FT26" s="83"/>
      <c r="FU26" s="83"/>
      <c r="FV26" s="83"/>
      <c r="FW26" s="83"/>
      <c r="FX26" s="83"/>
      <c r="FY26" s="83"/>
      <c r="FZ26" s="83"/>
      <c r="GA26" s="83"/>
      <c r="GB26" s="83"/>
      <c r="GC26" s="83"/>
      <c r="GD26" s="83"/>
      <c r="GE26" s="83"/>
      <c r="GF26" s="83"/>
      <c r="GG26" s="83"/>
      <c r="GH26" s="83"/>
      <c r="GI26" s="83"/>
      <c r="GJ26" s="83"/>
      <c r="GK26" s="83"/>
      <c r="GL26" s="83"/>
      <c r="GM26" s="83"/>
      <c r="GN26" s="83"/>
      <c r="GO26" s="83"/>
      <c r="GP26" s="83"/>
      <c r="GQ26" s="83"/>
      <c r="GR26" s="83"/>
      <c r="GS26" s="83"/>
      <c r="GT26" s="83"/>
      <c r="GU26" s="83"/>
      <c r="GV26" s="83"/>
      <c r="GW26" s="83"/>
      <c r="GX26" s="83"/>
      <c r="GY26" s="83"/>
      <c r="GZ26" s="83"/>
      <c r="HA26" s="83"/>
      <c r="HB26" s="83"/>
      <c r="HC26" s="83"/>
      <c r="HD26" s="83"/>
      <c r="HE26" s="83"/>
      <c r="HF26" s="83"/>
      <c r="HG26" s="83"/>
      <c r="HH26" s="83"/>
      <c r="HI26" s="83"/>
      <c r="HJ26" s="83"/>
      <c r="HK26" s="83"/>
      <c r="HL26" s="83"/>
      <c r="HM26" s="83"/>
      <c r="HN26" s="83"/>
      <c r="HO26" s="83"/>
    </row>
    <row r="27" s="16" customFormat="1" spans="1:223">
      <c r="A27" s="55"/>
      <c r="B27" s="19" t="s">
        <v>106</v>
      </c>
      <c r="C27" s="56"/>
      <c r="D27" s="57"/>
      <c r="E27" s="58" t="s">
        <v>107</v>
      </c>
      <c r="H27" s="54"/>
      <c r="I27" s="50"/>
      <c r="J27" s="50"/>
      <c r="K27" s="50"/>
      <c r="L27" s="50"/>
      <c r="M27" s="82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3"/>
      <c r="CF27" s="83"/>
      <c r="CG27" s="83"/>
      <c r="CH27" s="83"/>
      <c r="CI27" s="83"/>
      <c r="CJ27" s="83"/>
      <c r="CK27" s="83"/>
      <c r="CL27" s="83"/>
      <c r="CM27" s="83"/>
      <c r="CN27" s="83"/>
      <c r="CO27" s="83"/>
      <c r="CP27" s="83"/>
      <c r="CQ27" s="83"/>
      <c r="CR27" s="83"/>
      <c r="CS27" s="83"/>
      <c r="CT27" s="83"/>
      <c r="CU27" s="83"/>
      <c r="CV27" s="83"/>
      <c r="CW27" s="83"/>
      <c r="CX27" s="83"/>
      <c r="CY27" s="83"/>
      <c r="CZ27" s="83"/>
      <c r="DA27" s="83"/>
      <c r="DB27" s="83"/>
      <c r="DC27" s="83"/>
      <c r="DD27" s="83"/>
      <c r="DE27" s="83"/>
      <c r="DF27" s="83"/>
      <c r="DG27" s="83"/>
      <c r="DH27" s="83"/>
      <c r="DI27" s="83"/>
      <c r="DJ27" s="83"/>
      <c r="DK27" s="83"/>
      <c r="DL27" s="83"/>
      <c r="DM27" s="83"/>
      <c r="DN27" s="83"/>
      <c r="DO27" s="83"/>
      <c r="DP27" s="83"/>
      <c r="DQ27" s="83"/>
      <c r="DR27" s="83"/>
      <c r="DS27" s="83"/>
      <c r="DT27" s="83"/>
      <c r="DU27" s="83"/>
      <c r="DV27" s="83"/>
      <c r="DW27" s="83"/>
      <c r="DX27" s="83"/>
      <c r="DY27" s="83"/>
      <c r="DZ27" s="83"/>
      <c r="EA27" s="83"/>
      <c r="EB27" s="83"/>
      <c r="EC27" s="83"/>
      <c r="ED27" s="83"/>
      <c r="EE27" s="83"/>
      <c r="EF27" s="83"/>
      <c r="EG27" s="83"/>
      <c r="EH27" s="83"/>
      <c r="EI27" s="83"/>
      <c r="EJ27" s="83"/>
      <c r="EK27" s="83"/>
      <c r="EL27" s="83"/>
      <c r="EM27" s="83"/>
      <c r="EN27" s="83"/>
      <c r="EO27" s="83"/>
      <c r="EP27" s="83"/>
      <c r="EQ27" s="83"/>
      <c r="ER27" s="83"/>
      <c r="ES27" s="83"/>
      <c r="ET27" s="83"/>
      <c r="EU27" s="83"/>
      <c r="EV27" s="83"/>
      <c r="EW27" s="83"/>
      <c r="EX27" s="83"/>
      <c r="EY27" s="83"/>
      <c r="EZ27" s="83"/>
      <c r="FA27" s="83"/>
      <c r="FB27" s="83"/>
      <c r="FC27" s="83"/>
      <c r="FD27" s="83"/>
      <c r="FE27" s="83"/>
      <c r="FF27" s="83"/>
      <c r="FG27" s="83"/>
      <c r="FH27" s="83"/>
      <c r="FI27" s="83"/>
      <c r="FJ27" s="83"/>
      <c r="FK27" s="83"/>
      <c r="FL27" s="83"/>
      <c r="FM27" s="83"/>
      <c r="FN27" s="83"/>
      <c r="FO27" s="83"/>
      <c r="FP27" s="83"/>
      <c r="FQ27" s="83"/>
      <c r="FR27" s="83"/>
      <c r="FS27" s="83"/>
      <c r="FT27" s="83"/>
      <c r="FU27" s="83"/>
      <c r="FV27" s="83"/>
      <c r="FW27" s="83"/>
      <c r="FX27" s="83"/>
      <c r="FY27" s="83"/>
      <c r="FZ27" s="83"/>
      <c r="GA27" s="83"/>
      <c r="GB27" s="83"/>
      <c r="GC27" s="83"/>
      <c r="GD27" s="83"/>
      <c r="GE27" s="83"/>
      <c r="GF27" s="83"/>
      <c r="GG27" s="83"/>
      <c r="GH27" s="83"/>
      <c r="GI27" s="83"/>
      <c r="GJ27" s="83"/>
      <c r="GK27" s="83"/>
      <c r="GL27" s="83"/>
      <c r="GM27" s="83"/>
      <c r="GN27" s="83"/>
      <c r="GO27" s="83"/>
      <c r="GP27" s="83"/>
      <c r="GQ27" s="83"/>
      <c r="GR27" s="83"/>
      <c r="GS27" s="83"/>
      <c r="GT27" s="83"/>
      <c r="GU27" s="83"/>
      <c r="GV27" s="83"/>
      <c r="GW27" s="83"/>
      <c r="GX27" s="83"/>
      <c r="GY27" s="83"/>
      <c r="GZ27" s="83"/>
      <c r="HA27" s="83"/>
      <c r="HB27" s="83"/>
      <c r="HC27" s="83"/>
      <c r="HD27" s="83"/>
      <c r="HE27" s="83"/>
      <c r="HF27" s="83"/>
      <c r="HG27" s="83"/>
      <c r="HH27" s="83"/>
      <c r="HI27" s="83"/>
      <c r="HJ27" s="83"/>
      <c r="HK27" s="83"/>
      <c r="HL27" s="83"/>
      <c r="HM27" s="83"/>
      <c r="HN27" s="83"/>
      <c r="HO27" s="83"/>
    </row>
    <row r="28" s="16" customFormat="1" spans="1:223">
      <c r="A28" s="55"/>
      <c r="B28" s="19" t="s">
        <v>108</v>
      </c>
      <c r="C28" s="56"/>
      <c r="D28" s="57"/>
      <c r="E28" s="58" t="s">
        <v>109</v>
      </c>
      <c r="H28" s="54"/>
      <c r="I28" s="50"/>
      <c r="J28" s="50"/>
      <c r="K28" s="50"/>
      <c r="L28" s="50"/>
      <c r="M28" s="82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/>
      <c r="CF28" s="83"/>
      <c r="CG28" s="83"/>
      <c r="CH28" s="83"/>
      <c r="CI28" s="83"/>
      <c r="CJ28" s="83"/>
      <c r="CK28" s="83"/>
      <c r="CL28" s="83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83"/>
      <c r="CX28" s="83"/>
      <c r="CY28" s="83"/>
      <c r="CZ28" s="83"/>
      <c r="DA28" s="83"/>
      <c r="DB28" s="83"/>
      <c r="DC28" s="83"/>
      <c r="DD28" s="83"/>
      <c r="DE28" s="83"/>
      <c r="DF28" s="83"/>
      <c r="DG28" s="83"/>
      <c r="DH28" s="83"/>
      <c r="DI28" s="83"/>
      <c r="DJ28" s="83"/>
      <c r="DK28" s="83"/>
      <c r="DL28" s="83"/>
      <c r="DM28" s="83"/>
      <c r="DN28" s="83"/>
      <c r="DO28" s="83"/>
      <c r="DP28" s="83"/>
      <c r="DQ28" s="83"/>
      <c r="DR28" s="83"/>
      <c r="DS28" s="83"/>
      <c r="DT28" s="83"/>
      <c r="DU28" s="83"/>
      <c r="DV28" s="83"/>
      <c r="DW28" s="83"/>
      <c r="DX28" s="83"/>
      <c r="DY28" s="83"/>
      <c r="DZ28" s="83"/>
      <c r="EA28" s="83"/>
      <c r="EB28" s="83"/>
      <c r="EC28" s="83"/>
      <c r="ED28" s="83"/>
      <c r="EE28" s="83"/>
      <c r="EF28" s="83"/>
      <c r="EG28" s="83"/>
      <c r="EH28" s="83"/>
      <c r="EI28" s="83"/>
      <c r="EJ28" s="83"/>
      <c r="EK28" s="83"/>
      <c r="EL28" s="83"/>
      <c r="EM28" s="83"/>
      <c r="EN28" s="83"/>
      <c r="EO28" s="83"/>
      <c r="EP28" s="83"/>
      <c r="EQ28" s="83"/>
      <c r="ER28" s="83"/>
      <c r="ES28" s="83"/>
      <c r="ET28" s="83"/>
      <c r="EU28" s="83"/>
      <c r="EV28" s="83"/>
      <c r="EW28" s="83"/>
      <c r="EX28" s="83"/>
      <c r="EY28" s="83"/>
      <c r="EZ28" s="83"/>
      <c r="FA28" s="83"/>
      <c r="FB28" s="83"/>
      <c r="FC28" s="83"/>
      <c r="FD28" s="83"/>
      <c r="FE28" s="83"/>
      <c r="FF28" s="83"/>
      <c r="FG28" s="83"/>
      <c r="FH28" s="83"/>
      <c r="FI28" s="83"/>
      <c r="FJ28" s="83"/>
      <c r="FK28" s="83"/>
      <c r="FL28" s="83"/>
      <c r="FM28" s="83"/>
      <c r="FN28" s="83"/>
      <c r="FO28" s="83"/>
      <c r="FP28" s="83"/>
      <c r="FQ28" s="83"/>
      <c r="FR28" s="83"/>
      <c r="FS28" s="83"/>
      <c r="FT28" s="83"/>
      <c r="FU28" s="83"/>
      <c r="FV28" s="83"/>
      <c r="FW28" s="83"/>
      <c r="FX28" s="83"/>
      <c r="FY28" s="83"/>
      <c r="FZ28" s="83"/>
      <c r="GA28" s="83"/>
      <c r="GB28" s="83"/>
      <c r="GC28" s="83"/>
      <c r="GD28" s="83"/>
      <c r="GE28" s="83"/>
      <c r="GF28" s="83"/>
      <c r="GG28" s="83"/>
      <c r="GH28" s="83"/>
      <c r="GI28" s="83"/>
      <c r="GJ28" s="83"/>
      <c r="GK28" s="83"/>
      <c r="GL28" s="83"/>
      <c r="GM28" s="83"/>
      <c r="GN28" s="83"/>
      <c r="GO28" s="83"/>
      <c r="GP28" s="83"/>
      <c r="GQ28" s="83"/>
      <c r="GR28" s="83"/>
      <c r="GS28" s="83"/>
      <c r="GT28" s="83"/>
      <c r="GU28" s="83"/>
      <c r="GV28" s="83"/>
      <c r="GW28" s="83"/>
      <c r="GX28" s="83"/>
      <c r="GY28" s="83"/>
      <c r="GZ28" s="83"/>
      <c r="HA28" s="83"/>
      <c r="HB28" s="83"/>
      <c r="HC28" s="83"/>
      <c r="HD28" s="83"/>
      <c r="HE28" s="83"/>
      <c r="HF28" s="83"/>
      <c r="HG28" s="83"/>
      <c r="HH28" s="83"/>
      <c r="HI28" s="83"/>
      <c r="HJ28" s="83"/>
      <c r="HK28" s="83"/>
      <c r="HL28" s="83"/>
      <c r="HM28" s="83"/>
      <c r="HN28" s="83"/>
      <c r="HO28" s="83"/>
    </row>
    <row r="29" s="16" customFormat="1" spans="1:223">
      <c r="A29" s="55"/>
      <c r="B29" s="19" t="s">
        <v>110</v>
      </c>
      <c r="C29" s="56"/>
      <c r="D29" s="57"/>
      <c r="E29" s="58" t="s">
        <v>111</v>
      </c>
      <c r="H29" s="54"/>
      <c r="I29" s="50"/>
      <c r="J29" s="50"/>
      <c r="K29" s="50"/>
      <c r="L29" s="50"/>
      <c r="M29" s="82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3"/>
      <c r="CF29" s="83"/>
      <c r="CG29" s="83"/>
      <c r="CH29" s="83"/>
      <c r="CI29" s="83"/>
      <c r="CJ29" s="83"/>
      <c r="CK29" s="83"/>
      <c r="CL29" s="83"/>
      <c r="CM29" s="83"/>
      <c r="CN29" s="83"/>
      <c r="CO29" s="83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3"/>
      <c r="DA29" s="83"/>
      <c r="DB29" s="83"/>
      <c r="DC29" s="83"/>
      <c r="DD29" s="83"/>
      <c r="DE29" s="83"/>
      <c r="DF29" s="83"/>
      <c r="DG29" s="83"/>
      <c r="DH29" s="83"/>
      <c r="DI29" s="83"/>
      <c r="DJ29" s="83"/>
      <c r="DK29" s="83"/>
      <c r="DL29" s="83"/>
      <c r="DM29" s="83"/>
      <c r="DN29" s="83"/>
      <c r="DO29" s="83"/>
      <c r="DP29" s="83"/>
      <c r="DQ29" s="83"/>
      <c r="DR29" s="83"/>
      <c r="DS29" s="83"/>
      <c r="DT29" s="83"/>
      <c r="DU29" s="83"/>
      <c r="DV29" s="83"/>
      <c r="DW29" s="83"/>
      <c r="DX29" s="83"/>
      <c r="DY29" s="83"/>
      <c r="DZ29" s="83"/>
      <c r="EA29" s="83"/>
      <c r="EB29" s="83"/>
      <c r="EC29" s="83"/>
      <c r="ED29" s="83"/>
      <c r="EE29" s="83"/>
      <c r="EF29" s="83"/>
      <c r="EG29" s="83"/>
      <c r="EH29" s="83"/>
      <c r="EI29" s="83"/>
      <c r="EJ29" s="83"/>
      <c r="EK29" s="83"/>
      <c r="EL29" s="83"/>
      <c r="EM29" s="83"/>
      <c r="EN29" s="83"/>
      <c r="EO29" s="83"/>
      <c r="EP29" s="83"/>
      <c r="EQ29" s="83"/>
      <c r="ER29" s="83"/>
      <c r="ES29" s="83"/>
      <c r="ET29" s="83"/>
      <c r="EU29" s="83"/>
      <c r="EV29" s="83"/>
      <c r="EW29" s="83"/>
      <c r="EX29" s="83"/>
      <c r="EY29" s="83"/>
      <c r="EZ29" s="83"/>
      <c r="FA29" s="83"/>
      <c r="FB29" s="83"/>
      <c r="FC29" s="83"/>
      <c r="FD29" s="83"/>
      <c r="FE29" s="83"/>
      <c r="FF29" s="83"/>
      <c r="FG29" s="83"/>
      <c r="FH29" s="83"/>
      <c r="FI29" s="83"/>
      <c r="FJ29" s="83"/>
      <c r="FK29" s="83"/>
      <c r="FL29" s="83"/>
      <c r="FM29" s="83"/>
      <c r="FN29" s="83"/>
      <c r="FO29" s="83"/>
      <c r="FP29" s="83"/>
      <c r="FQ29" s="83"/>
      <c r="FR29" s="83"/>
      <c r="FS29" s="83"/>
      <c r="FT29" s="83"/>
      <c r="FU29" s="83"/>
      <c r="FV29" s="83"/>
      <c r="FW29" s="83"/>
      <c r="FX29" s="83"/>
      <c r="FY29" s="83"/>
      <c r="FZ29" s="83"/>
      <c r="GA29" s="83"/>
      <c r="GB29" s="83"/>
      <c r="GC29" s="83"/>
      <c r="GD29" s="83"/>
      <c r="GE29" s="83"/>
      <c r="GF29" s="83"/>
      <c r="GG29" s="83"/>
      <c r="GH29" s="83"/>
      <c r="GI29" s="83"/>
      <c r="GJ29" s="83"/>
      <c r="GK29" s="83"/>
      <c r="GL29" s="83"/>
      <c r="GM29" s="83"/>
      <c r="GN29" s="83"/>
      <c r="GO29" s="83"/>
      <c r="GP29" s="83"/>
      <c r="GQ29" s="83"/>
      <c r="GR29" s="83"/>
      <c r="GS29" s="83"/>
      <c r="GT29" s="83"/>
      <c r="GU29" s="83"/>
      <c r="GV29" s="83"/>
      <c r="GW29" s="83"/>
      <c r="GX29" s="83"/>
      <c r="GY29" s="83"/>
      <c r="GZ29" s="83"/>
      <c r="HA29" s="83"/>
      <c r="HB29" s="83"/>
      <c r="HC29" s="83"/>
      <c r="HD29" s="83"/>
      <c r="HE29" s="83"/>
      <c r="HF29" s="83"/>
      <c r="HG29" s="83"/>
      <c r="HH29" s="83"/>
      <c r="HI29" s="83"/>
      <c r="HJ29" s="83"/>
      <c r="HK29" s="83"/>
      <c r="HL29" s="83"/>
      <c r="HM29" s="83"/>
      <c r="HN29" s="83"/>
      <c r="HO29" s="83"/>
    </row>
    <row r="30" s="16" customFormat="1" spans="1:223">
      <c r="A30" s="55"/>
      <c r="B30" s="19" t="s">
        <v>112</v>
      </c>
      <c r="C30" s="56"/>
      <c r="D30" s="57"/>
      <c r="E30" s="58" t="s">
        <v>113</v>
      </c>
      <c r="H30" s="54"/>
      <c r="I30" s="50"/>
      <c r="J30" s="50"/>
      <c r="K30" s="50"/>
      <c r="L30" s="50"/>
      <c r="M30" s="82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  <c r="CB30" s="83"/>
      <c r="CC30" s="83"/>
      <c r="CD30" s="83"/>
      <c r="CE30" s="83"/>
      <c r="CF30" s="83"/>
      <c r="CG30" s="83"/>
      <c r="CH30" s="83"/>
      <c r="CI30" s="83"/>
      <c r="CJ30" s="83"/>
      <c r="CK30" s="83"/>
      <c r="CL30" s="83"/>
      <c r="CM30" s="83"/>
      <c r="CN30" s="83"/>
      <c r="CO30" s="83"/>
      <c r="CP30" s="83"/>
      <c r="CQ30" s="83"/>
      <c r="CR30" s="83"/>
      <c r="CS30" s="83"/>
      <c r="CT30" s="83"/>
      <c r="CU30" s="83"/>
      <c r="CV30" s="83"/>
      <c r="CW30" s="83"/>
      <c r="CX30" s="83"/>
      <c r="CY30" s="83"/>
      <c r="CZ30" s="83"/>
      <c r="DA30" s="83"/>
      <c r="DB30" s="83"/>
      <c r="DC30" s="83"/>
      <c r="DD30" s="83"/>
      <c r="DE30" s="83"/>
      <c r="DF30" s="83"/>
      <c r="DG30" s="83"/>
      <c r="DH30" s="83"/>
      <c r="DI30" s="83"/>
      <c r="DJ30" s="83"/>
      <c r="DK30" s="83"/>
      <c r="DL30" s="83"/>
      <c r="DM30" s="83"/>
      <c r="DN30" s="83"/>
      <c r="DO30" s="83"/>
      <c r="DP30" s="83"/>
      <c r="DQ30" s="83"/>
      <c r="DR30" s="83"/>
      <c r="DS30" s="83"/>
      <c r="DT30" s="83"/>
      <c r="DU30" s="83"/>
      <c r="DV30" s="83"/>
      <c r="DW30" s="83"/>
      <c r="DX30" s="83"/>
      <c r="DY30" s="83"/>
      <c r="DZ30" s="83"/>
      <c r="EA30" s="83"/>
      <c r="EB30" s="83"/>
      <c r="EC30" s="83"/>
      <c r="ED30" s="83"/>
      <c r="EE30" s="83"/>
      <c r="EF30" s="83"/>
      <c r="EG30" s="83"/>
      <c r="EH30" s="83"/>
      <c r="EI30" s="83"/>
      <c r="EJ30" s="83"/>
      <c r="EK30" s="83"/>
      <c r="EL30" s="83"/>
      <c r="EM30" s="83"/>
      <c r="EN30" s="83"/>
      <c r="EO30" s="83"/>
      <c r="EP30" s="83"/>
      <c r="EQ30" s="83"/>
      <c r="ER30" s="83"/>
      <c r="ES30" s="83"/>
      <c r="ET30" s="83"/>
      <c r="EU30" s="83"/>
      <c r="EV30" s="83"/>
      <c r="EW30" s="83"/>
      <c r="EX30" s="83"/>
      <c r="EY30" s="83"/>
      <c r="EZ30" s="83"/>
      <c r="FA30" s="83"/>
      <c r="FB30" s="83"/>
      <c r="FC30" s="83"/>
      <c r="FD30" s="83"/>
      <c r="FE30" s="83"/>
      <c r="FF30" s="83"/>
      <c r="FG30" s="83"/>
      <c r="FH30" s="83"/>
      <c r="FI30" s="83"/>
      <c r="FJ30" s="83"/>
      <c r="FK30" s="83"/>
      <c r="FL30" s="83"/>
      <c r="FM30" s="83"/>
      <c r="FN30" s="83"/>
      <c r="FO30" s="83"/>
      <c r="FP30" s="83"/>
      <c r="FQ30" s="83"/>
      <c r="FR30" s="83"/>
      <c r="FS30" s="83"/>
      <c r="FT30" s="83"/>
      <c r="FU30" s="83"/>
      <c r="FV30" s="83"/>
      <c r="FW30" s="83"/>
      <c r="FX30" s="83"/>
      <c r="FY30" s="83"/>
      <c r="FZ30" s="83"/>
      <c r="GA30" s="83"/>
      <c r="GB30" s="83"/>
      <c r="GC30" s="83"/>
      <c r="GD30" s="83"/>
      <c r="GE30" s="83"/>
      <c r="GF30" s="83"/>
      <c r="GG30" s="83"/>
      <c r="GH30" s="83"/>
      <c r="GI30" s="83"/>
      <c r="GJ30" s="83"/>
      <c r="GK30" s="83"/>
      <c r="GL30" s="83"/>
      <c r="GM30" s="83"/>
      <c r="GN30" s="83"/>
      <c r="GO30" s="83"/>
      <c r="GP30" s="83"/>
      <c r="GQ30" s="83"/>
      <c r="GR30" s="83"/>
      <c r="GS30" s="83"/>
      <c r="GT30" s="83"/>
      <c r="GU30" s="83"/>
      <c r="GV30" s="83"/>
      <c r="GW30" s="83"/>
      <c r="GX30" s="83"/>
      <c r="GY30" s="83"/>
      <c r="GZ30" s="83"/>
      <c r="HA30" s="83"/>
      <c r="HB30" s="83"/>
      <c r="HC30" s="83"/>
      <c r="HD30" s="83"/>
      <c r="HE30" s="83"/>
      <c r="HF30" s="83"/>
      <c r="HG30" s="83"/>
      <c r="HH30" s="83"/>
      <c r="HI30" s="83"/>
      <c r="HJ30" s="83"/>
      <c r="HK30" s="83"/>
      <c r="HL30" s="83"/>
      <c r="HM30" s="83"/>
      <c r="HN30" s="83"/>
      <c r="HO30" s="83"/>
    </row>
    <row r="31" s="16" customFormat="1" spans="1:223">
      <c r="A31" s="55"/>
      <c r="B31" s="19" t="s">
        <v>114</v>
      </c>
      <c r="C31" s="56"/>
      <c r="D31" s="57" t="s">
        <v>115</v>
      </c>
      <c r="E31" s="58" t="s">
        <v>116</v>
      </c>
      <c r="H31" s="54"/>
      <c r="I31" s="50"/>
      <c r="J31" s="50"/>
      <c r="K31" s="50"/>
      <c r="L31" s="50"/>
      <c r="M31" s="82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  <c r="CB31" s="83"/>
      <c r="CC31" s="83"/>
      <c r="CD31" s="83"/>
      <c r="CE31" s="83"/>
      <c r="CF31" s="83"/>
      <c r="CG31" s="83"/>
      <c r="CH31" s="83"/>
      <c r="CI31" s="83"/>
      <c r="CJ31" s="83"/>
      <c r="CK31" s="83"/>
      <c r="CL31" s="83"/>
      <c r="CM31" s="83"/>
      <c r="CN31" s="83"/>
      <c r="CO31" s="83"/>
      <c r="CP31" s="83"/>
      <c r="CQ31" s="83"/>
      <c r="CR31" s="83"/>
      <c r="CS31" s="83"/>
      <c r="CT31" s="83"/>
      <c r="CU31" s="83"/>
      <c r="CV31" s="83"/>
      <c r="CW31" s="83"/>
      <c r="CX31" s="83"/>
      <c r="CY31" s="83"/>
      <c r="CZ31" s="83"/>
      <c r="DA31" s="83"/>
      <c r="DB31" s="83"/>
      <c r="DC31" s="83"/>
      <c r="DD31" s="83"/>
      <c r="DE31" s="83"/>
      <c r="DF31" s="83"/>
      <c r="DG31" s="83"/>
      <c r="DH31" s="83"/>
      <c r="DI31" s="83"/>
      <c r="DJ31" s="83"/>
      <c r="DK31" s="83"/>
      <c r="DL31" s="83"/>
      <c r="DM31" s="83"/>
      <c r="DN31" s="83"/>
      <c r="DO31" s="83"/>
      <c r="DP31" s="83"/>
      <c r="DQ31" s="83"/>
      <c r="DR31" s="83"/>
      <c r="DS31" s="83"/>
      <c r="DT31" s="83"/>
      <c r="DU31" s="83"/>
      <c r="DV31" s="83"/>
      <c r="DW31" s="83"/>
      <c r="DX31" s="83"/>
      <c r="DY31" s="83"/>
      <c r="DZ31" s="83"/>
      <c r="EA31" s="83"/>
      <c r="EB31" s="83"/>
      <c r="EC31" s="83"/>
      <c r="ED31" s="83"/>
      <c r="EE31" s="83"/>
      <c r="EF31" s="83"/>
      <c r="EG31" s="83"/>
      <c r="EH31" s="83"/>
      <c r="EI31" s="83"/>
      <c r="EJ31" s="83"/>
      <c r="EK31" s="83"/>
      <c r="EL31" s="83"/>
      <c r="EM31" s="83"/>
      <c r="EN31" s="83"/>
      <c r="EO31" s="83"/>
      <c r="EP31" s="83"/>
      <c r="EQ31" s="83"/>
      <c r="ER31" s="83"/>
      <c r="ES31" s="83"/>
      <c r="ET31" s="83"/>
      <c r="EU31" s="83"/>
      <c r="EV31" s="83"/>
      <c r="EW31" s="83"/>
      <c r="EX31" s="83"/>
      <c r="EY31" s="83"/>
      <c r="EZ31" s="83"/>
      <c r="FA31" s="83"/>
      <c r="FB31" s="83"/>
      <c r="FC31" s="83"/>
      <c r="FD31" s="83"/>
      <c r="FE31" s="83"/>
      <c r="FF31" s="83"/>
      <c r="FG31" s="83"/>
      <c r="FH31" s="83"/>
      <c r="FI31" s="83"/>
      <c r="FJ31" s="83"/>
      <c r="FK31" s="83"/>
      <c r="FL31" s="83"/>
      <c r="FM31" s="83"/>
      <c r="FN31" s="83"/>
      <c r="FO31" s="83"/>
      <c r="FP31" s="83"/>
      <c r="FQ31" s="83"/>
      <c r="FR31" s="83"/>
      <c r="FS31" s="83"/>
      <c r="FT31" s="83"/>
      <c r="FU31" s="83"/>
      <c r="FV31" s="83"/>
      <c r="FW31" s="83"/>
      <c r="FX31" s="83"/>
      <c r="FY31" s="83"/>
      <c r="FZ31" s="83"/>
      <c r="GA31" s="83"/>
      <c r="GB31" s="83"/>
      <c r="GC31" s="83"/>
      <c r="GD31" s="83"/>
      <c r="GE31" s="83"/>
      <c r="GF31" s="83"/>
      <c r="GG31" s="83"/>
      <c r="GH31" s="83"/>
      <c r="GI31" s="83"/>
      <c r="GJ31" s="83"/>
      <c r="GK31" s="83"/>
      <c r="GL31" s="83"/>
      <c r="GM31" s="83"/>
      <c r="GN31" s="83"/>
      <c r="GO31" s="83"/>
      <c r="GP31" s="83"/>
      <c r="GQ31" s="83"/>
      <c r="GR31" s="83"/>
      <c r="GS31" s="83"/>
      <c r="GT31" s="83"/>
      <c r="GU31" s="83"/>
      <c r="GV31" s="83"/>
      <c r="GW31" s="83"/>
      <c r="GX31" s="83"/>
      <c r="GY31" s="83"/>
      <c r="GZ31" s="83"/>
      <c r="HA31" s="83"/>
      <c r="HB31" s="83"/>
      <c r="HC31" s="83"/>
      <c r="HD31" s="83"/>
      <c r="HE31" s="83"/>
      <c r="HF31" s="83"/>
      <c r="HG31" s="83"/>
      <c r="HH31" s="83"/>
      <c r="HI31" s="83"/>
      <c r="HJ31" s="83"/>
      <c r="HK31" s="83"/>
      <c r="HL31" s="83"/>
      <c r="HM31" s="83"/>
      <c r="HN31" s="83"/>
      <c r="HO31" s="83"/>
    </row>
    <row r="32" s="16" customFormat="1" spans="1:223">
      <c r="A32" s="55"/>
      <c r="B32" s="19" t="s">
        <v>117</v>
      </c>
      <c r="C32" s="56"/>
      <c r="D32" s="57"/>
      <c r="E32" s="58" t="s">
        <v>118</v>
      </c>
      <c r="H32" s="54"/>
      <c r="I32" s="50"/>
      <c r="J32" s="50"/>
      <c r="K32" s="50"/>
      <c r="L32" s="50"/>
      <c r="M32" s="82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3"/>
      <c r="CC32" s="83"/>
      <c r="CD32" s="83"/>
      <c r="CE32" s="83"/>
      <c r="CF32" s="83"/>
      <c r="CG32" s="83"/>
      <c r="CH32" s="83"/>
      <c r="CI32" s="83"/>
      <c r="CJ32" s="83"/>
      <c r="CK32" s="83"/>
      <c r="CL32" s="83"/>
      <c r="CM32" s="83"/>
      <c r="CN32" s="83"/>
      <c r="CO32" s="83"/>
      <c r="CP32" s="83"/>
      <c r="CQ32" s="83"/>
      <c r="CR32" s="83"/>
      <c r="CS32" s="83"/>
      <c r="CT32" s="83"/>
      <c r="CU32" s="83"/>
      <c r="CV32" s="83"/>
      <c r="CW32" s="83"/>
      <c r="CX32" s="83"/>
      <c r="CY32" s="83"/>
      <c r="CZ32" s="83"/>
      <c r="DA32" s="83"/>
      <c r="DB32" s="83"/>
      <c r="DC32" s="83"/>
      <c r="DD32" s="83"/>
      <c r="DE32" s="83"/>
      <c r="DF32" s="83"/>
      <c r="DG32" s="83"/>
      <c r="DH32" s="83"/>
      <c r="DI32" s="83"/>
      <c r="DJ32" s="83"/>
      <c r="DK32" s="83"/>
      <c r="DL32" s="83"/>
      <c r="DM32" s="83"/>
      <c r="DN32" s="83"/>
      <c r="DO32" s="83"/>
      <c r="DP32" s="83"/>
      <c r="DQ32" s="83"/>
      <c r="DR32" s="83"/>
      <c r="DS32" s="83"/>
      <c r="DT32" s="83"/>
      <c r="DU32" s="83"/>
      <c r="DV32" s="83"/>
      <c r="DW32" s="83"/>
      <c r="DX32" s="83"/>
      <c r="DY32" s="83"/>
      <c r="DZ32" s="83"/>
      <c r="EA32" s="83"/>
      <c r="EB32" s="83"/>
      <c r="EC32" s="83"/>
      <c r="ED32" s="83"/>
      <c r="EE32" s="83"/>
      <c r="EF32" s="83"/>
      <c r="EG32" s="83"/>
      <c r="EH32" s="83"/>
      <c r="EI32" s="83"/>
      <c r="EJ32" s="83"/>
      <c r="EK32" s="83"/>
      <c r="EL32" s="83"/>
      <c r="EM32" s="83"/>
      <c r="EN32" s="83"/>
      <c r="EO32" s="83"/>
      <c r="EP32" s="83"/>
      <c r="EQ32" s="83"/>
      <c r="ER32" s="83"/>
      <c r="ES32" s="83"/>
      <c r="ET32" s="83"/>
      <c r="EU32" s="83"/>
      <c r="EV32" s="83"/>
      <c r="EW32" s="83"/>
      <c r="EX32" s="83"/>
      <c r="EY32" s="83"/>
      <c r="EZ32" s="83"/>
      <c r="FA32" s="83"/>
      <c r="FB32" s="83"/>
      <c r="FC32" s="83"/>
      <c r="FD32" s="83"/>
      <c r="FE32" s="83"/>
      <c r="FF32" s="83"/>
      <c r="FG32" s="83"/>
      <c r="FH32" s="83"/>
      <c r="FI32" s="83"/>
      <c r="FJ32" s="83"/>
      <c r="FK32" s="83"/>
      <c r="FL32" s="83"/>
      <c r="FM32" s="83"/>
      <c r="FN32" s="83"/>
      <c r="FO32" s="83"/>
      <c r="FP32" s="83"/>
      <c r="FQ32" s="83"/>
      <c r="FR32" s="83"/>
      <c r="FS32" s="83"/>
      <c r="FT32" s="83"/>
      <c r="FU32" s="83"/>
      <c r="FV32" s="83"/>
      <c r="FW32" s="83"/>
      <c r="FX32" s="83"/>
      <c r="FY32" s="83"/>
      <c r="FZ32" s="83"/>
      <c r="GA32" s="83"/>
      <c r="GB32" s="83"/>
      <c r="GC32" s="83"/>
      <c r="GD32" s="83"/>
      <c r="GE32" s="83"/>
      <c r="GF32" s="83"/>
      <c r="GG32" s="83"/>
      <c r="GH32" s="83"/>
      <c r="GI32" s="83"/>
      <c r="GJ32" s="83"/>
      <c r="GK32" s="83"/>
      <c r="GL32" s="83"/>
      <c r="GM32" s="83"/>
      <c r="GN32" s="83"/>
      <c r="GO32" s="83"/>
      <c r="GP32" s="83"/>
      <c r="GQ32" s="83"/>
      <c r="GR32" s="83"/>
      <c r="GS32" s="83"/>
      <c r="GT32" s="83"/>
      <c r="GU32" s="83"/>
      <c r="GV32" s="83"/>
      <c r="GW32" s="83"/>
      <c r="GX32" s="83"/>
      <c r="GY32" s="83"/>
      <c r="GZ32" s="83"/>
      <c r="HA32" s="83"/>
      <c r="HB32" s="83"/>
      <c r="HC32" s="83"/>
      <c r="HD32" s="83"/>
      <c r="HE32" s="83"/>
      <c r="HF32" s="83"/>
      <c r="HG32" s="83"/>
      <c r="HH32" s="83"/>
      <c r="HI32" s="83"/>
      <c r="HJ32" s="83"/>
      <c r="HK32" s="83"/>
      <c r="HL32" s="83"/>
      <c r="HM32" s="83"/>
      <c r="HN32" s="83"/>
      <c r="HO32" s="83"/>
    </row>
    <row r="33" s="16" customFormat="1" spans="1:223">
      <c r="A33" s="55"/>
      <c r="B33" s="19" t="s">
        <v>119</v>
      </c>
      <c r="C33" s="56"/>
      <c r="D33" s="57"/>
      <c r="E33" s="58" t="s">
        <v>120</v>
      </c>
      <c r="H33" s="54"/>
      <c r="I33" s="50"/>
      <c r="J33" s="50"/>
      <c r="K33" s="50"/>
      <c r="L33" s="50"/>
      <c r="M33" s="82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3"/>
      <c r="CF33" s="83"/>
      <c r="CG33" s="83"/>
      <c r="CH33" s="83"/>
      <c r="CI33" s="83"/>
      <c r="CJ33" s="83"/>
      <c r="CK33" s="83"/>
      <c r="CL33" s="83"/>
      <c r="CM33" s="83"/>
      <c r="CN33" s="83"/>
      <c r="CO33" s="83"/>
      <c r="CP33" s="83"/>
      <c r="CQ33" s="83"/>
      <c r="CR33" s="83"/>
      <c r="CS33" s="83"/>
      <c r="CT33" s="83"/>
      <c r="CU33" s="83"/>
      <c r="CV33" s="83"/>
      <c r="CW33" s="83"/>
      <c r="CX33" s="83"/>
      <c r="CY33" s="83"/>
      <c r="CZ33" s="83"/>
      <c r="DA33" s="83"/>
      <c r="DB33" s="83"/>
      <c r="DC33" s="83"/>
      <c r="DD33" s="83"/>
      <c r="DE33" s="83"/>
      <c r="DF33" s="83"/>
      <c r="DG33" s="83"/>
      <c r="DH33" s="83"/>
      <c r="DI33" s="83"/>
      <c r="DJ33" s="83"/>
      <c r="DK33" s="83"/>
      <c r="DL33" s="83"/>
      <c r="DM33" s="83"/>
      <c r="DN33" s="83"/>
      <c r="DO33" s="83"/>
      <c r="DP33" s="83"/>
      <c r="DQ33" s="83"/>
      <c r="DR33" s="83"/>
      <c r="DS33" s="83"/>
      <c r="DT33" s="83"/>
      <c r="DU33" s="83"/>
      <c r="DV33" s="83"/>
      <c r="DW33" s="83"/>
      <c r="DX33" s="83"/>
      <c r="DY33" s="83"/>
      <c r="DZ33" s="83"/>
      <c r="EA33" s="83"/>
      <c r="EB33" s="83"/>
      <c r="EC33" s="83"/>
      <c r="ED33" s="83"/>
      <c r="EE33" s="83"/>
      <c r="EF33" s="83"/>
      <c r="EG33" s="83"/>
      <c r="EH33" s="83"/>
      <c r="EI33" s="83"/>
      <c r="EJ33" s="83"/>
      <c r="EK33" s="83"/>
      <c r="EL33" s="83"/>
      <c r="EM33" s="83"/>
      <c r="EN33" s="83"/>
      <c r="EO33" s="83"/>
      <c r="EP33" s="83"/>
      <c r="EQ33" s="83"/>
      <c r="ER33" s="83"/>
      <c r="ES33" s="83"/>
      <c r="ET33" s="83"/>
      <c r="EU33" s="83"/>
      <c r="EV33" s="83"/>
      <c r="EW33" s="83"/>
      <c r="EX33" s="83"/>
      <c r="EY33" s="83"/>
      <c r="EZ33" s="83"/>
      <c r="FA33" s="83"/>
      <c r="FB33" s="83"/>
      <c r="FC33" s="83"/>
      <c r="FD33" s="83"/>
      <c r="FE33" s="83"/>
      <c r="FF33" s="83"/>
      <c r="FG33" s="83"/>
      <c r="FH33" s="83"/>
      <c r="FI33" s="83"/>
      <c r="FJ33" s="83"/>
      <c r="FK33" s="83"/>
      <c r="FL33" s="83"/>
      <c r="FM33" s="83"/>
      <c r="FN33" s="83"/>
      <c r="FO33" s="83"/>
      <c r="FP33" s="83"/>
      <c r="FQ33" s="83"/>
      <c r="FR33" s="83"/>
      <c r="FS33" s="83"/>
      <c r="FT33" s="83"/>
      <c r="FU33" s="83"/>
      <c r="FV33" s="83"/>
      <c r="FW33" s="83"/>
      <c r="FX33" s="83"/>
      <c r="FY33" s="83"/>
      <c r="FZ33" s="83"/>
      <c r="GA33" s="83"/>
      <c r="GB33" s="83"/>
      <c r="GC33" s="83"/>
      <c r="GD33" s="83"/>
      <c r="GE33" s="83"/>
      <c r="GF33" s="83"/>
      <c r="GG33" s="83"/>
      <c r="GH33" s="83"/>
      <c r="GI33" s="83"/>
      <c r="GJ33" s="83"/>
      <c r="GK33" s="83"/>
      <c r="GL33" s="83"/>
      <c r="GM33" s="83"/>
      <c r="GN33" s="83"/>
      <c r="GO33" s="83"/>
      <c r="GP33" s="83"/>
      <c r="GQ33" s="83"/>
      <c r="GR33" s="83"/>
      <c r="GS33" s="83"/>
      <c r="GT33" s="83"/>
      <c r="GU33" s="83"/>
      <c r="GV33" s="83"/>
      <c r="GW33" s="83"/>
      <c r="GX33" s="83"/>
      <c r="GY33" s="83"/>
      <c r="GZ33" s="83"/>
      <c r="HA33" s="83"/>
      <c r="HB33" s="83"/>
      <c r="HC33" s="83"/>
      <c r="HD33" s="83"/>
      <c r="HE33" s="83"/>
      <c r="HF33" s="83"/>
      <c r="HG33" s="83"/>
      <c r="HH33" s="83"/>
      <c r="HI33" s="83"/>
      <c r="HJ33" s="83"/>
      <c r="HK33" s="83"/>
      <c r="HL33" s="83"/>
      <c r="HM33" s="83"/>
      <c r="HN33" s="83"/>
      <c r="HO33" s="83"/>
    </row>
    <row r="34" s="16" customFormat="1" spans="1:223">
      <c r="A34" s="55"/>
      <c r="B34" s="19" t="s">
        <v>121</v>
      </c>
      <c r="C34" s="56"/>
      <c r="D34" s="57"/>
      <c r="E34" s="58" t="s">
        <v>122</v>
      </c>
      <c r="H34" s="54"/>
      <c r="I34" s="50"/>
      <c r="J34" s="50"/>
      <c r="K34" s="50"/>
      <c r="L34" s="50"/>
      <c r="M34" s="82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  <c r="CP34" s="83"/>
      <c r="CQ34" s="83"/>
      <c r="CR34" s="83"/>
      <c r="CS34" s="83"/>
      <c r="CT34" s="83"/>
      <c r="CU34" s="83"/>
      <c r="CV34" s="83"/>
      <c r="CW34" s="83"/>
      <c r="CX34" s="83"/>
      <c r="CY34" s="83"/>
      <c r="CZ34" s="83"/>
      <c r="DA34" s="83"/>
      <c r="DB34" s="83"/>
      <c r="DC34" s="83"/>
      <c r="DD34" s="83"/>
      <c r="DE34" s="83"/>
      <c r="DF34" s="83"/>
      <c r="DG34" s="83"/>
      <c r="DH34" s="83"/>
      <c r="DI34" s="83"/>
      <c r="DJ34" s="83"/>
      <c r="DK34" s="83"/>
      <c r="DL34" s="83"/>
      <c r="DM34" s="83"/>
      <c r="DN34" s="83"/>
      <c r="DO34" s="83"/>
      <c r="DP34" s="83"/>
      <c r="DQ34" s="83"/>
      <c r="DR34" s="83"/>
      <c r="DS34" s="83"/>
      <c r="DT34" s="83"/>
      <c r="DU34" s="83"/>
      <c r="DV34" s="83"/>
      <c r="DW34" s="83"/>
      <c r="DX34" s="83"/>
      <c r="DY34" s="83"/>
      <c r="DZ34" s="83"/>
      <c r="EA34" s="83"/>
      <c r="EB34" s="83"/>
      <c r="EC34" s="83"/>
      <c r="ED34" s="83"/>
      <c r="EE34" s="83"/>
      <c r="EF34" s="83"/>
      <c r="EG34" s="83"/>
      <c r="EH34" s="83"/>
      <c r="EI34" s="83"/>
      <c r="EJ34" s="83"/>
      <c r="EK34" s="83"/>
      <c r="EL34" s="83"/>
      <c r="EM34" s="83"/>
      <c r="EN34" s="83"/>
      <c r="EO34" s="83"/>
      <c r="EP34" s="83"/>
      <c r="EQ34" s="83"/>
      <c r="ER34" s="83"/>
      <c r="ES34" s="83"/>
      <c r="ET34" s="83"/>
      <c r="EU34" s="83"/>
      <c r="EV34" s="83"/>
      <c r="EW34" s="83"/>
      <c r="EX34" s="83"/>
      <c r="EY34" s="83"/>
      <c r="EZ34" s="83"/>
      <c r="FA34" s="83"/>
      <c r="FB34" s="83"/>
      <c r="FC34" s="83"/>
      <c r="FD34" s="83"/>
      <c r="FE34" s="83"/>
      <c r="FF34" s="83"/>
      <c r="FG34" s="83"/>
      <c r="FH34" s="83"/>
      <c r="FI34" s="83"/>
      <c r="FJ34" s="83"/>
      <c r="FK34" s="83"/>
      <c r="FL34" s="83"/>
      <c r="FM34" s="83"/>
      <c r="FN34" s="83"/>
      <c r="FO34" s="83"/>
      <c r="FP34" s="83"/>
      <c r="FQ34" s="83"/>
      <c r="FR34" s="83"/>
      <c r="FS34" s="83"/>
      <c r="FT34" s="83"/>
      <c r="FU34" s="83"/>
      <c r="FV34" s="83"/>
      <c r="FW34" s="83"/>
      <c r="FX34" s="83"/>
      <c r="FY34" s="83"/>
      <c r="FZ34" s="83"/>
      <c r="GA34" s="83"/>
      <c r="GB34" s="83"/>
      <c r="GC34" s="83"/>
      <c r="GD34" s="83"/>
      <c r="GE34" s="83"/>
      <c r="GF34" s="83"/>
      <c r="GG34" s="83"/>
      <c r="GH34" s="83"/>
      <c r="GI34" s="83"/>
      <c r="GJ34" s="83"/>
      <c r="GK34" s="83"/>
      <c r="GL34" s="83"/>
      <c r="GM34" s="83"/>
      <c r="GN34" s="83"/>
      <c r="GO34" s="83"/>
      <c r="GP34" s="83"/>
      <c r="GQ34" s="83"/>
      <c r="GR34" s="83"/>
      <c r="GS34" s="83"/>
      <c r="GT34" s="83"/>
      <c r="GU34" s="83"/>
      <c r="GV34" s="83"/>
      <c r="GW34" s="83"/>
      <c r="GX34" s="83"/>
      <c r="GY34" s="83"/>
      <c r="GZ34" s="83"/>
      <c r="HA34" s="83"/>
      <c r="HB34" s="83"/>
      <c r="HC34" s="83"/>
      <c r="HD34" s="83"/>
      <c r="HE34" s="83"/>
      <c r="HF34" s="83"/>
      <c r="HG34" s="83"/>
      <c r="HH34" s="83"/>
      <c r="HI34" s="83"/>
      <c r="HJ34" s="83"/>
      <c r="HK34" s="83"/>
      <c r="HL34" s="83"/>
      <c r="HM34" s="83"/>
      <c r="HN34" s="83"/>
      <c r="HO34" s="83"/>
    </row>
    <row r="35" s="16" customFormat="1" spans="1:223">
      <c r="A35" s="55"/>
      <c r="B35" s="19" t="s">
        <v>123</v>
      </c>
      <c r="C35" s="56"/>
      <c r="D35" s="57"/>
      <c r="E35" s="58" t="s">
        <v>124</v>
      </c>
      <c r="H35" s="54"/>
      <c r="I35" s="50"/>
      <c r="J35" s="50"/>
      <c r="K35" s="50"/>
      <c r="L35" s="50"/>
      <c r="M35" s="82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3"/>
      <c r="BZ35" s="83"/>
      <c r="CA35" s="83"/>
      <c r="CB35" s="83"/>
      <c r="CC35" s="83"/>
      <c r="CD35" s="83"/>
      <c r="CE35" s="83"/>
      <c r="CF35" s="83"/>
      <c r="CG35" s="83"/>
      <c r="CH35" s="83"/>
      <c r="CI35" s="83"/>
      <c r="CJ35" s="83"/>
      <c r="CK35" s="83"/>
      <c r="CL35" s="83"/>
      <c r="CM35" s="83"/>
      <c r="CN35" s="83"/>
      <c r="CO35" s="83"/>
      <c r="CP35" s="83"/>
      <c r="CQ35" s="83"/>
      <c r="CR35" s="83"/>
      <c r="CS35" s="83"/>
      <c r="CT35" s="83"/>
      <c r="CU35" s="83"/>
      <c r="CV35" s="83"/>
      <c r="CW35" s="83"/>
      <c r="CX35" s="83"/>
      <c r="CY35" s="83"/>
      <c r="CZ35" s="83"/>
      <c r="DA35" s="83"/>
      <c r="DB35" s="83"/>
      <c r="DC35" s="83"/>
      <c r="DD35" s="83"/>
      <c r="DE35" s="83"/>
      <c r="DF35" s="83"/>
      <c r="DG35" s="83"/>
      <c r="DH35" s="83"/>
      <c r="DI35" s="83"/>
      <c r="DJ35" s="83"/>
      <c r="DK35" s="83"/>
      <c r="DL35" s="83"/>
      <c r="DM35" s="83"/>
      <c r="DN35" s="83"/>
      <c r="DO35" s="83"/>
      <c r="DP35" s="83"/>
      <c r="DQ35" s="83"/>
      <c r="DR35" s="83"/>
      <c r="DS35" s="83"/>
      <c r="DT35" s="83"/>
      <c r="DU35" s="83"/>
      <c r="DV35" s="83"/>
      <c r="DW35" s="83"/>
      <c r="DX35" s="83"/>
      <c r="DY35" s="83"/>
      <c r="DZ35" s="83"/>
      <c r="EA35" s="83"/>
      <c r="EB35" s="83"/>
      <c r="EC35" s="83"/>
      <c r="ED35" s="83"/>
      <c r="EE35" s="83"/>
      <c r="EF35" s="83"/>
      <c r="EG35" s="83"/>
      <c r="EH35" s="83"/>
      <c r="EI35" s="83"/>
      <c r="EJ35" s="83"/>
      <c r="EK35" s="83"/>
      <c r="EL35" s="83"/>
      <c r="EM35" s="83"/>
      <c r="EN35" s="83"/>
      <c r="EO35" s="83"/>
      <c r="EP35" s="83"/>
      <c r="EQ35" s="83"/>
      <c r="ER35" s="83"/>
      <c r="ES35" s="83"/>
      <c r="ET35" s="83"/>
      <c r="EU35" s="83"/>
      <c r="EV35" s="83"/>
      <c r="EW35" s="83"/>
      <c r="EX35" s="83"/>
      <c r="EY35" s="83"/>
      <c r="EZ35" s="83"/>
      <c r="FA35" s="83"/>
      <c r="FB35" s="83"/>
      <c r="FC35" s="83"/>
      <c r="FD35" s="83"/>
      <c r="FE35" s="83"/>
      <c r="FF35" s="83"/>
      <c r="FG35" s="83"/>
      <c r="FH35" s="83"/>
      <c r="FI35" s="83"/>
      <c r="FJ35" s="83"/>
      <c r="FK35" s="83"/>
      <c r="FL35" s="83"/>
      <c r="FM35" s="83"/>
      <c r="FN35" s="83"/>
      <c r="FO35" s="83"/>
      <c r="FP35" s="83"/>
      <c r="FQ35" s="83"/>
      <c r="FR35" s="83"/>
      <c r="FS35" s="83"/>
      <c r="FT35" s="83"/>
      <c r="FU35" s="83"/>
      <c r="FV35" s="83"/>
      <c r="FW35" s="83"/>
      <c r="FX35" s="83"/>
      <c r="FY35" s="83"/>
      <c r="FZ35" s="83"/>
      <c r="GA35" s="83"/>
      <c r="GB35" s="83"/>
      <c r="GC35" s="83"/>
      <c r="GD35" s="83"/>
      <c r="GE35" s="83"/>
      <c r="GF35" s="83"/>
      <c r="GG35" s="83"/>
      <c r="GH35" s="83"/>
      <c r="GI35" s="83"/>
      <c r="GJ35" s="83"/>
      <c r="GK35" s="83"/>
      <c r="GL35" s="83"/>
      <c r="GM35" s="83"/>
      <c r="GN35" s="83"/>
      <c r="GO35" s="83"/>
      <c r="GP35" s="83"/>
      <c r="GQ35" s="83"/>
      <c r="GR35" s="83"/>
      <c r="GS35" s="83"/>
      <c r="GT35" s="83"/>
      <c r="GU35" s="83"/>
      <c r="GV35" s="83"/>
      <c r="GW35" s="83"/>
      <c r="GX35" s="83"/>
      <c r="GY35" s="83"/>
      <c r="GZ35" s="83"/>
      <c r="HA35" s="83"/>
      <c r="HB35" s="83"/>
      <c r="HC35" s="83"/>
      <c r="HD35" s="83"/>
      <c r="HE35" s="83"/>
      <c r="HF35" s="83"/>
      <c r="HG35" s="83"/>
      <c r="HH35" s="83"/>
      <c r="HI35" s="83"/>
      <c r="HJ35" s="83"/>
      <c r="HK35" s="83"/>
      <c r="HL35" s="83"/>
      <c r="HM35" s="83"/>
      <c r="HN35" s="83"/>
      <c r="HO35" s="83"/>
    </row>
    <row r="36" s="16" customFormat="1" spans="1:223">
      <c r="A36" s="55"/>
      <c r="B36" s="19" t="s">
        <v>125</v>
      </c>
      <c r="C36" s="56"/>
      <c r="D36" s="57"/>
      <c r="E36" s="58" t="s">
        <v>126</v>
      </c>
      <c r="H36" s="54"/>
      <c r="I36" s="50"/>
      <c r="J36" s="50"/>
      <c r="K36" s="50"/>
      <c r="L36" s="50"/>
      <c r="M36" s="82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Y36" s="83"/>
      <c r="BZ36" s="83"/>
      <c r="CA36" s="83"/>
      <c r="CB36" s="83"/>
      <c r="CC36" s="83"/>
      <c r="CD36" s="83"/>
      <c r="CE36" s="83"/>
      <c r="CF36" s="83"/>
      <c r="CG36" s="83"/>
      <c r="CH36" s="83"/>
      <c r="CI36" s="83"/>
      <c r="CJ36" s="83"/>
      <c r="CK36" s="83"/>
      <c r="CL36" s="83"/>
      <c r="CM36" s="83"/>
      <c r="CN36" s="83"/>
      <c r="CO36" s="83"/>
      <c r="CP36" s="83"/>
      <c r="CQ36" s="83"/>
      <c r="CR36" s="83"/>
      <c r="CS36" s="83"/>
      <c r="CT36" s="83"/>
      <c r="CU36" s="83"/>
      <c r="CV36" s="83"/>
      <c r="CW36" s="83"/>
      <c r="CX36" s="83"/>
      <c r="CY36" s="83"/>
      <c r="CZ36" s="83"/>
      <c r="DA36" s="83"/>
      <c r="DB36" s="83"/>
      <c r="DC36" s="83"/>
      <c r="DD36" s="83"/>
      <c r="DE36" s="83"/>
      <c r="DF36" s="83"/>
      <c r="DG36" s="83"/>
      <c r="DH36" s="83"/>
      <c r="DI36" s="83"/>
      <c r="DJ36" s="83"/>
      <c r="DK36" s="83"/>
      <c r="DL36" s="83"/>
      <c r="DM36" s="83"/>
      <c r="DN36" s="83"/>
      <c r="DO36" s="83"/>
      <c r="DP36" s="83"/>
      <c r="DQ36" s="83"/>
      <c r="DR36" s="83"/>
      <c r="DS36" s="83"/>
      <c r="DT36" s="83"/>
      <c r="DU36" s="83"/>
      <c r="DV36" s="83"/>
      <c r="DW36" s="83"/>
      <c r="DX36" s="83"/>
      <c r="DY36" s="83"/>
      <c r="DZ36" s="83"/>
      <c r="EA36" s="83"/>
      <c r="EB36" s="83"/>
      <c r="EC36" s="83"/>
      <c r="ED36" s="83"/>
      <c r="EE36" s="83"/>
      <c r="EF36" s="83"/>
      <c r="EG36" s="83"/>
      <c r="EH36" s="83"/>
      <c r="EI36" s="83"/>
      <c r="EJ36" s="83"/>
      <c r="EK36" s="83"/>
      <c r="EL36" s="83"/>
      <c r="EM36" s="83"/>
      <c r="EN36" s="83"/>
      <c r="EO36" s="83"/>
      <c r="EP36" s="83"/>
      <c r="EQ36" s="83"/>
      <c r="ER36" s="83"/>
      <c r="ES36" s="83"/>
      <c r="ET36" s="83"/>
      <c r="EU36" s="83"/>
      <c r="EV36" s="83"/>
      <c r="EW36" s="83"/>
      <c r="EX36" s="83"/>
      <c r="EY36" s="83"/>
      <c r="EZ36" s="83"/>
      <c r="FA36" s="83"/>
      <c r="FB36" s="83"/>
      <c r="FC36" s="83"/>
      <c r="FD36" s="83"/>
      <c r="FE36" s="83"/>
      <c r="FF36" s="83"/>
      <c r="FG36" s="83"/>
      <c r="FH36" s="83"/>
      <c r="FI36" s="83"/>
      <c r="FJ36" s="83"/>
      <c r="FK36" s="83"/>
      <c r="FL36" s="83"/>
      <c r="FM36" s="83"/>
      <c r="FN36" s="83"/>
      <c r="FO36" s="83"/>
      <c r="FP36" s="83"/>
      <c r="FQ36" s="83"/>
      <c r="FR36" s="83"/>
      <c r="FS36" s="83"/>
      <c r="FT36" s="83"/>
      <c r="FU36" s="83"/>
      <c r="FV36" s="83"/>
      <c r="FW36" s="83"/>
      <c r="FX36" s="83"/>
      <c r="FY36" s="83"/>
      <c r="FZ36" s="83"/>
      <c r="GA36" s="83"/>
      <c r="GB36" s="83"/>
      <c r="GC36" s="83"/>
      <c r="GD36" s="83"/>
      <c r="GE36" s="83"/>
      <c r="GF36" s="83"/>
      <c r="GG36" s="83"/>
      <c r="GH36" s="83"/>
      <c r="GI36" s="83"/>
      <c r="GJ36" s="83"/>
      <c r="GK36" s="83"/>
      <c r="GL36" s="83"/>
      <c r="GM36" s="83"/>
      <c r="GN36" s="83"/>
      <c r="GO36" s="83"/>
      <c r="GP36" s="83"/>
      <c r="GQ36" s="83"/>
      <c r="GR36" s="83"/>
      <c r="GS36" s="83"/>
      <c r="GT36" s="83"/>
      <c r="GU36" s="83"/>
      <c r="GV36" s="83"/>
      <c r="GW36" s="83"/>
      <c r="GX36" s="83"/>
      <c r="GY36" s="83"/>
      <c r="GZ36" s="83"/>
      <c r="HA36" s="83"/>
      <c r="HB36" s="83"/>
      <c r="HC36" s="83"/>
      <c r="HD36" s="83"/>
      <c r="HE36" s="83"/>
      <c r="HF36" s="83"/>
      <c r="HG36" s="83"/>
      <c r="HH36" s="83"/>
      <c r="HI36" s="83"/>
      <c r="HJ36" s="83"/>
      <c r="HK36" s="83"/>
      <c r="HL36" s="83"/>
      <c r="HM36" s="83"/>
      <c r="HN36" s="83"/>
      <c r="HO36" s="83"/>
    </row>
    <row r="37" s="16" customFormat="1" spans="1:223">
      <c r="A37" s="55"/>
      <c r="B37" s="19" t="s">
        <v>127</v>
      </c>
      <c r="C37" s="56"/>
      <c r="D37" s="57" t="s">
        <v>128</v>
      </c>
      <c r="E37" s="58" t="s">
        <v>129</v>
      </c>
      <c r="H37" s="54"/>
      <c r="I37" s="50"/>
      <c r="J37" s="50"/>
      <c r="K37" s="50"/>
      <c r="L37" s="50"/>
      <c r="M37" s="82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  <c r="CB37" s="83"/>
      <c r="CC37" s="83"/>
      <c r="CD37" s="83"/>
      <c r="CE37" s="83"/>
      <c r="CF37" s="83"/>
      <c r="CG37" s="83"/>
      <c r="CH37" s="83"/>
      <c r="CI37" s="83"/>
      <c r="CJ37" s="83"/>
      <c r="CK37" s="83"/>
      <c r="CL37" s="83"/>
      <c r="CM37" s="83"/>
      <c r="CN37" s="83"/>
      <c r="CO37" s="83"/>
      <c r="CP37" s="83"/>
      <c r="CQ37" s="83"/>
      <c r="CR37" s="83"/>
      <c r="CS37" s="83"/>
      <c r="CT37" s="83"/>
      <c r="CU37" s="83"/>
      <c r="CV37" s="83"/>
      <c r="CW37" s="83"/>
      <c r="CX37" s="83"/>
      <c r="CY37" s="83"/>
      <c r="CZ37" s="83"/>
      <c r="DA37" s="83"/>
      <c r="DB37" s="83"/>
      <c r="DC37" s="83"/>
      <c r="DD37" s="83"/>
      <c r="DE37" s="83"/>
      <c r="DF37" s="83"/>
      <c r="DG37" s="83"/>
      <c r="DH37" s="83"/>
      <c r="DI37" s="83"/>
      <c r="DJ37" s="83"/>
      <c r="DK37" s="83"/>
      <c r="DL37" s="83"/>
      <c r="DM37" s="83"/>
      <c r="DN37" s="83"/>
      <c r="DO37" s="83"/>
      <c r="DP37" s="83"/>
      <c r="DQ37" s="83"/>
      <c r="DR37" s="83"/>
      <c r="DS37" s="83"/>
      <c r="DT37" s="83"/>
      <c r="DU37" s="83"/>
      <c r="DV37" s="83"/>
      <c r="DW37" s="83"/>
      <c r="DX37" s="83"/>
      <c r="DY37" s="83"/>
      <c r="DZ37" s="83"/>
      <c r="EA37" s="83"/>
      <c r="EB37" s="83"/>
      <c r="EC37" s="83"/>
      <c r="ED37" s="83"/>
      <c r="EE37" s="83"/>
      <c r="EF37" s="83"/>
      <c r="EG37" s="83"/>
      <c r="EH37" s="83"/>
      <c r="EI37" s="83"/>
      <c r="EJ37" s="83"/>
      <c r="EK37" s="83"/>
      <c r="EL37" s="83"/>
      <c r="EM37" s="83"/>
      <c r="EN37" s="83"/>
      <c r="EO37" s="83"/>
      <c r="EP37" s="83"/>
      <c r="EQ37" s="83"/>
      <c r="ER37" s="83"/>
      <c r="ES37" s="83"/>
      <c r="ET37" s="83"/>
      <c r="EU37" s="83"/>
      <c r="EV37" s="83"/>
      <c r="EW37" s="83"/>
      <c r="EX37" s="83"/>
      <c r="EY37" s="83"/>
      <c r="EZ37" s="83"/>
      <c r="FA37" s="83"/>
      <c r="FB37" s="83"/>
      <c r="FC37" s="83"/>
      <c r="FD37" s="83"/>
      <c r="FE37" s="83"/>
      <c r="FF37" s="83"/>
      <c r="FG37" s="83"/>
      <c r="FH37" s="83"/>
      <c r="FI37" s="83"/>
      <c r="FJ37" s="83"/>
      <c r="FK37" s="83"/>
      <c r="FL37" s="83"/>
      <c r="FM37" s="83"/>
      <c r="FN37" s="83"/>
      <c r="FO37" s="83"/>
      <c r="FP37" s="83"/>
      <c r="FQ37" s="83"/>
      <c r="FR37" s="83"/>
      <c r="FS37" s="83"/>
      <c r="FT37" s="83"/>
      <c r="FU37" s="83"/>
      <c r="FV37" s="83"/>
      <c r="FW37" s="83"/>
      <c r="FX37" s="83"/>
      <c r="FY37" s="83"/>
      <c r="FZ37" s="83"/>
      <c r="GA37" s="83"/>
      <c r="GB37" s="83"/>
      <c r="GC37" s="83"/>
      <c r="GD37" s="83"/>
      <c r="GE37" s="83"/>
      <c r="GF37" s="83"/>
      <c r="GG37" s="83"/>
      <c r="GH37" s="83"/>
      <c r="GI37" s="83"/>
      <c r="GJ37" s="83"/>
      <c r="GK37" s="83"/>
      <c r="GL37" s="83"/>
      <c r="GM37" s="83"/>
      <c r="GN37" s="83"/>
      <c r="GO37" s="83"/>
      <c r="GP37" s="83"/>
      <c r="GQ37" s="83"/>
      <c r="GR37" s="83"/>
      <c r="GS37" s="83"/>
      <c r="GT37" s="83"/>
      <c r="GU37" s="83"/>
      <c r="GV37" s="83"/>
      <c r="GW37" s="83"/>
      <c r="GX37" s="83"/>
      <c r="GY37" s="83"/>
      <c r="GZ37" s="83"/>
      <c r="HA37" s="83"/>
      <c r="HB37" s="83"/>
      <c r="HC37" s="83"/>
      <c r="HD37" s="83"/>
      <c r="HE37" s="83"/>
      <c r="HF37" s="83"/>
      <c r="HG37" s="83"/>
      <c r="HH37" s="83"/>
      <c r="HI37" s="83"/>
      <c r="HJ37" s="83"/>
      <c r="HK37" s="83"/>
      <c r="HL37" s="83"/>
      <c r="HM37" s="83"/>
      <c r="HN37" s="83"/>
      <c r="HO37" s="83"/>
    </row>
    <row r="38" s="16" customFormat="1" spans="1:223">
      <c r="A38" s="55"/>
      <c r="B38" s="19" t="s">
        <v>130</v>
      </c>
      <c r="C38" s="56"/>
      <c r="D38" s="57"/>
      <c r="E38" s="58" t="s">
        <v>131</v>
      </c>
      <c r="H38" s="54"/>
      <c r="I38" s="50"/>
      <c r="J38" s="50"/>
      <c r="K38" s="50"/>
      <c r="L38" s="50"/>
      <c r="M38" s="82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  <c r="CB38" s="83"/>
      <c r="CC38" s="83"/>
      <c r="CD38" s="83"/>
      <c r="CE38" s="83"/>
      <c r="CF38" s="83"/>
      <c r="CG38" s="83"/>
      <c r="CH38" s="83"/>
      <c r="CI38" s="83"/>
      <c r="CJ38" s="83"/>
      <c r="CK38" s="83"/>
      <c r="CL38" s="83"/>
      <c r="CM38" s="83"/>
      <c r="CN38" s="83"/>
      <c r="CO38" s="83"/>
      <c r="CP38" s="83"/>
      <c r="CQ38" s="83"/>
      <c r="CR38" s="83"/>
      <c r="CS38" s="83"/>
      <c r="CT38" s="83"/>
      <c r="CU38" s="83"/>
      <c r="CV38" s="83"/>
      <c r="CW38" s="83"/>
      <c r="CX38" s="83"/>
      <c r="CY38" s="83"/>
      <c r="CZ38" s="83"/>
      <c r="DA38" s="83"/>
      <c r="DB38" s="83"/>
      <c r="DC38" s="83"/>
      <c r="DD38" s="83"/>
      <c r="DE38" s="83"/>
      <c r="DF38" s="83"/>
      <c r="DG38" s="83"/>
      <c r="DH38" s="83"/>
      <c r="DI38" s="83"/>
      <c r="DJ38" s="83"/>
      <c r="DK38" s="83"/>
      <c r="DL38" s="83"/>
      <c r="DM38" s="83"/>
      <c r="DN38" s="83"/>
      <c r="DO38" s="83"/>
      <c r="DP38" s="83"/>
      <c r="DQ38" s="83"/>
      <c r="DR38" s="83"/>
      <c r="DS38" s="83"/>
      <c r="DT38" s="83"/>
      <c r="DU38" s="83"/>
      <c r="DV38" s="83"/>
      <c r="DW38" s="83"/>
      <c r="DX38" s="83"/>
      <c r="DY38" s="83"/>
      <c r="DZ38" s="83"/>
      <c r="EA38" s="83"/>
      <c r="EB38" s="83"/>
      <c r="EC38" s="83"/>
      <c r="ED38" s="83"/>
      <c r="EE38" s="83"/>
      <c r="EF38" s="83"/>
      <c r="EG38" s="83"/>
      <c r="EH38" s="83"/>
      <c r="EI38" s="83"/>
      <c r="EJ38" s="83"/>
      <c r="EK38" s="83"/>
      <c r="EL38" s="83"/>
      <c r="EM38" s="83"/>
      <c r="EN38" s="83"/>
      <c r="EO38" s="83"/>
      <c r="EP38" s="83"/>
      <c r="EQ38" s="83"/>
      <c r="ER38" s="83"/>
      <c r="ES38" s="83"/>
      <c r="ET38" s="83"/>
      <c r="EU38" s="83"/>
      <c r="EV38" s="83"/>
      <c r="EW38" s="83"/>
      <c r="EX38" s="83"/>
      <c r="EY38" s="83"/>
      <c r="EZ38" s="83"/>
      <c r="FA38" s="83"/>
      <c r="FB38" s="83"/>
      <c r="FC38" s="83"/>
      <c r="FD38" s="83"/>
      <c r="FE38" s="83"/>
      <c r="FF38" s="83"/>
      <c r="FG38" s="83"/>
      <c r="FH38" s="83"/>
      <c r="FI38" s="83"/>
      <c r="FJ38" s="83"/>
      <c r="FK38" s="83"/>
      <c r="FL38" s="83"/>
      <c r="FM38" s="83"/>
      <c r="FN38" s="83"/>
      <c r="FO38" s="83"/>
      <c r="FP38" s="83"/>
      <c r="FQ38" s="83"/>
      <c r="FR38" s="83"/>
      <c r="FS38" s="83"/>
      <c r="FT38" s="83"/>
      <c r="FU38" s="83"/>
      <c r="FV38" s="83"/>
      <c r="FW38" s="83"/>
      <c r="FX38" s="83"/>
      <c r="FY38" s="83"/>
      <c r="FZ38" s="83"/>
      <c r="GA38" s="83"/>
      <c r="GB38" s="83"/>
      <c r="GC38" s="83"/>
      <c r="GD38" s="83"/>
      <c r="GE38" s="83"/>
      <c r="GF38" s="83"/>
      <c r="GG38" s="83"/>
      <c r="GH38" s="83"/>
      <c r="GI38" s="83"/>
      <c r="GJ38" s="83"/>
      <c r="GK38" s="83"/>
      <c r="GL38" s="83"/>
      <c r="GM38" s="83"/>
      <c r="GN38" s="83"/>
      <c r="GO38" s="83"/>
      <c r="GP38" s="83"/>
      <c r="GQ38" s="83"/>
      <c r="GR38" s="83"/>
      <c r="GS38" s="83"/>
      <c r="GT38" s="83"/>
      <c r="GU38" s="83"/>
      <c r="GV38" s="83"/>
      <c r="GW38" s="83"/>
      <c r="GX38" s="83"/>
      <c r="GY38" s="83"/>
      <c r="GZ38" s="83"/>
      <c r="HA38" s="83"/>
      <c r="HB38" s="83"/>
      <c r="HC38" s="83"/>
      <c r="HD38" s="83"/>
      <c r="HE38" s="83"/>
      <c r="HF38" s="83"/>
      <c r="HG38" s="83"/>
      <c r="HH38" s="83"/>
      <c r="HI38" s="83"/>
      <c r="HJ38" s="83"/>
      <c r="HK38" s="83"/>
      <c r="HL38" s="83"/>
      <c r="HM38" s="83"/>
      <c r="HN38" s="83"/>
      <c r="HO38" s="83"/>
    </row>
    <row r="39" s="16" customFormat="1" spans="1:223">
      <c r="A39" s="55"/>
      <c r="B39" s="19" t="s">
        <v>132</v>
      </c>
      <c r="C39" s="56"/>
      <c r="D39" s="57"/>
      <c r="E39" s="58" t="s">
        <v>133</v>
      </c>
      <c r="H39" s="54"/>
      <c r="I39" s="50"/>
      <c r="J39" s="50"/>
      <c r="K39" s="50"/>
      <c r="L39" s="50"/>
      <c r="M39" s="82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Y39" s="83"/>
      <c r="BZ39" s="83"/>
      <c r="CA39" s="83"/>
      <c r="CB39" s="83"/>
      <c r="CC39" s="83"/>
      <c r="CD39" s="83"/>
      <c r="CE39" s="83"/>
      <c r="CF39" s="83"/>
      <c r="CG39" s="83"/>
      <c r="CH39" s="83"/>
      <c r="CI39" s="83"/>
      <c r="CJ39" s="83"/>
      <c r="CK39" s="83"/>
      <c r="CL39" s="83"/>
      <c r="CM39" s="83"/>
      <c r="CN39" s="83"/>
      <c r="CO39" s="83"/>
      <c r="CP39" s="83"/>
      <c r="CQ39" s="83"/>
      <c r="CR39" s="83"/>
      <c r="CS39" s="83"/>
      <c r="CT39" s="83"/>
      <c r="CU39" s="83"/>
      <c r="CV39" s="83"/>
      <c r="CW39" s="83"/>
      <c r="CX39" s="83"/>
      <c r="CY39" s="83"/>
      <c r="CZ39" s="83"/>
      <c r="DA39" s="83"/>
      <c r="DB39" s="83"/>
      <c r="DC39" s="83"/>
      <c r="DD39" s="83"/>
      <c r="DE39" s="83"/>
      <c r="DF39" s="83"/>
      <c r="DG39" s="83"/>
      <c r="DH39" s="83"/>
      <c r="DI39" s="83"/>
      <c r="DJ39" s="83"/>
      <c r="DK39" s="83"/>
      <c r="DL39" s="83"/>
      <c r="DM39" s="83"/>
      <c r="DN39" s="83"/>
      <c r="DO39" s="83"/>
      <c r="DP39" s="83"/>
      <c r="DQ39" s="83"/>
      <c r="DR39" s="83"/>
      <c r="DS39" s="83"/>
      <c r="DT39" s="83"/>
      <c r="DU39" s="83"/>
      <c r="DV39" s="83"/>
      <c r="DW39" s="83"/>
      <c r="DX39" s="83"/>
      <c r="DY39" s="83"/>
      <c r="DZ39" s="83"/>
      <c r="EA39" s="83"/>
      <c r="EB39" s="83"/>
      <c r="EC39" s="83"/>
      <c r="ED39" s="83"/>
      <c r="EE39" s="83"/>
      <c r="EF39" s="83"/>
      <c r="EG39" s="83"/>
      <c r="EH39" s="83"/>
      <c r="EI39" s="83"/>
      <c r="EJ39" s="83"/>
      <c r="EK39" s="83"/>
      <c r="EL39" s="83"/>
      <c r="EM39" s="83"/>
      <c r="EN39" s="83"/>
      <c r="EO39" s="83"/>
      <c r="EP39" s="83"/>
      <c r="EQ39" s="83"/>
      <c r="ER39" s="83"/>
      <c r="ES39" s="83"/>
      <c r="ET39" s="83"/>
      <c r="EU39" s="83"/>
      <c r="EV39" s="83"/>
      <c r="EW39" s="83"/>
      <c r="EX39" s="83"/>
      <c r="EY39" s="83"/>
      <c r="EZ39" s="83"/>
      <c r="FA39" s="83"/>
      <c r="FB39" s="83"/>
      <c r="FC39" s="83"/>
      <c r="FD39" s="83"/>
      <c r="FE39" s="83"/>
      <c r="FF39" s="83"/>
      <c r="FG39" s="83"/>
      <c r="FH39" s="83"/>
      <c r="FI39" s="83"/>
      <c r="FJ39" s="83"/>
      <c r="FK39" s="83"/>
      <c r="FL39" s="83"/>
      <c r="FM39" s="83"/>
      <c r="FN39" s="83"/>
      <c r="FO39" s="83"/>
      <c r="FP39" s="83"/>
      <c r="FQ39" s="83"/>
      <c r="FR39" s="83"/>
      <c r="FS39" s="83"/>
      <c r="FT39" s="83"/>
      <c r="FU39" s="83"/>
      <c r="FV39" s="83"/>
      <c r="FW39" s="83"/>
      <c r="FX39" s="83"/>
      <c r="FY39" s="83"/>
      <c r="FZ39" s="83"/>
      <c r="GA39" s="83"/>
      <c r="GB39" s="83"/>
      <c r="GC39" s="83"/>
      <c r="GD39" s="83"/>
      <c r="GE39" s="83"/>
      <c r="GF39" s="83"/>
      <c r="GG39" s="83"/>
      <c r="GH39" s="83"/>
      <c r="GI39" s="83"/>
      <c r="GJ39" s="83"/>
      <c r="GK39" s="83"/>
      <c r="GL39" s="83"/>
      <c r="GM39" s="83"/>
      <c r="GN39" s="83"/>
      <c r="GO39" s="83"/>
      <c r="GP39" s="83"/>
      <c r="GQ39" s="83"/>
      <c r="GR39" s="83"/>
      <c r="GS39" s="83"/>
      <c r="GT39" s="83"/>
      <c r="GU39" s="83"/>
      <c r="GV39" s="83"/>
      <c r="GW39" s="83"/>
      <c r="GX39" s="83"/>
      <c r="GY39" s="83"/>
      <c r="GZ39" s="83"/>
      <c r="HA39" s="83"/>
      <c r="HB39" s="83"/>
      <c r="HC39" s="83"/>
      <c r="HD39" s="83"/>
      <c r="HE39" s="83"/>
      <c r="HF39" s="83"/>
      <c r="HG39" s="83"/>
      <c r="HH39" s="83"/>
      <c r="HI39" s="83"/>
      <c r="HJ39" s="83"/>
      <c r="HK39" s="83"/>
      <c r="HL39" s="83"/>
      <c r="HM39" s="83"/>
      <c r="HN39" s="83"/>
      <c r="HO39" s="83"/>
    </row>
    <row r="40" s="16" customFormat="1" spans="1:223">
      <c r="A40" s="55"/>
      <c r="B40" s="19" t="s">
        <v>134</v>
      </c>
      <c r="C40" s="56"/>
      <c r="D40" s="57"/>
      <c r="E40" s="58" t="s">
        <v>135</v>
      </c>
      <c r="H40" s="54"/>
      <c r="I40" s="50"/>
      <c r="J40" s="50"/>
      <c r="K40" s="50"/>
      <c r="L40" s="50"/>
      <c r="M40" s="82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/>
      <c r="BU40" s="83"/>
      <c r="BV40" s="83"/>
      <c r="BW40" s="83"/>
      <c r="BX40" s="83"/>
      <c r="BY40" s="83"/>
      <c r="BZ40" s="83"/>
      <c r="CA40" s="83"/>
      <c r="CB40" s="83"/>
      <c r="CC40" s="83"/>
      <c r="CD40" s="83"/>
      <c r="CE40" s="83"/>
      <c r="CF40" s="83"/>
      <c r="CG40" s="83"/>
      <c r="CH40" s="83"/>
      <c r="CI40" s="83"/>
      <c r="CJ40" s="83"/>
      <c r="CK40" s="83"/>
      <c r="CL40" s="83"/>
      <c r="CM40" s="83"/>
      <c r="CN40" s="83"/>
      <c r="CO40" s="83"/>
      <c r="CP40" s="83"/>
      <c r="CQ40" s="83"/>
      <c r="CR40" s="83"/>
      <c r="CS40" s="83"/>
      <c r="CT40" s="83"/>
      <c r="CU40" s="83"/>
      <c r="CV40" s="83"/>
      <c r="CW40" s="83"/>
      <c r="CX40" s="83"/>
      <c r="CY40" s="83"/>
      <c r="CZ40" s="83"/>
      <c r="DA40" s="83"/>
      <c r="DB40" s="83"/>
      <c r="DC40" s="83"/>
      <c r="DD40" s="83"/>
      <c r="DE40" s="83"/>
      <c r="DF40" s="83"/>
      <c r="DG40" s="83"/>
      <c r="DH40" s="83"/>
      <c r="DI40" s="83"/>
      <c r="DJ40" s="83"/>
      <c r="DK40" s="83"/>
      <c r="DL40" s="83"/>
      <c r="DM40" s="83"/>
      <c r="DN40" s="83"/>
      <c r="DO40" s="83"/>
      <c r="DP40" s="83"/>
      <c r="DQ40" s="83"/>
      <c r="DR40" s="83"/>
      <c r="DS40" s="83"/>
      <c r="DT40" s="83"/>
      <c r="DU40" s="83"/>
      <c r="DV40" s="83"/>
      <c r="DW40" s="83"/>
      <c r="DX40" s="83"/>
      <c r="DY40" s="83"/>
      <c r="DZ40" s="83"/>
      <c r="EA40" s="83"/>
      <c r="EB40" s="83"/>
      <c r="EC40" s="83"/>
      <c r="ED40" s="83"/>
      <c r="EE40" s="83"/>
      <c r="EF40" s="83"/>
      <c r="EG40" s="83"/>
      <c r="EH40" s="83"/>
      <c r="EI40" s="83"/>
      <c r="EJ40" s="83"/>
      <c r="EK40" s="83"/>
      <c r="EL40" s="83"/>
      <c r="EM40" s="83"/>
      <c r="EN40" s="83"/>
      <c r="EO40" s="83"/>
      <c r="EP40" s="83"/>
      <c r="EQ40" s="83"/>
      <c r="ER40" s="83"/>
      <c r="ES40" s="83"/>
      <c r="ET40" s="83"/>
      <c r="EU40" s="83"/>
      <c r="EV40" s="83"/>
      <c r="EW40" s="83"/>
      <c r="EX40" s="83"/>
      <c r="EY40" s="83"/>
      <c r="EZ40" s="83"/>
      <c r="FA40" s="83"/>
      <c r="FB40" s="83"/>
      <c r="FC40" s="83"/>
      <c r="FD40" s="83"/>
      <c r="FE40" s="83"/>
      <c r="FF40" s="83"/>
      <c r="FG40" s="83"/>
      <c r="FH40" s="83"/>
      <c r="FI40" s="83"/>
      <c r="FJ40" s="83"/>
      <c r="FK40" s="83"/>
      <c r="FL40" s="83"/>
      <c r="FM40" s="83"/>
      <c r="FN40" s="83"/>
      <c r="FO40" s="83"/>
      <c r="FP40" s="83"/>
      <c r="FQ40" s="83"/>
      <c r="FR40" s="83"/>
      <c r="FS40" s="83"/>
      <c r="FT40" s="83"/>
      <c r="FU40" s="83"/>
      <c r="FV40" s="83"/>
      <c r="FW40" s="83"/>
      <c r="FX40" s="83"/>
      <c r="FY40" s="83"/>
      <c r="FZ40" s="83"/>
      <c r="GA40" s="83"/>
      <c r="GB40" s="83"/>
      <c r="GC40" s="83"/>
      <c r="GD40" s="83"/>
      <c r="GE40" s="83"/>
      <c r="GF40" s="83"/>
      <c r="GG40" s="83"/>
      <c r="GH40" s="83"/>
      <c r="GI40" s="83"/>
      <c r="GJ40" s="83"/>
      <c r="GK40" s="83"/>
      <c r="GL40" s="83"/>
      <c r="GM40" s="83"/>
      <c r="GN40" s="83"/>
      <c r="GO40" s="83"/>
      <c r="GP40" s="83"/>
      <c r="GQ40" s="83"/>
      <c r="GR40" s="83"/>
      <c r="GS40" s="83"/>
      <c r="GT40" s="83"/>
      <c r="GU40" s="83"/>
      <c r="GV40" s="83"/>
      <c r="GW40" s="83"/>
      <c r="GX40" s="83"/>
      <c r="GY40" s="83"/>
      <c r="GZ40" s="83"/>
      <c r="HA40" s="83"/>
      <c r="HB40" s="83"/>
      <c r="HC40" s="83"/>
      <c r="HD40" s="83"/>
      <c r="HE40" s="83"/>
      <c r="HF40" s="83"/>
      <c r="HG40" s="83"/>
      <c r="HH40" s="83"/>
      <c r="HI40" s="83"/>
      <c r="HJ40" s="83"/>
      <c r="HK40" s="83"/>
      <c r="HL40" s="83"/>
      <c r="HM40" s="83"/>
      <c r="HN40" s="83"/>
      <c r="HO40" s="83"/>
    </row>
    <row r="41" s="16" customFormat="1" spans="1:223">
      <c r="A41" s="55"/>
      <c r="B41" s="19" t="s">
        <v>136</v>
      </c>
      <c r="C41" s="56"/>
      <c r="D41" s="57"/>
      <c r="E41" s="58" t="s">
        <v>137</v>
      </c>
      <c r="H41" s="54"/>
      <c r="I41" s="50"/>
      <c r="J41" s="50"/>
      <c r="K41" s="50"/>
      <c r="L41" s="50"/>
      <c r="M41" s="82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3"/>
      <c r="DA41" s="83"/>
      <c r="DB41" s="83"/>
      <c r="DC41" s="83"/>
      <c r="DD41" s="83"/>
      <c r="DE41" s="83"/>
      <c r="DF41" s="83"/>
      <c r="DG41" s="83"/>
      <c r="DH41" s="83"/>
      <c r="DI41" s="83"/>
      <c r="DJ41" s="83"/>
      <c r="DK41" s="83"/>
      <c r="DL41" s="83"/>
      <c r="DM41" s="83"/>
      <c r="DN41" s="83"/>
      <c r="DO41" s="83"/>
      <c r="DP41" s="83"/>
      <c r="DQ41" s="83"/>
      <c r="DR41" s="83"/>
      <c r="DS41" s="83"/>
      <c r="DT41" s="83"/>
      <c r="DU41" s="83"/>
      <c r="DV41" s="83"/>
      <c r="DW41" s="83"/>
      <c r="DX41" s="83"/>
      <c r="DY41" s="83"/>
      <c r="DZ41" s="83"/>
      <c r="EA41" s="83"/>
      <c r="EB41" s="83"/>
      <c r="EC41" s="83"/>
      <c r="ED41" s="83"/>
      <c r="EE41" s="83"/>
      <c r="EF41" s="83"/>
      <c r="EG41" s="83"/>
      <c r="EH41" s="83"/>
      <c r="EI41" s="83"/>
      <c r="EJ41" s="83"/>
      <c r="EK41" s="83"/>
      <c r="EL41" s="83"/>
      <c r="EM41" s="83"/>
      <c r="EN41" s="83"/>
      <c r="EO41" s="83"/>
      <c r="EP41" s="83"/>
      <c r="EQ41" s="83"/>
      <c r="ER41" s="83"/>
      <c r="ES41" s="83"/>
      <c r="ET41" s="83"/>
      <c r="EU41" s="83"/>
      <c r="EV41" s="83"/>
      <c r="EW41" s="83"/>
      <c r="EX41" s="83"/>
      <c r="EY41" s="83"/>
      <c r="EZ41" s="83"/>
      <c r="FA41" s="83"/>
      <c r="FB41" s="83"/>
      <c r="FC41" s="83"/>
      <c r="FD41" s="83"/>
      <c r="FE41" s="83"/>
      <c r="FF41" s="83"/>
      <c r="FG41" s="83"/>
      <c r="FH41" s="83"/>
      <c r="FI41" s="83"/>
      <c r="FJ41" s="83"/>
      <c r="FK41" s="83"/>
      <c r="FL41" s="83"/>
      <c r="FM41" s="83"/>
      <c r="FN41" s="83"/>
      <c r="FO41" s="83"/>
      <c r="FP41" s="83"/>
      <c r="FQ41" s="83"/>
      <c r="FR41" s="83"/>
      <c r="FS41" s="83"/>
      <c r="FT41" s="83"/>
      <c r="FU41" s="83"/>
      <c r="FV41" s="83"/>
      <c r="FW41" s="83"/>
      <c r="FX41" s="83"/>
      <c r="FY41" s="83"/>
      <c r="FZ41" s="83"/>
      <c r="GA41" s="83"/>
      <c r="GB41" s="83"/>
      <c r="GC41" s="83"/>
      <c r="GD41" s="83"/>
      <c r="GE41" s="83"/>
      <c r="GF41" s="83"/>
      <c r="GG41" s="83"/>
      <c r="GH41" s="83"/>
      <c r="GI41" s="83"/>
      <c r="GJ41" s="83"/>
      <c r="GK41" s="83"/>
      <c r="GL41" s="83"/>
      <c r="GM41" s="83"/>
      <c r="GN41" s="83"/>
      <c r="GO41" s="83"/>
      <c r="GP41" s="83"/>
      <c r="GQ41" s="83"/>
      <c r="GR41" s="83"/>
      <c r="GS41" s="83"/>
      <c r="GT41" s="83"/>
      <c r="GU41" s="83"/>
      <c r="GV41" s="83"/>
      <c r="GW41" s="83"/>
      <c r="GX41" s="83"/>
      <c r="GY41" s="83"/>
      <c r="GZ41" s="83"/>
      <c r="HA41" s="83"/>
      <c r="HB41" s="83"/>
      <c r="HC41" s="83"/>
      <c r="HD41" s="83"/>
      <c r="HE41" s="83"/>
      <c r="HF41" s="83"/>
      <c r="HG41" s="83"/>
      <c r="HH41" s="83"/>
      <c r="HI41" s="83"/>
      <c r="HJ41" s="83"/>
      <c r="HK41" s="83"/>
      <c r="HL41" s="83"/>
      <c r="HM41" s="83"/>
      <c r="HN41" s="83"/>
      <c r="HO41" s="83"/>
    </row>
    <row r="42" s="16" customFormat="1" spans="1:223">
      <c r="A42" s="55"/>
      <c r="B42" s="19" t="s">
        <v>138</v>
      </c>
      <c r="C42" s="56"/>
      <c r="D42" s="57"/>
      <c r="E42" s="58" t="s">
        <v>139</v>
      </c>
      <c r="H42" s="54"/>
      <c r="I42" s="50"/>
      <c r="J42" s="50"/>
      <c r="K42" s="50"/>
      <c r="L42" s="50"/>
      <c r="M42" s="82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  <c r="CP42" s="83"/>
      <c r="CQ42" s="83"/>
      <c r="CR42" s="83"/>
      <c r="CS42" s="83"/>
      <c r="CT42" s="83"/>
      <c r="CU42" s="83"/>
      <c r="CV42" s="83"/>
      <c r="CW42" s="83"/>
      <c r="CX42" s="83"/>
      <c r="CY42" s="83"/>
      <c r="CZ42" s="83"/>
      <c r="DA42" s="83"/>
      <c r="DB42" s="83"/>
      <c r="DC42" s="83"/>
      <c r="DD42" s="83"/>
      <c r="DE42" s="83"/>
      <c r="DF42" s="83"/>
      <c r="DG42" s="83"/>
      <c r="DH42" s="83"/>
      <c r="DI42" s="83"/>
      <c r="DJ42" s="83"/>
      <c r="DK42" s="83"/>
      <c r="DL42" s="83"/>
      <c r="DM42" s="83"/>
      <c r="DN42" s="83"/>
      <c r="DO42" s="83"/>
      <c r="DP42" s="83"/>
      <c r="DQ42" s="83"/>
      <c r="DR42" s="83"/>
      <c r="DS42" s="83"/>
      <c r="DT42" s="83"/>
      <c r="DU42" s="83"/>
      <c r="DV42" s="83"/>
      <c r="DW42" s="83"/>
      <c r="DX42" s="83"/>
      <c r="DY42" s="83"/>
      <c r="DZ42" s="83"/>
      <c r="EA42" s="83"/>
      <c r="EB42" s="83"/>
      <c r="EC42" s="83"/>
      <c r="ED42" s="83"/>
      <c r="EE42" s="83"/>
      <c r="EF42" s="83"/>
      <c r="EG42" s="83"/>
      <c r="EH42" s="83"/>
      <c r="EI42" s="83"/>
      <c r="EJ42" s="83"/>
      <c r="EK42" s="83"/>
      <c r="EL42" s="83"/>
      <c r="EM42" s="83"/>
      <c r="EN42" s="83"/>
      <c r="EO42" s="83"/>
      <c r="EP42" s="83"/>
      <c r="EQ42" s="83"/>
      <c r="ER42" s="83"/>
      <c r="ES42" s="83"/>
      <c r="ET42" s="83"/>
      <c r="EU42" s="83"/>
      <c r="EV42" s="83"/>
      <c r="EW42" s="83"/>
      <c r="EX42" s="83"/>
      <c r="EY42" s="83"/>
      <c r="EZ42" s="83"/>
      <c r="FA42" s="83"/>
      <c r="FB42" s="83"/>
      <c r="FC42" s="83"/>
      <c r="FD42" s="83"/>
      <c r="FE42" s="83"/>
      <c r="FF42" s="83"/>
      <c r="FG42" s="83"/>
      <c r="FH42" s="83"/>
      <c r="FI42" s="83"/>
      <c r="FJ42" s="83"/>
      <c r="FK42" s="83"/>
      <c r="FL42" s="83"/>
      <c r="FM42" s="83"/>
      <c r="FN42" s="83"/>
      <c r="FO42" s="83"/>
      <c r="FP42" s="83"/>
      <c r="FQ42" s="83"/>
      <c r="FR42" s="83"/>
      <c r="FS42" s="83"/>
      <c r="FT42" s="83"/>
      <c r="FU42" s="83"/>
      <c r="FV42" s="83"/>
      <c r="FW42" s="83"/>
      <c r="FX42" s="83"/>
      <c r="FY42" s="83"/>
      <c r="FZ42" s="83"/>
      <c r="GA42" s="83"/>
      <c r="GB42" s="83"/>
      <c r="GC42" s="83"/>
      <c r="GD42" s="83"/>
      <c r="GE42" s="83"/>
      <c r="GF42" s="83"/>
      <c r="GG42" s="83"/>
      <c r="GH42" s="83"/>
      <c r="GI42" s="83"/>
      <c r="GJ42" s="83"/>
      <c r="GK42" s="83"/>
      <c r="GL42" s="83"/>
      <c r="GM42" s="83"/>
      <c r="GN42" s="83"/>
      <c r="GO42" s="83"/>
      <c r="GP42" s="83"/>
      <c r="GQ42" s="83"/>
      <c r="GR42" s="83"/>
      <c r="GS42" s="83"/>
      <c r="GT42" s="83"/>
      <c r="GU42" s="83"/>
      <c r="GV42" s="83"/>
      <c r="GW42" s="83"/>
      <c r="GX42" s="83"/>
      <c r="GY42" s="83"/>
      <c r="GZ42" s="83"/>
      <c r="HA42" s="83"/>
      <c r="HB42" s="83"/>
      <c r="HC42" s="83"/>
      <c r="HD42" s="83"/>
      <c r="HE42" s="83"/>
      <c r="HF42" s="83"/>
      <c r="HG42" s="83"/>
      <c r="HH42" s="83"/>
      <c r="HI42" s="83"/>
      <c r="HJ42" s="83"/>
      <c r="HK42" s="83"/>
      <c r="HL42" s="83"/>
      <c r="HM42" s="83"/>
      <c r="HN42" s="83"/>
      <c r="HO42" s="83"/>
    </row>
    <row r="43" s="16" customFormat="1" spans="1:223">
      <c r="A43" s="55"/>
      <c r="B43" s="19" t="s">
        <v>140</v>
      </c>
      <c r="C43" s="56"/>
      <c r="D43" s="57"/>
      <c r="E43" s="58" t="s">
        <v>141</v>
      </c>
      <c r="H43" s="54"/>
      <c r="I43" s="50"/>
      <c r="J43" s="50"/>
      <c r="K43" s="50"/>
      <c r="L43" s="50"/>
      <c r="M43" s="82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83"/>
      <c r="CH43" s="83"/>
      <c r="CI43" s="83"/>
      <c r="CJ43" s="83"/>
      <c r="CK43" s="83"/>
      <c r="CL43" s="83"/>
      <c r="CM43" s="83"/>
      <c r="CN43" s="83"/>
      <c r="CO43" s="83"/>
      <c r="CP43" s="83"/>
      <c r="CQ43" s="83"/>
      <c r="CR43" s="83"/>
      <c r="CS43" s="83"/>
      <c r="CT43" s="83"/>
      <c r="CU43" s="83"/>
      <c r="CV43" s="83"/>
      <c r="CW43" s="83"/>
      <c r="CX43" s="83"/>
      <c r="CY43" s="83"/>
      <c r="CZ43" s="83"/>
      <c r="DA43" s="83"/>
      <c r="DB43" s="83"/>
      <c r="DC43" s="83"/>
      <c r="DD43" s="83"/>
      <c r="DE43" s="83"/>
      <c r="DF43" s="83"/>
      <c r="DG43" s="83"/>
      <c r="DH43" s="83"/>
      <c r="DI43" s="83"/>
      <c r="DJ43" s="83"/>
      <c r="DK43" s="83"/>
      <c r="DL43" s="83"/>
      <c r="DM43" s="83"/>
      <c r="DN43" s="83"/>
      <c r="DO43" s="83"/>
      <c r="DP43" s="83"/>
      <c r="DQ43" s="83"/>
      <c r="DR43" s="83"/>
      <c r="DS43" s="83"/>
      <c r="DT43" s="83"/>
      <c r="DU43" s="83"/>
      <c r="DV43" s="83"/>
      <c r="DW43" s="83"/>
      <c r="DX43" s="83"/>
      <c r="DY43" s="83"/>
      <c r="DZ43" s="83"/>
      <c r="EA43" s="83"/>
      <c r="EB43" s="83"/>
      <c r="EC43" s="83"/>
      <c r="ED43" s="83"/>
      <c r="EE43" s="83"/>
      <c r="EF43" s="83"/>
      <c r="EG43" s="83"/>
      <c r="EH43" s="83"/>
      <c r="EI43" s="83"/>
      <c r="EJ43" s="83"/>
      <c r="EK43" s="83"/>
      <c r="EL43" s="83"/>
      <c r="EM43" s="83"/>
      <c r="EN43" s="83"/>
      <c r="EO43" s="83"/>
      <c r="EP43" s="83"/>
      <c r="EQ43" s="83"/>
      <c r="ER43" s="83"/>
      <c r="ES43" s="83"/>
      <c r="ET43" s="83"/>
      <c r="EU43" s="83"/>
      <c r="EV43" s="83"/>
      <c r="EW43" s="83"/>
      <c r="EX43" s="83"/>
      <c r="EY43" s="83"/>
      <c r="EZ43" s="83"/>
      <c r="FA43" s="83"/>
      <c r="FB43" s="83"/>
      <c r="FC43" s="83"/>
      <c r="FD43" s="83"/>
      <c r="FE43" s="83"/>
      <c r="FF43" s="83"/>
      <c r="FG43" s="83"/>
      <c r="FH43" s="83"/>
      <c r="FI43" s="83"/>
      <c r="FJ43" s="83"/>
      <c r="FK43" s="83"/>
      <c r="FL43" s="83"/>
      <c r="FM43" s="83"/>
      <c r="FN43" s="83"/>
      <c r="FO43" s="83"/>
      <c r="FP43" s="83"/>
      <c r="FQ43" s="83"/>
      <c r="FR43" s="83"/>
      <c r="FS43" s="83"/>
      <c r="FT43" s="83"/>
      <c r="FU43" s="83"/>
      <c r="FV43" s="83"/>
      <c r="FW43" s="83"/>
      <c r="FX43" s="83"/>
      <c r="FY43" s="83"/>
      <c r="FZ43" s="83"/>
      <c r="GA43" s="83"/>
      <c r="GB43" s="83"/>
      <c r="GC43" s="83"/>
      <c r="GD43" s="83"/>
      <c r="GE43" s="83"/>
      <c r="GF43" s="83"/>
      <c r="GG43" s="83"/>
      <c r="GH43" s="83"/>
      <c r="GI43" s="83"/>
      <c r="GJ43" s="83"/>
      <c r="GK43" s="83"/>
      <c r="GL43" s="83"/>
      <c r="GM43" s="83"/>
      <c r="GN43" s="83"/>
      <c r="GO43" s="83"/>
      <c r="GP43" s="83"/>
      <c r="GQ43" s="83"/>
      <c r="GR43" s="83"/>
      <c r="GS43" s="83"/>
      <c r="GT43" s="83"/>
      <c r="GU43" s="83"/>
      <c r="GV43" s="83"/>
      <c r="GW43" s="83"/>
      <c r="GX43" s="83"/>
      <c r="GY43" s="83"/>
      <c r="GZ43" s="83"/>
      <c r="HA43" s="83"/>
      <c r="HB43" s="83"/>
      <c r="HC43" s="83"/>
      <c r="HD43" s="83"/>
      <c r="HE43" s="83"/>
      <c r="HF43" s="83"/>
      <c r="HG43" s="83"/>
      <c r="HH43" s="83"/>
      <c r="HI43" s="83"/>
      <c r="HJ43" s="83"/>
      <c r="HK43" s="83"/>
      <c r="HL43" s="83"/>
      <c r="HM43" s="83"/>
      <c r="HN43" s="83"/>
      <c r="HO43" s="83"/>
    </row>
    <row r="44" s="16" customFormat="1" spans="1:223">
      <c r="A44" s="55"/>
      <c r="B44" s="19" t="s">
        <v>142</v>
      </c>
      <c r="C44" s="56"/>
      <c r="D44" s="57"/>
      <c r="E44" s="58" t="s">
        <v>143</v>
      </c>
      <c r="H44" s="54"/>
      <c r="I44" s="50"/>
      <c r="J44" s="50"/>
      <c r="K44" s="50"/>
      <c r="L44" s="50"/>
      <c r="M44" s="82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/>
      <c r="CF44" s="83"/>
      <c r="CG44" s="83"/>
      <c r="CH44" s="83"/>
      <c r="CI44" s="83"/>
      <c r="CJ44" s="83"/>
      <c r="CK44" s="83"/>
      <c r="CL44" s="83"/>
      <c r="CM44" s="83"/>
      <c r="CN44" s="83"/>
      <c r="CO44" s="83"/>
      <c r="CP44" s="83"/>
      <c r="CQ44" s="83"/>
      <c r="CR44" s="83"/>
      <c r="CS44" s="83"/>
      <c r="CT44" s="83"/>
      <c r="CU44" s="83"/>
      <c r="CV44" s="83"/>
      <c r="CW44" s="83"/>
      <c r="CX44" s="83"/>
      <c r="CY44" s="83"/>
      <c r="CZ44" s="83"/>
      <c r="DA44" s="83"/>
      <c r="DB44" s="83"/>
      <c r="DC44" s="83"/>
      <c r="DD44" s="83"/>
      <c r="DE44" s="83"/>
      <c r="DF44" s="83"/>
      <c r="DG44" s="83"/>
      <c r="DH44" s="83"/>
      <c r="DI44" s="83"/>
      <c r="DJ44" s="83"/>
      <c r="DK44" s="83"/>
      <c r="DL44" s="83"/>
      <c r="DM44" s="83"/>
      <c r="DN44" s="83"/>
      <c r="DO44" s="83"/>
      <c r="DP44" s="83"/>
      <c r="DQ44" s="83"/>
      <c r="DR44" s="83"/>
      <c r="DS44" s="83"/>
      <c r="DT44" s="83"/>
      <c r="DU44" s="83"/>
      <c r="DV44" s="83"/>
      <c r="DW44" s="83"/>
      <c r="DX44" s="83"/>
      <c r="DY44" s="83"/>
      <c r="DZ44" s="83"/>
      <c r="EA44" s="83"/>
      <c r="EB44" s="83"/>
      <c r="EC44" s="83"/>
      <c r="ED44" s="83"/>
      <c r="EE44" s="83"/>
      <c r="EF44" s="83"/>
      <c r="EG44" s="83"/>
      <c r="EH44" s="83"/>
      <c r="EI44" s="83"/>
      <c r="EJ44" s="83"/>
      <c r="EK44" s="83"/>
      <c r="EL44" s="83"/>
      <c r="EM44" s="83"/>
      <c r="EN44" s="83"/>
      <c r="EO44" s="83"/>
      <c r="EP44" s="83"/>
      <c r="EQ44" s="83"/>
      <c r="ER44" s="83"/>
      <c r="ES44" s="83"/>
      <c r="ET44" s="83"/>
      <c r="EU44" s="83"/>
      <c r="EV44" s="83"/>
      <c r="EW44" s="83"/>
      <c r="EX44" s="83"/>
      <c r="EY44" s="83"/>
      <c r="EZ44" s="83"/>
      <c r="FA44" s="83"/>
      <c r="FB44" s="83"/>
      <c r="FC44" s="83"/>
      <c r="FD44" s="83"/>
      <c r="FE44" s="83"/>
      <c r="FF44" s="83"/>
      <c r="FG44" s="83"/>
      <c r="FH44" s="83"/>
      <c r="FI44" s="83"/>
      <c r="FJ44" s="83"/>
      <c r="FK44" s="83"/>
      <c r="FL44" s="83"/>
      <c r="FM44" s="83"/>
      <c r="FN44" s="83"/>
      <c r="FO44" s="83"/>
      <c r="FP44" s="83"/>
      <c r="FQ44" s="83"/>
      <c r="FR44" s="83"/>
      <c r="FS44" s="83"/>
      <c r="FT44" s="83"/>
      <c r="FU44" s="83"/>
      <c r="FV44" s="83"/>
      <c r="FW44" s="83"/>
      <c r="FX44" s="83"/>
      <c r="FY44" s="83"/>
      <c r="FZ44" s="83"/>
      <c r="GA44" s="83"/>
      <c r="GB44" s="83"/>
      <c r="GC44" s="83"/>
      <c r="GD44" s="83"/>
      <c r="GE44" s="83"/>
      <c r="GF44" s="83"/>
      <c r="GG44" s="83"/>
      <c r="GH44" s="83"/>
      <c r="GI44" s="83"/>
      <c r="GJ44" s="83"/>
      <c r="GK44" s="83"/>
      <c r="GL44" s="83"/>
      <c r="GM44" s="83"/>
      <c r="GN44" s="83"/>
      <c r="GO44" s="83"/>
      <c r="GP44" s="83"/>
      <c r="GQ44" s="83"/>
      <c r="GR44" s="83"/>
      <c r="GS44" s="83"/>
      <c r="GT44" s="83"/>
      <c r="GU44" s="83"/>
      <c r="GV44" s="83"/>
      <c r="GW44" s="83"/>
      <c r="GX44" s="83"/>
      <c r="GY44" s="83"/>
      <c r="GZ44" s="83"/>
      <c r="HA44" s="83"/>
      <c r="HB44" s="83"/>
      <c r="HC44" s="83"/>
      <c r="HD44" s="83"/>
      <c r="HE44" s="83"/>
      <c r="HF44" s="83"/>
      <c r="HG44" s="83"/>
      <c r="HH44" s="83"/>
      <c r="HI44" s="83"/>
      <c r="HJ44" s="83"/>
      <c r="HK44" s="83"/>
      <c r="HL44" s="83"/>
      <c r="HM44" s="83"/>
      <c r="HN44" s="83"/>
      <c r="HO44" s="83"/>
    </row>
    <row r="45" s="16" customFormat="1" spans="1:223">
      <c r="A45" s="55"/>
      <c r="B45" s="19" t="s">
        <v>144</v>
      </c>
      <c r="C45" s="56"/>
      <c r="D45" s="57"/>
      <c r="E45" s="58" t="s">
        <v>145</v>
      </c>
      <c r="H45" s="54"/>
      <c r="I45" s="50"/>
      <c r="J45" s="50"/>
      <c r="K45" s="50"/>
      <c r="L45" s="50"/>
      <c r="M45" s="82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3"/>
      <c r="CF45" s="83"/>
      <c r="CG45" s="83"/>
      <c r="CH45" s="83"/>
      <c r="CI45" s="83"/>
      <c r="CJ45" s="83"/>
      <c r="CK45" s="83"/>
      <c r="CL45" s="83"/>
      <c r="CM45" s="83"/>
      <c r="CN45" s="83"/>
      <c r="CO45" s="83"/>
      <c r="CP45" s="83"/>
      <c r="CQ45" s="83"/>
      <c r="CR45" s="83"/>
      <c r="CS45" s="83"/>
      <c r="CT45" s="83"/>
      <c r="CU45" s="83"/>
      <c r="CV45" s="83"/>
      <c r="CW45" s="83"/>
      <c r="CX45" s="83"/>
      <c r="CY45" s="83"/>
      <c r="CZ45" s="83"/>
      <c r="DA45" s="83"/>
      <c r="DB45" s="83"/>
      <c r="DC45" s="83"/>
      <c r="DD45" s="83"/>
      <c r="DE45" s="83"/>
      <c r="DF45" s="83"/>
      <c r="DG45" s="83"/>
      <c r="DH45" s="83"/>
      <c r="DI45" s="83"/>
      <c r="DJ45" s="83"/>
      <c r="DK45" s="83"/>
      <c r="DL45" s="83"/>
      <c r="DM45" s="83"/>
      <c r="DN45" s="83"/>
      <c r="DO45" s="83"/>
      <c r="DP45" s="83"/>
      <c r="DQ45" s="83"/>
      <c r="DR45" s="83"/>
      <c r="DS45" s="83"/>
      <c r="DT45" s="83"/>
      <c r="DU45" s="83"/>
      <c r="DV45" s="83"/>
      <c r="DW45" s="83"/>
      <c r="DX45" s="83"/>
      <c r="DY45" s="83"/>
      <c r="DZ45" s="83"/>
      <c r="EA45" s="83"/>
      <c r="EB45" s="83"/>
      <c r="EC45" s="83"/>
      <c r="ED45" s="83"/>
      <c r="EE45" s="83"/>
      <c r="EF45" s="83"/>
      <c r="EG45" s="83"/>
      <c r="EH45" s="83"/>
      <c r="EI45" s="83"/>
      <c r="EJ45" s="83"/>
      <c r="EK45" s="83"/>
      <c r="EL45" s="83"/>
      <c r="EM45" s="83"/>
      <c r="EN45" s="83"/>
      <c r="EO45" s="83"/>
      <c r="EP45" s="83"/>
      <c r="EQ45" s="83"/>
      <c r="ER45" s="83"/>
      <c r="ES45" s="83"/>
      <c r="ET45" s="83"/>
      <c r="EU45" s="83"/>
      <c r="EV45" s="83"/>
      <c r="EW45" s="83"/>
      <c r="EX45" s="83"/>
      <c r="EY45" s="83"/>
      <c r="EZ45" s="83"/>
      <c r="FA45" s="83"/>
      <c r="FB45" s="83"/>
      <c r="FC45" s="83"/>
      <c r="FD45" s="83"/>
      <c r="FE45" s="83"/>
      <c r="FF45" s="83"/>
      <c r="FG45" s="83"/>
      <c r="FH45" s="83"/>
      <c r="FI45" s="83"/>
      <c r="FJ45" s="83"/>
      <c r="FK45" s="83"/>
      <c r="FL45" s="83"/>
      <c r="FM45" s="83"/>
      <c r="FN45" s="83"/>
      <c r="FO45" s="83"/>
      <c r="FP45" s="83"/>
      <c r="FQ45" s="83"/>
      <c r="FR45" s="83"/>
      <c r="FS45" s="83"/>
      <c r="FT45" s="83"/>
      <c r="FU45" s="83"/>
      <c r="FV45" s="83"/>
      <c r="FW45" s="83"/>
      <c r="FX45" s="83"/>
      <c r="FY45" s="83"/>
      <c r="FZ45" s="83"/>
      <c r="GA45" s="83"/>
      <c r="GB45" s="83"/>
      <c r="GC45" s="83"/>
      <c r="GD45" s="83"/>
      <c r="GE45" s="83"/>
      <c r="GF45" s="83"/>
      <c r="GG45" s="83"/>
      <c r="GH45" s="83"/>
      <c r="GI45" s="83"/>
      <c r="GJ45" s="83"/>
      <c r="GK45" s="83"/>
      <c r="GL45" s="83"/>
      <c r="GM45" s="83"/>
      <c r="GN45" s="83"/>
      <c r="GO45" s="83"/>
      <c r="GP45" s="83"/>
      <c r="GQ45" s="83"/>
      <c r="GR45" s="83"/>
      <c r="GS45" s="83"/>
      <c r="GT45" s="83"/>
      <c r="GU45" s="83"/>
      <c r="GV45" s="83"/>
      <c r="GW45" s="83"/>
      <c r="GX45" s="83"/>
      <c r="GY45" s="83"/>
      <c r="GZ45" s="83"/>
      <c r="HA45" s="83"/>
      <c r="HB45" s="83"/>
      <c r="HC45" s="83"/>
      <c r="HD45" s="83"/>
      <c r="HE45" s="83"/>
      <c r="HF45" s="83"/>
      <c r="HG45" s="83"/>
      <c r="HH45" s="83"/>
      <c r="HI45" s="83"/>
      <c r="HJ45" s="83"/>
      <c r="HK45" s="83"/>
      <c r="HL45" s="83"/>
      <c r="HM45" s="83"/>
      <c r="HN45" s="83"/>
      <c r="HO45" s="83"/>
    </row>
    <row r="46" s="16" customFormat="1" spans="1:223">
      <c r="A46" s="55"/>
      <c r="B46" s="19" t="s">
        <v>146</v>
      </c>
      <c r="C46" s="56"/>
      <c r="D46" s="57"/>
      <c r="E46" s="58" t="s">
        <v>147</v>
      </c>
      <c r="H46" s="54"/>
      <c r="I46" s="50"/>
      <c r="J46" s="50"/>
      <c r="K46" s="50"/>
      <c r="L46" s="50"/>
      <c r="M46" s="82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3"/>
      <c r="CF46" s="83"/>
      <c r="CG46" s="83"/>
      <c r="CH46" s="83"/>
      <c r="CI46" s="83"/>
      <c r="CJ46" s="83"/>
      <c r="CK46" s="83"/>
      <c r="CL46" s="83"/>
      <c r="CM46" s="83"/>
      <c r="CN46" s="83"/>
      <c r="CO46" s="83"/>
      <c r="CP46" s="83"/>
      <c r="CQ46" s="83"/>
      <c r="CR46" s="83"/>
      <c r="CS46" s="83"/>
      <c r="CT46" s="83"/>
      <c r="CU46" s="83"/>
      <c r="CV46" s="83"/>
      <c r="CW46" s="83"/>
      <c r="CX46" s="83"/>
      <c r="CY46" s="83"/>
      <c r="CZ46" s="83"/>
      <c r="DA46" s="83"/>
      <c r="DB46" s="83"/>
      <c r="DC46" s="83"/>
      <c r="DD46" s="83"/>
      <c r="DE46" s="83"/>
      <c r="DF46" s="83"/>
      <c r="DG46" s="83"/>
      <c r="DH46" s="83"/>
      <c r="DI46" s="83"/>
      <c r="DJ46" s="83"/>
      <c r="DK46" s="83"/>
      <c r="DL46" s="83"/>
      <c r="DM46" s="83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X46" s="83"/>
      <c r="DY46" s="83"/>
      <c r="DZ46" s="83"/>
      <c r="EA46" s="83"/>
      <c r="EB46" s="83"/>
      <c r="EC46" s="83"/>
      <c r="ED46" s="83"/>
      <c r="EE46" s="83"/>
      <c r="EF46" s="83"/>
      <c r="EG46" s="83"/>
      <c r="EH46" s="83"/>
      <c r="EI46" s="83"/>
      <c r="EJ46" s="83"/>
      <c r="EK46" s="83"/>
      <c r="EL46" s="83"/>
      <c r="EM46" s="83"/>
      <c r="EN46" s="83"/>
      <c r="EO46" s="83"/>
      <c r="EP46" s="83"/>
      <c r="EQ46" s="83"/>
      <c r="ER46" s="83"/>
      <c r="ES46" s="83"/>
      <c r="ET46" s="83"/>
      <c r="EU46" s="83"/>
      <c r="EV46" s="83"/>
      <c r="EW46" s="83"/>
      <c r="EX46" s="83"/>
      <c r="EY46" s="83"/>
      <c r="EZ46" s="83"/>
      <c r="FA46" s="83"/>
      <c r="FB46" s="83"/>
      <c r="FC46" s="83"/>
      <c r="FD46" s="83"/>
      <c r="FE46" s="83"/>
      <c r="FF46" s="83"/>
      <c r="FG46" s="83"/>
      <c r="FH46" s="83"/>
      <c r="FI46" s="83"/>
      <c r="FJ46" s="83"/>
      <c r="FK46" s="83"/>
      <c r="FL46" s="83"/>
      <c r="FM46" s="83"/>
      <c r="FN46" s="83"/>
      <c r="FO46" s="83"/>
      <c r="FP46" s="83"/>
      <c r="FQ46" s="83"/>
      <c r="FR46" s="83"/>
      <c r="FS46" s="83"/>
      <c r="FT46" s="83"/>
      <c r="FU46" s="83"/>
      <c r="FV46" s="83"/>
      <c r="FW46" s="83"/>
      <c r="FX46" s="83"/>
      <c r="FY46" s="83"/>
      <c r="FZ46" s="83"/>
      <c r="GA46" s="83"/>
      <c r="GB46" s="83"/>
      <c r="GC46" s="83"/>
      <c r="GD46" s="83"/>
      <c r="GE46" s="83"/>
      <c r="GF46" s="83"/>
      <c r="GG46" s="83"/>
      <c r="GH46" s="83"/>
      <c r="GI46" s="83"/>
      <c r="GJ46" s="83"/>
      <c r="GK46" s="83"/>
      <c r="GL46" s="83"/>
      <c r="GM46" s="83"/>
      <c r="GN46" s="83"/>
      <c r="GO46" s="83"/>
      <c r="GP46" s="83"/>
      <c r="GQ46" s="83"/>
      <c r="GR46" s="83"/>
      <c r="GS46" s="83"/>
      <c r="GT46" s="83"/>
      <c r="GU46" s="83"/>
      <c r="GV46" s="83"/>
      <c r="GW46" s="83"/>
      <c r="GX46" s="83"/>
      <c r="GY46" s="83"/>
      <c r="GZ46" s="83"/>
      <c r="HA46" s="83"/>
      <c r="HB46" s="83"/>
      <c r="HC46" s="83"/>
      <c r="HD46" s="83"/>
      <c r="HE46" s="83"/>
      <c r="HF46" s="83"/>
      <c r="HG46" s="83"/>
      <c r="HH46" s="83"/>
      <c r="HI46" s="83"/>
      <c r="HJ46" s="83"/>
      <c r="HK46" s="83"/>
      <c r="HL46" s="83"/>
      <c r="HM46" s="83"/>
      <c r="HN46" s="83"/>
      <c r="HO46" s="83"/>
    </row>
    <row r="47" s="16" customFormat="1" spans="1:223">
      <c r="A47" s="55"/>
      <c r="B47" s="19" t="s">
        <v>148</v>
      </c>
      <c r="C47" s="56"/>
      <c r="D47" s="57"/>
      <c r="E47" s="58" t="s">
        <v>149</v>
      </c>
      <c r="H47" s="54"/>
      <c r="I47" s="50"/>
      <c r="J47" s="50"/>
      <c r="K47" s="50"/>
      <c r="L47" s="50"/>
      <c r="M47" s="82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Y47" s="83"/>
      <c r="BZ47" s="83"/>
      <c r="CA47" s="83"/>
      <c r="CB47" s="83"/>
      <c r="CC47" s="83"/>
      <c r="CD47" s="83"/>
      <c r="CE47" s="83"/>
      <c r="CF47" s="83"/>
      <c r="CG47" s="83"/>
      <c r="CH47" s="83"/>
      <c r="CI47" s="83"/>
      <c r="CJ47" s="83"/>
      <c r="CK47" s="83"/>
      <c r="CL47" s="83"/>
      <c r="CM47" s="83"/>
      <c r="CN47" s="83"/>
      <c r="CO47" s="83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3"/>
      <c r="DA47" s="83"/>
      <c r="DB47" s="83"/>
      <c r="DC47" s="83"/>
      <c r="DD47" s="83"/>
      <c r="DE47" s="83"/>
      <c r="DF47" s="83"/>
      <c r="DG47" s="83"/>
      <c r="DH47" s="83"/>
      <c r="DI47" s="83"/>
      <c r="DJ47" s="83"/>
      <c r="DK47" s="83"/>
      <c r="DL47" s="83"/>
      <c r="DM47" s="83"/>
      <c r="DN47" s="83"/>
      <c r="DO47" s="83"/>
      <c r="DP47" s="83"/>
      <c r="DQ47" s="83"/>
      <c r="DR47" s="83"/>
      <c r="DS47" s="83"/>
      <c r="DT47" s="83"/>
      <c r="DU47" s="83"/>
      <c r="DV47" s="83"/>
      <c r="DW47" s="83"/>
      <c r="DX47" s="83"/>
      <c r="DY47" s="83"/>
      <c r="DZ47" s="83"/>
      <c r="EA47" s="83"/>
      <c r="EB47" s="83"/>
      <c r="EC47" s="83"/>
      <c r="ED47" s="83"/>
      <c r="EE47" s="83"/>
      <c r="EF47" s="83"/>
      <c r="EG47" s="83"/>
      <c r="EH47" s="83"/>
      <c r="EI47" s="83"/>
      <c r="EJ47" s="83"/>
      <c r="EK47" s="83"/>
      <c r="EL47" s="83"/>
      <c r="EM47" s="83"/>
      <c r="EN47" s="83"/>
      <c r="EO47" s="83"/>
      <c r="EP47" s="83"/>
      <c r="EQ47" s="83"/>
      <c r="ER47" s="83"/>
      <c r="ES47" s="83"/>
      <c r="ET47" s="83"/>
      <c r="EU47" s="83"/>
      <c r="EV47" s="83"/>
      <c r="EW47" s="83"/>
      <c r="EX47" s="83"/>
      <c r="EY47" s="83"/>
      <c r="EZ47" s="83"/>
      <c r="FA47" s="83"/>
      <c r="FB47" s="83"/>
      <c r="FC47" s="83"/>
      <c r="FD47" s="83"/>
      <c r="FE47" s="83"/>
      <c r="FF47" s="83"/>
      <c r="FG47" s="83"/>
      <c r="FH47" s="83"/>
      <c r="FI47" s="83"/>
      <c r="FJ47" s="83"/>
      <c r="FK47" s="83"/>
      <c r="FL47" s="83"/>
      <c r="FM47" s="83"/>
      <c r="FN47" s="83"/>
      <c r="FO47" s="83"/>
      <c r="FP47" s="83"/>
      <c r="FQ47" s="83"/>
      <c r="FR47" s="83"/>
      <c r="FS47" s="83"/>
      <c r="FT47" s="83"/>
      <c r="FU47" s="83"/>
      <c r="FV47" s="83"/>
      <c r="FW47" s="83"/>
      <c r="FX47" s="83"/>
      <c r="FY47" s="83"/>
      <c r="FZ47" s="83"/>
      <c r="GA47" s="83"/>
      <c r="GB47" s="83"/>
      <c r="GC47" s="83"/>
      <c r="GD47" s="83"/>
      <c r="GE47" s="83"/>
      <c r="GF47" s="83"/>
      <c r="GG47" s="83"/>
      <c r="GH47" s="83"/>
      <c r="GI47" s="83"/>
      <c r="GJ47" s="83"/>
      <c r="GK47" s="83"/>
      <c r="GL47" s="83"/>
      <c r="GM47" s="83"/>
      <c r="GN47" s="83"/>
      <c r="GO47" s="83"/>
      <c r="GP47" s="83"/>
      <c r="GQ47" s="83"/>
      <c r="GR47" s="83"/>
      <c r="GS47" s="83"/>
      <c r="GT47" s="83"/>
      <c r="GU47" s="83"/>
      <c r="GV47" s="83"/>
      <c r="GW47" s="83"/>
      <c r="GX47" s="83"/>
      <c r="GY47" s="83"/>
      <c r="GZ47" s="83"/>
      <c r="HA47" s="83"/>
      <c r="HB47" s="83"/>
      <c r="HC47" s="83"/>
      <c r="HD47" s="83"/>
      <c r="HE47" s="83"/>
      <c r="HF47" s="83"/>
      <c r="HG47" s="83"/>
      <c r="HH47" s="83"/>
      <c r="HI47" s="83"/>
      <c r="HJ47" s="83"/>
      <c r="HK47" s="83"/>
      <c r="HL47" s="83"/>
      <c r="HM47" s="83"/>
      <c r="HN47" s="83"/>
      <c r="HO47" s="83"/>
    </row>
    <row r="48" s="16" customFormat="1" spans="1:223">
      <c r="A48" s="55"/>
      <c r="B48" s="19" t="s">
        <v>150</v>
      </c>
      <c r="C48" s="56"/>
      <c r="D48" s="57"/>
      <c r="E48" s="58" t="s">
        <v>151</v>
      </c>
      <c r="H48" s="54"/>
      <c r="I48" s="50"/>
      <c r="J48" s="50"/>
      <c r="K48" s="50"/>
      <c r="L48" s="50"/>
      <c r="M48" s="82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Y48" s="83"/>
      <c r="BZ48" s="83"/>
      <c r="CA48" s="83"/>
      <c r="CB48" s="83"/>
      <c r="CC48" s="83"/>
      <c r="CD48" s="83"/>
      <c r="CE48" s="83"/>
      <c r="CF48" s="83"/>
      <c r="CG48" s="83"/>
      <c r="CH48" s="83"/>
      <c r="CI48" s="83"/>
      <c r="CJ48" s="83"/>
      <c r="CK48" s="83"/>
      <c r="CL48" s="83"/>
      <c r="CM48" s="83"/>
      <c r="CN48" s="83"/>
      <c r="CO48" s="83"/>
      <c r="CP48" s="83"/>
      <c r="CQ48" s="83"/>
      <c r="CR48" s="83"/>
      <c r="CS48" s="83"/>
      <c r="CT48" s="83"/>
      <c r="CU48" s="83"/>
      <c r="CV48" s="83"/>
      <c r="CW48" s="83"/>
      <c r="CX48" s="83"/>
      <c r="CY48" s="83"/>
      <c r="CZ48" s="83"/>
      <c r="DA48" s="83"/>
      <c r="DB48" s="83"/>
      <c r="DC48" s="83"/>
      <c r="DD48" s="83"/>
      <c r="DE48" s="83"/>
      <c r="DF48" s="83"/>
      <c r="DG48" s="83"/>
      <c r="DH48" s="83"/>
      <c r="DI48" s="83"/>
      <c r="DJ48" s="83"/>
      <c r="DK48" s="83"/>
      <c r="DL48" s="83"/>
      <c r="DM48" s="83"/>
      <c r="DN48" s="83"/>
      <c r="DO48" s="83"/>
      <c r="DP48" s="83"/>
      <c r="DQ48" s="83"/>
      <c r="DR48" s="83"/>
      <c r="DS48" s="83"/>
      <c r="DT48" s="83"/>
      <c r="DU48" s="83"/>
      <c r="DV48" s="83"/>
      <c r="DW48" s="83"/>
      <c r="DX48" s="83"/>
      <c r="DY48" s="83"/>
      <c r="DZ48" s="83"/>
      <c r="EA48" s="83"/>
      <c r="EB48" s="83"/>
      <c r="EC48" s="83"/>
      <c r="ED48" s="83"/>
      <c r="EE48" s="83"/>
      <c r="EF48" s="83"/>
      <c r="EG48" s="83"/>
      <c r="EH48" s="83"/>
      <c r="EI48" s="83"/>
      <c r="EJ48" s="83"/>
      <c r="EK48" s="83"/>
      <c r="EL48" s="83"/>
      <c r="EM48" s="83"/>
      <c r="EN48" s="83"/>
      <c r="EO48" s="83"/>
      <c r="EP48" s="83"/>
      <c r="EQ48" s="83"/>
      <c r="ER48" s="83"/>
      <c r="ES48" s="83"/>
      <c r="ET48" s="83"/>
      <c r="EU48" s="83"/>
      <c r="EV48" s="83"/>
      <c r="EW48" s="83"/>
      <c r="EX48" s="83"/>
      <c r="EY48" s="83"/>
      <c r="EZ48" s="83"/>
      <c r="FA48" s="83"/>
      <c r="FB48" s="83"/>
      <c r="FC48" s="83"/>
      <c r="FD48" s="83"/>
      <c r="FE48" s="83"/>
      <c r="FF48" s="83"/>
      <c r="FG48" s="83"/>
      <c r="FH48" s="83"/>
      <c r="FI48" s="83"/>
      <c r="FJ48" s="83"/>
      <c r="FK48" s="83"/>
      <c r="FL48" s="83"/>
      <c r="FM48" s="83"/>
      <c r="FN48" s="83"/>
      <c r="FO48" s="83"/>
      <c r="FP48" s="83"/>
      <c r="FQ48" s="83"/>
      <c r="FR48" s="83"/>
      <c r="FS48" s="83"/>
      <c r="FT48" s="83"/>
      <c r="FU48" s="83"/>
      <c r="FV48" s="83"/>
      <c r="FW48" s="83"/>
      <c r="FX48" s="83"/>
      <c r="FY48" s="83"/>
      <c r="FZ48" s="83"/>
      <c r="GA48" s="83"/>
      <c r="GB48" s="83"/>
      <c r="GC48" s="83"/>
      <c r="GD48" s="83"/>
      <c r="GE48" s="83"/>
      <c r="GF48" s="83"/>
      <c r="GG48" s="83"/>
      <c r="GH48" s="83"/>
      <c r="GI48" s="83"/>
      <c r="GJ48" s="83"/>
      <c r="GK48" s="83"/>
      <c r="GL48" s="83"/>
      <c r="GM48" s="83"/>
      <c r="GN48" s="83"/>
      <c r="GO48" s="83"/>
      <c r="GP48" s="83"/>
      <c r="GQ48" s="83"/>
      <c r="GR48" s="83"/>
      <c r="GS48" s="83"/>
      <c r="GT48" s="83"/>
      <c r="GU48" s="83"/>
      <c r="GV48" s="83"/>
      <c r="GW48" s="83"/>
      <c r="GX48" s="83"/>
      <c r="GY48" s="83"/>
      <c r="GZ48" s="83"/>
      <c r="HA48" s="83"/>
      <c r="HB48" s="83"/>
      <c r="HC48" s="83"/>
      <c r="HD48" s="83"/>
      <c r="HE48" s="83"/>
      <c r="HF48" s="83"/>
      <c r="HG48" s="83"/>
      <c r="HH48" s="83"/>
      <c r="HI48" s="83"/>
      <c r="HJ48" s="83"/>
      <c r="HK48" s="83"/>
      <c r="HL48" s="83"/>
      <c r="HM48" s="83"/>
      <c r="HN48" s="83"/>
      <c r="HO48" s="83"/>
    </row>
    <row r="49" s="16" customFormat="1" spans="1:223">
      <c r="A49" s="55"/>
      <c r="B49" s="19" t="s">
        <v>152</v>
      </c>
      <c r="C49" s="56"/>
      <c r="D49" s="57"/>
      <c r="E49" s="58" t="s">
        <v>153</v>
      </c>
      <c r="H49" s="54"/>
      <c r="I49" s="50"/>
      <c r="J49" s="50"/>
      <c r="K49" s="50"/>
      <c r="L49" s="50"/>
      <c r="M49" s="82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3"/>
      <c r="BW49" s="83"/>
      <c r="BX49" s="83"/>
      <c r="BY49" s="83"/>
      <c r="BZ49" s="83"/>
      <c r="CA49" s="83"/>
      <c r="CB49" s="83"/>
      <c r="CC49" s="83"/>
      <c r="CD49" s="83"/>
      <c r="CE49" s="83"/>
      <c r="CF49" s="83"/>
      <c r="CG49" s="83"/>
      <c r="CH49" s="83"/>
      <c r="CI49" s="83"/>
      <c r="CJ49" s="83"/>
      <c r="CK49" s="83"/>
      <c r="CL49" s="83"/>
      <c r="CM49" s="83"/>
      <c r="CN49" s="83"/>
      <c r="CO49" s="83"/>
      <c r="CP49" s="83"/>
      <c r="CQ49" s="83"/>
      <c r="CR49" s="83"/>
      <c r="CS49" s="83"/>
      <c r="CT49" s="83"/>
      <c r="CU49" s="83"/>
      <c r="CV49" s="83"/>
      <c r="CW49" s="83"/>
      <c r="CX49" s="83"/>
      <c r="CY49" s="83"/>
      <c r="CZ49" s="83"/>
      <c r="DA49" s="83"/>
      <c r="DB49" s="83"/>
      <c r="DC49" s="83"/>
      <c r="DD49" s="83"/>
      <c r="DE49" s="83"/>
      <c r="DF49" s="83"/>
      <c r="DG49" s="83"/>
      <c r="DH49" s="83"/>
      <c r="DI49" s="83"/>
      <c r="DJ49" s="83"/>
      <c r="DK49" s="83"/>
      <c r="DL49" s="83"/>
      <c r="DM49" s="83"/>
      <c r="DN49" s="83"/>
      <c r="DO49" s="83"/>
      <c r="DP49" s="83"/>
      <c r="DQ49" s="83"/>
      <c r="DR49" s="83"/>
      <c r="DS49" s="83"/>
      <c r="DT49" s="83"/>
      <c r="DU49" s="83"/>
      <c r="DV49" s="83"/>
      <c r="DW49" s="83"/>
      <c r="DX49" s="83"/>
      <c r="DY49" s="83"/>
      <c r="DZ49" s="83"/>
      <c r="EA49" s="83"/>
      <c r="EB49" s="83"/>
      <c r="EC49" s="83"/>
      <c r="ED49" s="83"/>
      <c r="EE49" s="83"/>
      <c r="EF49" s="83"/>
      <c r="EG49" s="83"/>
      <c r="EH49" s="83"/>
      <c r="EI49" s="83"/>
      <c r="EJ49" s="83"/>
      <c r="EK49" s="83"/>
      <c r="EL49" s="83"/>
      <c r="EM49" s="83"/>
      <c r="EN49" s="83"/>
      <c r="EO49" s="83"/>
      <c r="EP49" s="83"/>
      <c r="EQ49" s="83"/>
      <c r="ER49" s="83"/>
      <c r="ES49" s="83"/>
      <c r="ET49" s="83"/>
      <c r="EU49" s="83"/>
      <c r="EV49" s="83"/>
      <c r="EW49" s="83"/>
      <c r="EX49" s="83"/>
      <c r="EY49" s="83"/>
      <c r="EZ49" s="83"/>
      <c r="FA49" s="83"/>
      <c r="FB49" s="83"/>
      <c r="FC49" s="83"/>
      <c r="FD49" s="83"/>
      <c r="FE49" s="83"/>
      <c r="FF49" s="83"/>
      <c r="FG49" s="83"/>
      <c r="FH49" s="83"/>
      <c r="FI49" s="83"/>
      <c r="FJ49" s="83"/>
      <c r="FK49" s="83"/>
      <c r="FL49" s="83"/>
      <c r="FM49" s="83"/>
      <c r="FN49" s="83"/>
      <c r="FO49" s="83"/>
      <c r="FP49" s="83"/>
      <c r="FQ49" s="83"/>
      <c r="FR49" s="83"/>
      <c r="FS49" s="83"/>
      <c r="FT49" s="83"/>
      <c r="FU49" s="83"/>
      <c r="FV49" s="83"/>
      <c r="FW49" s="83"/>
      <c r="FX49" s="83"/>
      <c r="FY49" s="83"/>
      <c r="FZ49" s="83"/>
      <c r="GA49" s="83"/>
      <c r="GB49" s="83"/>
      <c r="GC49" s="83"/>
      <c r="GD49" s="83"/>
      <c r="GE49" s="83"/>
      <c r="GF49" s="83"/>
      <c r="GG49" s="83"/>
      <c r="GH49" s="83"/>
      <c r="GI49" s="83"/>
      <c r="GJ49" s="83"/>
      <c r="GK49" s="83"/>
      <c r="GL49" s="83"/>
      <c r="GM49" s="83"/>
      <c r="GN49" s="83"/>
      <c r="GO49" s="83"/>
      <c r="GP49" s="83"/>
      <c r="GQ49" s="83"/>
      <c r="GR49" s="83"/>
      <c r="GS49" s="83"/>
      <c r="GT49" s="83"/>
      <c r="GU49" s="83"/>
      <c r="GV49" s="83"/>
      <c r="GW49" s="83"/>
      <c r="GX49" s="83"/>
      <c r="GY49" s="83"/>
      <c r="GZ49" s="83"/>
      <c r="HA49" s="83"/>
      <c r="HB49" s="83"/>
      <c r="HC49" s="83"/>
      <c r="HD49" s="83"/>
      <c r="HE49" s="83"/>
      <c r="HF49" s="83"/>
      <c r="HG49" s="83"/>
      <c r="HH49" s="83"/>
      <c r="HI49" s="83"/>
      <c r="HJ49" s="83"/>
      <c r="HK49" s="83"/>
      <c r="HL49" s="83"/>
      <c r="HM49" s="83"/>
      <c r="HN49" s="83"/>
      <c r="HO49" s="83"/>
    </row>
    <row r="50" s="16" customFormat="1" spans="1:223">
      <c r="A50" s="55"/>
      <c r="B50" s="19" t="s">
        <v>154</v>
      </c>
      <c r="C50" s="56"/>
      <c r="D50" s="57"/>
      <c r="E50" s="58" t="s">
        <v>155</v>
      </c>
      <c r="H50" s="54"/>
      <c r="I50" s="50"/>
      <c r="J50" s="50"/>
      <c r="K50" s="50"/>
      <c r="L50" s="50"/>
      <c r="M50" s="82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3"/>
      <c r="CF50" s="83"/>
      <c r="CG50" s="83"/>
      <c r="CH50" s="83"/>
      <c r="CI50" s="83"/>
      <c r="CJ50" s="83"/>
      <c r="CK50" s="83"/>
      <c r="CL50" s="83"/>
      <c r="CM50" s="83"/>
      <c r="CN50" s="83"/>
      <c r="CO50" s="83"/>
      <c r="CP50" s="83"/>
      <c r="CQ50" s="83"/>
      <c r="CR50" s="83"/>
      <c r="CS50" s="83"/>
      <c r="CT50" s="83"/>
      <c r="CU50" s="83"/>
      <c r="CV50" s="83"/>
      <c r="CW50" s="83"/>
      <c r="CX50" s="83"/>
      <c r="CY50" s="83"/>
      <c r="CZ50" s="83"/>
      <c r="DA50" s="83"/>
      <c r="DB50" s="83"/>
      <c r="DC50" s="83"/>
      <c r="DD50" s="83"/>
      <c r="DE50" s="83"/>
      <c r="DF50" s="83"/>
      <c r="DG50" s="83"/>
      <c r="DH50" s="83"/>
      <c r="DI50" s="83"/>
      <c r="DJ50" s="83"/>
      <c r="DK50" s="83"/>
      <c r="DL50" s="83"/>
      <c r="DM50" s="83"/>
      <c r="DN50" s="83"/>
      <c r="DO50" s="83"/>
      <c r="DP50" s="83"/>
      <c r="DQ50" s="83"/>
      <c r="DR50" s="83"/>
      <c r="DS50" s="83"/>
      <c r="DT50" s="83"/>
      <c r="DU50" s="83"/>
      <c r="DV50" s="83"/>
      <c r="DW50" s="83"/>
      <c r="DX50" s="83"/>
      <c r="DY50" s="83"/>
      <c r="DZ50" s="83"/>
      <c r="EA50" s="83"/>
      <c r="EB50" s="83"/>
      <c r="EC50" s="83"/>
      <c r="ED50" s="83"/>
      <c r="EE50" s="83"/>
      <c r="EF50" s="83"/>
      <c r="EG50" s="83"/>
      <c r="EH50" s="83"/>
      <c r="EI50" s="83"/>
      <c r="EJ50" s="83"/>
      <c r="EK50" s="83"/>
      <c r="EL50" s="83"/>
      <c r="EM50" s="83"/>
      <c r="EN50" s="83"/>
      <c r="EO50" s="83"/>
      <c r="EP50" s="83"/>
      <c r="EQ50" s="83"/>
      <c r="ER50" s="83"/>
      <c r="ES50" s="83"/>
      <c r="ET50" s="83"/>
      <c r="EU50" s="83"/>
      <c r="EV50" s="83"/>
      <c r="EW50" s="83"/>
      <c r="EX50" s="83"/>
      <c r="EY50" s="83"/>
      <c r="EZ50" s="83"/>
      <c r="FA50" s="83"/>
      <c r="FB50" s="83"/>
      <c r="FC50" s="83"/>
      <c r="FD50" s="83"/>
      <c r="FE50" s="83"/>
      <c r="FF50" s="83"/>
      <c r="FG50" s="83"/>
      <c r="FH50" s="83"/>
      <c r="FI50" s="83"/>
      <c r="FJ50" s="83"/>
      <c r="FK50" s="83"/>
      <c r="FL50" s="83"/>
      <c r="FM50" s="83"/>
      <c r="FN50" s="83"/>
      <c r="FO50" s="83"/>
      <c r="FP50" s="83"/>
      <c r="FQ50" s="83"/>
      <c r="FR50" s="83"/>
      <c r="FS50" s="83"/>
      <c r="FT50" s="83"/>
      <c r="FU50" s="83"/>
      <c r="FV50" s="83"/>
      <c r="FW50" s="83"/>
      <c r="FX50" s="83"/>
      <c r="FY50" s="83"/>
      <c r="FZ50" s="83"/>
      <c r="GA50" s="83"/>
      <c r="GB50" s="83"/>
      <c r="GC50" s="83"/>
      <c r="GD50" s="83"/>
      <c r="GE50" s="83"/>
      <c r="GF50" s="83"/>
      <c r="GG50" s="83"/>
      <c r="GH50" s="83"/>
      <c r="GI50" s="83"/>
      <c r="GJ50" s="83"/>
      <c r="GK50" s="83"/>
      <c r="GL50" s="83"/>
      <c r="GM50" s="83"/>
      <c r="GN50" s="83"/>
      <c r="GO50" s="83"/>
      <c r="GP50" s="83"/>
      <c r="GQ50" s="83"/>
      <c r="GR50" s="83"/>
      <c r="GS50" s="83"/>
      <c r="GT50" s="83"/>
      <c r="GU50" s="83"/>
      <c r="GV50" s="83"/>
      <c r="GW50" s="83"/>
      <c r="GX50" s="83"/>
      <c r="GY50" s="83"/>
      <c r="GZ50" s="83"/>
      <c r="HA50" s="83"/>
      <c r="HB50" s="83"/>
      <c r="HC50" s="83"/>
      <c r="HD50" s="83"/>
      <c r="HE50" s="83"/>
      <c r="HF50" s="83"/>
      <c r="HG50" s="83"/>
      <c r="HH50" s="83"/>
      <c r="HI50" s="83"/>
      <c r="HJ50" s="83"/>
      <c r="HK50" s="83"/>
      <c r="HL50" s="83"/>
      <c r="HM50" s="83"/>
      <c r="HN50" s="83"/>
      <c r="HO50" s="83"/>
    </row>
    <row r="51" s="16" customFormat="1" spans="1:223">
      <c r="A51" s="55"/>
      <c r="B51" s="19" t="s">
        <v>156</v>
      </c>
      <c r="C51" s="56"/>
      <c r="D51" s="57"/>
      <c r="E51" s="58" t="s">
        <v>157</v>
      </c>
      <c r="H51" s="54"/>
      <c r="I51" s="50"/>
      <c r="J51" s="50"/>
      <c r="K51" s="50"/>
      <c r="L51" s="50"/>
      <c r="M51" s="82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3"/>
      <c r="CF51" s="83"/>
      <c r="CG51" s="83"/>
      <c r="CH51" s="83"/>
      <c r="CI51" s="83"/>
      <c r="CJ51" s="83"/>
      <c r="CK51" s="83"/>
      <c r="CL51" s="83"/>
      <c r="CM51" s="83"/>
      <c r="CN51" s="83"/>
      <c r="CO51" s="83"/>
      <c r="CP51" s="83"/>
      <c r="CQ51" s="83"/>
      <c r="CR51" s="83"/>
      <c r="CS51" s="83"/>
      <c r="CT51" s="83"/>
      <c r="CU51" s="83"/>
      <c r="CV51" s="83"/>
      <c r="CW51" s="83"/>
      <c r="CX51" s="83"/>
      <c r="CY51" s="83"/>
      <c r="CZ51" s="83"/>
      <c r="DA51" s="83"/>
      <c r="DB51" s="83"/>
      <c r="DC51" s="83"/>
      <c r="DD51" s="83"/>
      <c r="DE51" s="83"/>
      <c r="DF51" s="83"/>
      <c r="DG51" s="83"/>
      <c r="DH51" s="83"/>
      <c r="DI51" s="83"/>
      <c r="DJ51" s="83"/>
      <c r="DK51" s="83"/>
      <c r="DL51" s="83"/>
      <c r="DM51" s="83"/>
      <c r="DN51" s="83"/>
      <c r="DO51" s="83"/>
      <c r="DP51" s="83"/>
      <c r="DQ51" s="83"/>
      <c r="DR51" s="83"/>
      <c r="DS51" s="83"/>
      <c r="DT51" s="83"/>
      <c r="DU51" s="83"/>
      <c r="DV51" s="83"/>
      <c r="DW51" s="83"/>
      <c r="DX51" s="83"/>
      <c r="DY51" s="83"/>
      <c r="DZ51" s="83"/>
      <c r="EA51" s="83"/>
      <c r="EB51" s="83"/>
      <c r="EC51" s="83"/>
      <c r="ED51" s="83"/>
      <c r="EE51" s="83"/>
      <c r="EF51" s="83"/>
      <c r="EG51" s="83"/>
      <c r="EH51" s="83"/>
      <c r="EI51" s="83"/>
      <c r="EJ51" s="83"/>
      <c r="EK51" s="83"/>
      <c r="EL51" s="83"/>
      <c r="EM51" s="83"/>
      <c r="EN51" s="83"/>
      <c r="EO51" s="83"/>
      <c r="EP51" s="83"/>
      <c r="EQ51" s="83"/>
      <c r="ER51" s="83"/>
      <c r="ES51" s="83"/>
      <c r="ET51" s="83"/>
      <c r="EU51" s="83"/>
      <c r="EV51" s="83"/>
      <c r="EW51" s="83"/>
      <c r="EX51" s="83"/>
      <c r="EY51" s="83"/>
      <c r="EZ51" s="83"/>
      <c r="FA51" s="83"/>
      <c r="FB51" s="83"/>
      <c r="FC51" s="83"/>
      <c r="FD51" s="83"/>
      <c r="FE51" s="83"/>
      <c r="FF51" s="83"/>
      <c r="FG51" s="83"/>
      <c r="FH51" s="83"/>
      <c r="FI51" s="83"/>
      <c r="FJ51" s="83"/>
      <c r="FK51" s="83"/>
      <c r="FL51" s="83"/>
      <c r="FM51" s="83"/>
      <c r="FN51" s="83"/>
      <c r="FO51" s="83"/>
      <c r="FP51" s="83"/>
      <c r="FQ51" s="83"/>
      <c r="FR51" s="83"/>
      <c r="FS51" s="83"/>
      <c r="FT51" s="83"/>
      <c r="FU51" s="83"/>
      <c r="FV51" s="83"/>
      <c r="FW51" s="83"/>
      <c r="FX51" s="83"/>
      <c r="FY51" s="83"/>
      <c r="FZ51" s="83"/>
      <c r="GA51" s="83"/>
      <c r="GB51" s="83"/>
      <c r="GC51" s="83"/>
      <c r="GD51" s="83"/>
      <c r="GE51" s="83"/>
      <c r="GF51" s="83"/>
      <c r="GG51" s="83"/>
      <c r="GH51" s="83"/>
      <c r="GI51" s="83"/>
      <c r="GJ51" s="83"/>
      <c r="GK51" s="83"/>
      <c r="GL51" s="83"/>
      <c r="GM51" s="83"/>
      <c r="GN51" s="83"/>
      <c r="GO51" s="83"/>
      <c r="GP51" s="83"/>
      <c r="GQ51" s="83"/>
      <c r="GR51" s="83"/>
      <c r="GS51" s="83"/>
      <c r="GT51" s="83"/>
      <c r="GU51" s="83"/>
      <c r="GV51" s="83"/>
      <c r="GW51" s="83"/>
      <c r="GX51" s="83"/>
      <c r="GY51" s="83"/>
      <c r="GZ51" s="83"/>
      <c r="HA51" s="83"/>
      <c r="HB51" s="83"/>
      <c r="HC51" s="83"/>
      <c r="HD51" s="83"/>
      <c r="HE51" s="83"/>
      <c r="HF51" s="83"/>
      <c r="HG51" s="83"/>
      <c r="HH51" s="83"/>
      <c r="HI51" s="83"/>
      <c r="HJ51" s="83"/>
      <c r="HK51" s="83"/>
      <c r="HL51" s="83"/>
      <c r="HM51" s="83"/>
      <c r="HN51" s="83"/>
      <c r="HO51" s="83"/>
    </row>
    <row r="52" s="16" customFormat="1" spans="1:223">
      <c r="A52" s="55"/>
      <c r="B52" s="19" t="s">
        <v>158</v>
      </c>
      <c r="C52" s="56"/>
      <c r="D52" s="57"/>
      <c r="E52" s="58" t="s">
        <v>159</v>
      </c>
      <c r="H52" s="54"/>
      <c r="I52" s="50"/>
      <c r="J52" s="50"/>
      <c r="K52" s="50"/>
      <c r="L52" s="50"/>
      <c r="M52" s="82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3"/>
      <c r="BV52" s="83"/>
      <c r="BW52" s="83"/>
      <c r="BX52" s="83"/>
      <c r="BY52" s="83"/>
      <c r="BZ52" s="83"/>
      <c r="CA52" s="83"/>
      <c r="CB52" s="83"/>
      <c r="CC52" s="83"/>
      <c r="CD52" s="83"/>
      <c r="CE52" s="83"/>
      <c r="CF52" s="83"/>
      <c r="CG52" s="83"/>
      <c r="CH52" s="83"/>
      <c r="CI52" s="83"/>
      <c r="CJ52" s="83"/>
      <c r="CK52" s="83"/>
      <c r="CL52" s="83"/>
      <c r="CM52" s="83"/>
      <c r="CN52" s="83"/>
      <c r="CO52" s="83"/>
      <c r="CP52" s="83"/>
      <c r="CQ52" s="83"/>
      <c r="CR52" s="83"/>
      <c r="CS52" s="83"/>
      <c r="CT52" s="83"/>
      <c r="CU52" s="83"/>
      <c r="CV52" s="83"/>
      <c r="CW52" s="83"/>
      <c r="CX52" s="83"/>
      <c r="CY52" s="83"/>
      <c r="CZ52" s="83"/>
      <c r="DA52" s="83"/>
      <c r="DB52" s="83"/>
      <c r="DC52" s="83"/>
      <c r="DD52" s="83"/>
      <c r="DE52" s="83"/>
      <c r="DF52" s="83"/>
      <c r="DG52" s="83"/>
      <c r="DH52" s="83"/>
      <c r="DI52" s="83"/>
      <c r="DJ52" s="83"/>
      <c r="DK52" s="83"/>
      <c r="DL52" s="83"/>
      <c r="DM52" s="83"/>
      <c r="DN52" s="83"/>
      <c r="DO52" s="83"/>
      <c r="DP52" s="83"/>
      <c r="DQ52" s="83"/>
      <c r="DR52" s="83"/>
      <c r="DS52" s="83"/>
      <c r="DT52" s="83"/>
      <c r="DU52" s="83"/>
      <c r="DV52" s="83"/>
      <c r="DW52" s="83"/>
      <c r="DX52" s="83"/>
      <c r="DY52" s="83"/>
      <c r="DZ52" s="83"/>
      <c r="EA52" s="83"/>
      <c r="EB52" s="83"/>
      <c r="EC52" s="83"/>
      <c r="ED52" s="83"/>
      <c r="EE52" s="83"/>
      <c r="EF52" s="83"/>
      <c r="EG52" s="83"/>
      <c r="EH52" s="83"/>
      <c r="EI52" s="83"/>
      <c r="EJ52" s="83"/>
      <c r="EK52" s="83"/>
      <c r="EL52" s="83"/>
      <c r="EM52" s="83"/>
      <c r="EN52" s="83"/>
      <c r="EO52" s="83"/>
      <c r="EP52" s="83"/>
      <c r="EQ52" s="83"/>
      <c r="ER52" s="83"/>
      <c r="ES52" s="83"/>
      <c r="ET52" s="83"/>
      <c r="EU52" s="83"/>
      <c r="EV52" s="83"/>
      <c r="EW52" s="83"/>
      <c r="EX52" s="83"/>
      <c r="EY52" s="83"/>
      <c r="EZ52" s="83"/>
      <c r="FA52" s="83"/>
      <c r="FB52" s="83"/>
      <c r="FC52" s="83"/>
      <c r="FD52" s="83"/>
      <c r="FE52" s="83"/>
      <c r="FF52" s="83"/>
      <c r="FG52" s="83"/>
      <c r="FH52" s="83"/>
      <c r="FI52" s="83"/>
      <c r="FJ52" s="83"/>
      <c r="FK52" s="83"/>
      <c r="FL52" s="83"/>
      <c r="FM52" s="83"/>
      <c r="FN52" s="83"/>
      <c r="FO52" s="83"/>
      <c r="FP52" s="83"/>
      <c r="FQ52" s="83"/>
      <c r="FR52" s="83"/>
      <c r="FS52" s="83"/>
      <c r="FT52" s="83"/>
      <c r="FU52" s="83"/>
      <c r="FV52" s="83"/>
      <c r="FW52" s="83"/>
      <c r="FX52" s="83"/>
      <c r="FY52" s="83"/>
      <c r="FZ52" s="83"/>
      <c r="GA52" s="83"/>
      <c r="GB52" s="83"/>
      <c r="GC52" s="83"/>
      <c r="GD52" s="83"/>
      <c r="GE52" s="83"/>
      <c r="GF52" s="83"/>
      <c r="GG52" s="83"/>
      <c r="GH52" s="83"/>
      <c r="GI52" s="83"/>
      <c r="GJ52" s="83"/>
      <c r="GK52" s="83"/>
      <c r="GL52" s="83"/>
      <c r="GM52" s="83"/>
      <c r="GN52" s="83"/>
      <c r="GO52" s="83"/>
      <c r="GP52" s="83"/>
      <c r="GQ52" s="83"/>
      <c r="GR52" s="83"/>
      <c r="GS52" s="83"/>
      <c r="GT52" s="83"/>
      <c r="GU52" s="83"/>
      <c r="GV52" s="83"/>
      <c r="GW52" s="83"/>
      <c r="GX52" s="83"/>
      <c r="GY52" s="83"/>
      <c r="GZ52" s="83"/>
      <c r="HA52" s="83"/>
      <c r="HB52" s="83"/>
      <c r="HC52" s="83"/>
      <c r="HD52" s="83"/>
      <c r="HE52" s="83"/>
      <c r="HF52" s="83"/>
      <c r="HG52" s="83"/>
      <c r="HH52" s="83"/>
      <c r="HI52" s="83"/>
      <c r="HJ52" s="83"/>
      <c r="HK52" s="83"/>
      <c r="HL52" s="83"/>
      <c r="HM52" s="83"/>
      <c r="HN52" s="83"/>
      <c r="HO52" s="83"/>
    </row>
    <row r="53" s="16" customFormat="1" spans="1:223">
      <c r="A53" s="55"/>
      <c r="B53" s="19" t="s">
        <v>160</v>
      </c>
      <c r="C53" s="56"/>
      <c r="D53" s="57"/>
      <c r="E53" s="58" t="s">
        <v>161</v>
      </c>
      <c r="H53" s="54"/>
      <c r="I53" s="50"/>
      <c r="J53" s="50"/>
      <c r="K53" s="50"/>
      <c r="L53" s="50"/>
      <c r="M53" s="82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Y53" s="83"/>
      <c r="BZ53" s="83"/>
      <c r="CA53" s="83"/>
      <c r="CB53" s="83"/>
      <c r="CC53" s="83"/>
      <c r="CD53" s="83"/>
      <c r="CE53" s="83"/>
      <c r="CF53" s="83"/>
      <c r="CG53" s="83"/>
      <c r="CH53" s="83"/>
      <c r="CI53" s="83"/>
      <c r="CJ53" s="83"/>
      <c r="CK53" s="83"/>
      <c r="CL53" s="83"/>
      <c r="CM53" s="83"/>
      <c r="CN53" s="83"/>
      <c r="CO53" s="83"/>
      <c r="CP53" s="83"/>
      <c r="CQ53" s="83"/>
      <c r="CR53" s="83"/>
      <c r="CS53" s="83"/>
      <c r="CT53" s="83"/>
      <c r="CU53" s="83"/>
      <c r="CV53" s="83"/>
      <c r="CW53" s="83"/>
      <c r="CX53" s="83"/>
      <c r="CY53" s="83"/>
      <c r="CZ53" s="83"/>
      <c r="DA53" s="83"/>
      <c r="DB53" s="83"/>
      <c r="DC53" s="83"/>
      <c r="DD53" s="83"/>
      <c r="DE53" s="83"/>
      <c r="DF53" s="83"/>
      <c r="DG53" s="83"/>
      <c r="DH53" s="83"/>
      <c r="DI53" s="83"/>
      <c r="DJ53" s="83"/>
      <c r="DK53" s="83"/>
      <c r="DL53" s="83"/>
      <c r="DM53" s="83"/>
      <c r="DN53" s="83"/>
      <c r="DO53" s="83"/>
      <c r="DP53" s="83"/>
      <c r="DQ53" s="83"/>
      <c r="DR53" s="83"/>
      <c r="DS53" s="83"/>
      <c r="DT53" s="83"/>
      <c r="DU53" s="83"/>
      <c r="DV53" s="83"/>
      <c r="DW53" s="83"/>
      <c r="DX53" s="83"/>
      <c r="DY53" s="83"/>
      <c r="DZ53" s="83"/>
      <c r="EA53" s="83"/>
      <c r="EB53" s="83"/>
      <c r="EC53" s="83"/>
      <c r="ED53" s="83"/>
      <c r="EE53" s="83"/>
      <c r="EF53" s="83"/>
      <c r="EG53" s="83"/>
      <c r="EH53" s="83"/>
      <c r="EI53" s="83"/>
      <c r="EJ53" s="83"/>
      <c r="EK53" s="83"/>
      <c r="EL53" s="83"/>
      <c r="EM53" s="83"/>
      <c r="EN53" s="83"/>
      <c r="EO53" s="83"/>
      <c r="EP53" s="83"/>
      <c r="EQ53" s="83"/>
      <c r="ER53" s="83"/>
      <c r="ES53" s="83"/>
      <c r="ET53" s="83"/>
      <c r="EU53" s="83"/>
      <c r="EV53" s="83"/>
      <c r="EW53" s="83"/>
      <c r="EX53" s="83"/>
      <c r="EY53" s="83"/>
      <c r="EZ53" s="83"/>
      <c r="FA53" s="83"/>
      <c r="FB53" s="83"/>
      <c r="FC53" s="83"/>
      <c r="FD53" s="83"/>
      <c r="FE53" s="83"/>
      <c r="FF53" s="83"/>
      <c r="FG53" s="83"/>
      <c r="FH53" s="83"/>
      <c r="FI53" s="83"/>
      <c r="FJ53" s="83"/>
      <c r="FK53" s="83"/>
      <c r="FL53" s="83"/>
      <c r="FM53" s="83"/>
      <c r="FN53" s="83"/>
      <c r="FO53" s="83"/>
      <c r="FP53" s="83"/>
      <c r="FQ53" s="83"/>
      <c r="FR53" s="83"/>
      <c r="FS53" s="83"/>
      <c r="FT53" s="83"/>
      <c r="FU53" s="83"/>
      <c r="FV53" s="83"/>
      <c r="FW53" s="83"/>
      <c r="FX53" s="83"/>
      <c r="FY53" s="83"/>
      <c r="FZ53" s="83"/>
      <c r="GA53" s="83"/>
      <c r="GB53" s="83"/>
      <c r="GC53" s="83"/>
      <c r="GD53" s="83"/>
      <c r="GE53" s="83"/>
      <c r="GF53" s="83"/>
      <c r="GG53" s="83"/>
      <c r="GH53" s="83"/>
      <c r="GI53" s="83"/>
      <c r="GJ53" s="83"/>
      <c r="GK53" s="83"/>
      <c r="GL53" s="83"/>
      <c r="GM53" s="83"/>
      <c r="GN53" s="83"/>
      <c r="GO53" s="83"/>
      <c r="GP53" s="83"/>
      <c r="GQ53" s="83"/>
      <c r="GR53" s="83"/>
      <c r="GS53" s="83"/>
      <c r="GT53" s="83"/>
      <c r="GU53" s="83"/>
      <c r="GV53" s="83"/>
      <c r="GW53" s="83"/>
      <c r="GX53" s="83"/>
      <c r="GY53" s="83"/>
      <c r="GZ53" s="83"/>
      <c r="HA53" s="83"/>
      <c r="HB53" s="83"/>
      <c r="HC53" s="83"/>
      <c r="HD53" s="83"/>
      <c r="HE53" s="83"/>
      <c r="HF53" s="83"/>
      <c r="HG53" s="83"/>
      <c r="HH53" s="83"/>
      <c r="HI53" s="83"/>
      <c r="HJ53" s="83"/>
      <c r="HK53" s="83"/>
      <c r="HL53" s="83"/>
      <c r="HM53" s="83"/>
      <c r="HN53" s="83"/>
      <c r="HO53" s="83"/>
    </row>
    <row r="54" s="16" customFormat="1" spans="1:223">
      <c r="A54" s="55"/>
      <c r="B54" s="19" t="s">
        <v>162</v>
      </c>
      <c r="C54" s="56"/>
      <c r="D54" s="57"/>
      <c r="E54" s="58" t="s">
        <v>163</v>
      </c>
      <c r="H54" s="54"/>
      <c r="I54" s="50"/>
      <c r="J54" s="50"/>
      <c r="K54" s="50"/>
      <c r="L54" s="50"/>
      <c r="M54" s="82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  <c r="BM54" s="83"/>
      <c r="BN54" s="83"/>
      <c r="BO54" s="83"/>
      <c r="BP54" s="83"/>
      <c r="BQ54" s="83"/>
      <c r="BR54" s="83"/>
      <c r="BS54" s="83"/>
      <c r="BT54" s="83"/>
      <c r="BU54" s="83"/>
      <c r="BV54" s="83"/>
      <c r="BW54" s="83"/>
      <c r="BX54" s="83"/>
      <c r="BY54" s="83"/>
      <c r="BZ54" s="83"/>
      <c r="CA54" s="83"/>
      <c r="CB54" s="83"/>
      <c r="CC54" s="83"/>
      <c r="CD54" s="83"/>
      <c r="CE54" s="83"/>
      <c r="CF54" s="83"/>
      <c r="CG54" s="83"/>
      <c r="CH54" s="83"/>
      <c r="CI54" s="83"/>
      <c r="CJ54" s="83"/>
      <c r="CK54" s="83"/>
      <c r="CL54" s="83"/>
      <c r="CM54" s="83"/>
      <c r="CN54" s="83"/>
      <c r="CO54" s="83"/>
      <c r="CP54" s="83"/>
      <c r="CQ54" s="83"/>
      <c r="CR54" s="83"/>
      <c r="CS54" s="83"/>
      <c r="CT54" s="83"/>
      <c r="CU54" s="83"/>
      <c r="CV54" s="83"/>
      <c r="CW54" s="83"/>
      <c r="CX54" s="83"/>
      <c r="CY54" s="83"/>
      <c r="CZ54" s="83"/>
      <c r="DA54" s="83"/>
      <c r="DB54" s="83"/>
      <c r="DC54" s="83"/>
      <c r="DD54" s="83"/>
      <c r="DE54" s="83"/>
      <c r="DF54" s="83"/>
      <c r="DG54" s="83"/>
      <c r="DH54" s="83"/>
      <c r="DI54" s="83"/>
      <c r="DJ54" s="83"/>
      <c r="DK54" s="83"/>
      <c r="DL54" s="83"/>
      <c r="DM54" s="83"/>
      <c r="DN54" s="83"/>
      <c r="DO54" s="83"/>
      <c r="DP54" s="83"/>
      <c r="DQ54" s="83"/>
      <c r="DR54" s="83"/>
      <c r="DS54" s="83"/>
      <c r="DT54" s="83"/>
      <c r="DU54" s="83"/>
      <c r="DV54" s="83"/>
      <c r="DW54" s="83"/>
      <c r="DX54" s="83"/>
      <c r="DY54" s="83"/>
      <c r="DZ54" s="83"/>
      <c r="EA54" s="83"/>
      <c r="EB54" s="83"/>
      <c r="EC54" s="83"/>
      <c r="ED54" s="83"/>
      <c r="EE54" s="83"/>
      <c r="EF54" s="83"/>
      <c r="EG54" s="83"/>
      <c r="EH54" s="83"/>
      <c r="EI54" s="83"/>
      <c r="EJ54" s="83"/>
      <c r="EK54" s="83"/>
      <c r="EL54" s="83"/>
      <c r="EM54" s="83"/>
      <c r="EN54" s="83"/>
      <c r="EO54" s="83"/>
      <c r="EP54" s="83"/>
      <c r="EQ54" s="83"/>
      <c r="ER54" s="83"/>
      <c r="ES54" s="83"/>
      <c r="ET54" s="83"/>
      <c r="EU54" s="83"/>
      <c r="EV54" s="83"/>
      <c r="EW54" s="83"/>
      <c r="EX54" s="83"/>
      <c r="EY54" s="83"/>
      <c r="EZ54" s="83"/>
      <c r="FA54" s="83"/>
      <c r="FB54" s="83"/>
      <c r="FC54" s="83"/>
      <c r="FD54" s="83"/>
      <c r="FE54" s="83"/>
      <c r="FF54" s="83"/>
      <c r="FG54" s="83"/>
      <c r="FH54" s="83"/>
      <c r="FI54" s="83"/>
      <c r="FJ54" s="83"/>
      <c r="FK54" s="83"/>
      <c r="FL54" s="83"/>
      <c r="FM54" s="83"/>
      <c r="FN54" s="83"/>
      <c r="FO54" s="83"/>
      <c r="FP54" s="83"/>
      <c r="FQ54" s="83"/>
      <c r="FR54" s="83"/>
      <c r="FS54" s="83"/>
      <c r="FT54" s="83"/>
      <c r="FU54" s="83"/>
      <c r="FV54" s="83"/>
      <c r="FW54" s="83"/>
      <c r="FX54" s="83"/>
      <c r="FY54" s="83"/>
      <c r="FZ54" s="83"/>
      <c r="GA54" s="83"/>
      <c r="GB54" s="83"/>
      <c r="GC54" s="83"/>
      <c r="GD54" s="83"/>
      <c r="GE54" s="83"/>
      <c r="GF54" s="83"/>
      <c r="GG54" s="83"/>
      <c r="GH54" s="83"/>
      <c r="GI54" s="83"/>
      <c r="GJ54" s="83"/>
      <c r="GK54" s="83"/>
      <c r="GL54" s="83"/>
      <c r="GM54" s="83"/>
      <c r="GN54" s="83"/>
      <c r="GO54" s="83"/>
      <c r="GP54" s="83"/>
      <c r="GQ54" s="83"/>
      <c r="GR54" s="83"/>
      <c r="GS54" s="83"/>
      <c r="GT54" s="83"/>
      <c r="GU54" s="83"/>
      <c r="GV54" s="83"/>
      <c r="GW54" s="83"/>
      <c r="GX54" s="83"/>
      <c r="GY54" s="83"/>
      <c r="GZ54" s="83"/>
      <c r="HA54" s="83"/>
      <c r="HB54" s="83"/>
      <c r="HC54" s="83"/>
      <c r="HD54" s="83"/>
      <c r="HE54" s="83"/>
      <c r="HF54" s="83"/>
      <c r="HG54" s="83"/>
      <c r="HH54" s="83"/>
      <c r="HI54" s="83"/>
      <c r="HJ54" s="83"/>
      <c r="HK54" s="83"/>
      <c r="HL54" s="83"/>
      <c r="HM54" s="83"/>
      <c r="HN54" s="83"/>
      <c r="HO54" s="83"/>
    </row>
    <row r="55" s="16" customFormat="1" spans="1:223">
      <c r="A55" s="55"/>
      <c r="B55" s="19" t="s">
        <v>164</v>
      </c>
      <c r="C55" s="56"/>
      <c r="D55" s="57"/>
      <c r="E55" s="58" t="s">
        <v>165</v>
      </c>
      <c r="H55" s="54"/>
      <c r="I55" s="50"/>
      <c r="J55" s="50"/>
      <c r="K55" s="50"/>
      <c r="L55" s="50"/>
      <c r="M55" s="82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3"/>
      <c r="BW55" s="83"/>
      <c r="BX55" s="83"/>
      <c r="BY55" s="83"/>
      <c r="BZ55" s="83"/>
      <c r="CA55" s="83"/>
      <c r="CB55" s="83"/>
      <c r="CC55" s="83"/>
      <c r="CD55" s="83"/>
      <c r="CE55" s="83"/>
      <c r="CF55" s="83"/>
      <c r="CG55" s="83"/>
      <c r="CH55" s="83"/>
      <c r="CI55" s="83"/>
      <c r="CJ55" s="83"/>
      <c r="CK55" s="83"/>
      <c r="CL55" s="83"/>
      <c r="CM55" s="83"/>
      <c r="CN55" s="83"/>
      <c r="CO55" s="83"/>
      <c r="CP55" s="83"/>
      <c r="CQ55" s="83"/>
      <c r="CR55" s="83"/>
      <c r="CS55" s="83"/>
      <c r="CT55" s="83"/>
      <c r="CU55" s="83"/>
      <c r="CV55" s="83"/>
      <c r="CW55" s="83"/>
      <c r="CX55" s="83"/>
      <c r="CY55" s="83"/>
      <c r="CZ55" s="83"/>
      <c r="DA55" s="83"/>
      <c r="DB55" s="83"/>
      <c r="DC55" s="83"/>
      <c r="DD55" s="83"/>
      <c r="DE55" s="83"/>
      <c r="DF55" s="83"/>
      <c r="DG55" s="83"/>
      <c r="DH55" s="83"/>
      <c r="DI55" s="83"/>
      <c r="DJ55" s="83"/>
      <c r="DK55" s="83"/>
      <c r="DL55" s="83"/>
      <c r="DM55" s="83"/>
      <c r="DN55" s="83"/>
      <c r="DO55" s="83"/>
      <c r="DP55" s="83"/>
      <c r="DQ55" s="83"/>
      <c r="DR55" s="83"/>
      <c r="DS55" s="83"/>
      <c r="DT55" s="83"/>
      <c r="DU55" s="83"/>
      <c r="DV55" s="83"/>
      <c r="DW55" s="83"/>
      <c r="DX55" s="83"/>
      <c r="DY55" s="83"/>
      <c r="DZ55" s="83"/>
      <c r="EA55" s="83"/>
      <c r="EB55" s="83"/>
      <c r="EC55" s="83"/>
      <c r="ED55" s="83"/>
      <c r="EE55" s="83"/>
      <c r="EF55" s="83"/>
      <c r="EG55" s="83"/>
      <c r="EH55" s="83"/>
      <c r="EI55" s="83"/>
      <c r="EJ55" s="83"/>
      <c r="EK55" s="83"/>
      <c r="EL55" s="83"/>
      <c r="EM55" s="83"/>
      <c r="EN55" s="83"/>
      <c r="EO55" s="83"/>
      <c r="EP55" s="83"/>
      <c r="EQ55" s="83"/>
      <c r="ER55" s="83"/>
      <c r="ES55" s="83"/>
      <c r="ET55" s="83"/>
      <c r="EU55" s="83"/>
      <c r="EV55" s="83"/>
      <c r="EW55" s="83"/>
      <c r="EX55" s="83"/>
      <c r="EY55" s="83"/>
      <c r="EZ55" s="83"/>
      <c r="FA55" s="83"/>
      <c r="FB55" s="83"/>
      <c r="FC55" s="83"/>
      <c r="FD55" s="83"/>
      <c r="FE55" s="83"/>
      <c r="FF55" s="83"/>
      <c r="FG55" s="83"/>
      <c r="FH55" s="83"/>
      <c r="FI55" s="83"/>
      <c r="FJ55" s="83"/>
      <c r="FK55" s="83"/>
      <c r="FL55" s="83"/>
      <c r="FM55" s="83"/>
      <c r="FN55" s="83"/>
      <c r="FO55" s="83"/>
      <c r="FP55" s="83"/>
      <c r="FQ55" s="83"/>
      <c r="FR55" s="83"/>
      <c r="FS55" s="83"/>
      <c r="FT55" s="83"/>
      <c r="FU55" s="83"/>
      <c r="FV55" s="83"/>
      <c r="FW55" s="83"/>
      <c r="FX55" s="83"/>
      <c r="FY55" s="83"/>
      <c r="FZ55" s="83"/>
      <c r="GA55" s="83"/>
      <c r="GB55" s="83"/>
      <c r="GC55" s="83"/>
      <c r="GD55" s="83"/>
      <c r="GE55" s="83"/>
      <c r="GF55" s="83"/>
      <c r="GG55" s="83"/>
      <c r="GH55" s="83"/>
      <c r="GI55" s="83"/>
      <c r="GJ55" s="83"/>
      <c r="GK55" s="83"/>
      <c r="GL55" s="83"/>
      <c r="GM55" s="83"/>
      <c r="GN55" s="83"/>
      <c r="GO55" s="83"/>
      <c r="GP55" s="83"/>
      <c r="GQ55" s="83"/>
      <c r="GR55" s="83"/>
      <c r="GS55" s="83"/>
      <c r="GT55" s="83"/>
      <c r="GU55" s="83"/>
      <c r="GV55" s="83"/>
      <c r="GW55" s="83"/>
      <c r="GX55" s="83"/>
      <c r="GY55" s="83"/>
      <c r="GZ55" s="83"/>
      <c r="HA55" s="83"/>
      <c r="HB55" s="83"/>
      <c r="HC55" s="83"/>
      <c r="HD55" s="83"/>
      <c r="HE55" s="83"/>
      <c r="HF55" s="83"/>
      <c r="HG55" s="83"/>
      <c r="HH55" s="83"/>
      <c r="HI55" s="83"/>
      <c r="HJ55" s="83"/>
      <c r="HK55" s="83"/>
      <c r="HL55" s="83"/>
      <c r="HM55" s="83"/>
      <c r="HN55" s="83"/>
      <c r="HO55" s="83"/>
    </row>
    <row r="56" s="16" customFormat="1" spans="1:223">
      <c r="A56" s="55"/>
      <c r="B56" s="19" t="s">
        <v>166</v>
      </c>
      <c r="C56" s="56"/>
      <c r="D56" s="57"/>
      <c r="E56" s="58" t="s">
        <v>167</v>
      </c>
      <c r="H56" s="54"/>
      <c r="I56" s="50"/>
      <c r="J56" s="50"/>
      <c r="K56" s="50"/>
      <c r="L56" s="50"/>
      <c r="M56" s="82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3"/>
      <c r="CC56" s="83"/>
      <c r="CD56" s="83"/>
      <c r="CE56" s="83"/>
      <c r="CF56" s="83"/>
      <c r="CG56" s="83"/>
      <c r="CH56" s="83"/>
      <c r="CI56" s="83"/>
      <c r="CJ56" s="83"/>
      <c r="CK56" s="83"/>
      <c r="CL56" s="83"/>
      <c r="CM56" s="83"/>
      <c r="CN56" s="83"/>
      <c r="CO56" s="83"/>
      <c r="CP56" s="83"/>
      <c r="CQ56" s="83"/>
      <c r="CR56" s="83"/>
      <c r="CS56" s="83"/>
      <c r="CT56" s="83"/>
      <c r="CU56" s="83"/>
      <c r="CV56" s="83"/>
      <c r="CW56" s="83"/>
      <c r="CX56" s="83"/>
      <c r="CY56" s="83"/>
      <c r="CZ56" s="83"/>
      <c r="DA56" s="83"/>
      <c r="DB56" s="83"/>
      <c r="DC56" s="83"/>
      <c r="DD56" s="83"/>
      <c r="DE56" s="83"/>
      <c r="DF56" s="83"/>
      <c r="DG56" s="83"/>
      <c r="DH56" s="83"/>
      <c r="DI56" s="83"/>
      <c r="DJ56" s="83"/>
      <c r="DK56" s="83"/>
      <c r="DL56" s="83"/>
      <c r="DM56" s="83"/>
      <c r="DN56" s="83"/>
      <c r="DO56" s="83"/>
      <c r="DP56" s="83"/>
      <c r="DQ56" s="83"/>
      <c r="DR56" s="83"/>
      <c r="DS56" s="83"/>
      <c r="DT56" s="83"/>
      <c r="DU56" s="83"/>
      <c r="DV56" s="83"/>
      <c r="DW56" s="83"/>
      <c r="DX56" s="83"/>
      <c r="DY56" s="83"/>
      <c r="DZ56" s="83"/>
      <c r="EA56" s="83"/>
      <c r="EB56" s="83"/>
      <c r="EC56" s="83"/>
      <c r="ED56" s="83"/>
      <c r="EE56" s="83"/>
      <c r="EF56" s="83"/>
      <c r="EG56" s="83"/>
      <c r="EH56" s="83"/>
      <c r="EI56" s="83"/>
      <c r="EJ56" s="83"/>
      <c r="EK56" s="83"/>
      <c r="EL56" s="83"/>
      <c r="EM56" s="83"/>
      <c r="EN56" s="83"/>
      <c r="EO56" s="83"/>
      <c r="EP56" s="83"/>
      <c r="EQ56" s="83"/>
      <c r="ER56" s="83"/>
      <c r="ES56" s="83"/>
      <c r="ET56" s="83"/>
      <c r="EU56" s="83"/>
      <c r="EV56" s="83"/>
      <c r="EW56" s="83"/>
      <c r="EX56" s="83"/>
      <c r="EY56" s="83"/>
      <c r="EZ56" s="83"/>
      <c r="FA56" s="83"/>
      <c r="FB56" s="83"/>
      <c r="FC56" s="83"/>
      <c r="FD56" s="83"/>
      <c r="FE56" s="83"/>
      <c r="FF56" s="83"/>
      <c r="FG56" s="83"/>
      <c r="FH56" s="83"/>
      <c r="FI56" s="83"/>
      <c r="FJ56" s="83"/>
      <c r="FK56" s="83"/>
      <c r="FL56" s="83"/>
      <c r="FM56" s="83"/>
      <c r="FN56" s="83"/>
      <c r="FO56" s="83"/>
      <c r="FP56" s="83"/>
      <c r="FQ56" s="83"/>
      <c r="FR56" s="83"/>
      <c r="FS56" s="83"/>
      <c r="FT56" s="83"/>
      <c r="FU56" s="83"/>
      <c r="FV56" s="83"/>
      <c r="FW56" s="83"/>
      <c r="FX56" s="83"/>
      <c r="FY56" s="83"/>
      <c r="FZ56" s="83"/>
      <c r="GA56" s="83"/>
      <c r="GB56" s="83"/>
      <c r="GC56" s="83"/>
      <c r="GD56" s="83"/>
      <c r="GE56" s="83"/>
      <c r="GF56" s="83"/>
      <c r="GG56" s="83"/>
      <c r="GH56" s="83"/>
      <c r="GI56" s="83"/>
      <c r="GJ56" s="83"/>
      <c r="GK56" s="83"/>
      <c r="GL56" s="83"/>
      <c r="GM56" s="83"/>
      <c r="GN56" s="83"/>
      <c r="GO56" s="83"/>
      <c r="GP56" s="83"/>
      <c r="GQ56" s="83"/>
      <c r="GR56" s="83"/>
      <c r="GS56" s="83"/>
      <c r="GT56" s="83"/>
      <c r="GU56" s="83"/>
      <c r="GV56" s="83"/>
      <c r="GW56" s="83"/>
      <c r="GX56" s="83"/>
      <c r="GY56" s="83"/>
      <c r="GZ56" s="83"/>
      <c r="HA56" s="83"/>
      <c r="HB56" s="83"/>
      <c r="HC56" s="83"/>
      <c r="HD56" s="83"/>
      <c r="HE56" s="83"/>
      <c r="HF56" s="83"/>
      <c r="HG56" s="83"/>
      <c r="HH56" s="83"/>
      <c r="HI56" s="83"/>
      <c r="HJ56" s="83"/>
      <c r="HK56" s="83"/>
      <c r="HL56" s="83"/>
      <c r="HM56" s="83"/>
      <c r="HN56" s="83"/>
      <c r="HO56" s="83"/>
    </row>
    <row r="57" s="16" customFormat="1" spans="1:223">
      <c r="A57" s="55"/>
      <c r="B57" s="19" t="s">
        <v>168</v>
      </c>
      <c r="C57" s="56"/>
      <c r="D57" s="57"/>
      <c r="E57" s="58" t="s">
        <v>169</v>
      </c>
      <c r="H57" s="54"/>
      <c r="I57" s="50"/>
      <c r="J57" s="50"/>
      <c r="K57" s="50"/>
      <c r="L57" s="50"/>
      <c r="M57" s="82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/>
      <c r="DX57" s="83"/>
      <c r="DY57" s="83"/>
      <c r="DZ57" s="83"/>
      <c r="EA57" s="83"/>
      <c r="EB57" s="83"/>
      <c r="EC57" s="83"/>
      <c r="ED57" s="83"/>
      <c r="EE57" s="83"/>
      <c r="EF57" s="83"/>
      <c r="EG57" s="83"/>
      <c r="EH57" s="83"/>
      <c r="EI57" s="83"/>
      <c r="EJ57" s="83"/>
      <c r="EK57" s="83"/>
      <c r="EL57" s="83"/>
      <c r="EM57" s="83"/>
      <c r="EN57" s="83"/>
      <c r="EO57" s="83"/>
      <c r="EP57" s="83"/>
      <c r="EQ57" s="83"/>
      <c r="ER57" s="83"/>
      <c r="ES57" s="83"/>
      <c r="ET57" s="83"/>
      <c r="EU57" s="83"/>
      <c r="EV57" s="83"/>
      <c r="EW57" s="83"/>
      <c r="EX57" s="83"/>
      <c r="EY57" s="83"/>
      <c r="EZ57" s="83"/>
      <c r="FA57" s="83"/>
      <c r="FB57" s="83"/>
      <c r="FC57" s="83"/>
      <c r="FD57" s="83"/>
      <c r="FE57" s="83"/>
      <c r="FF57" s="83"/>
      <c r="FG57" s="83"/>
      <c r="FH57" s="83"/>
      <c r="FI57" s="83"/>
      <c r="FJ57" s="83"/>
      <c r="FK57" s="83"/>
      <c r="FL57" s="83"/>
      <c r="FM57" s="83"/>
      <c r="FN57" s="83"/>
      <c r="FO57" s="83"/>
      <c r="FP57" s="83"/>
      <c r="FQ57" s="83"/>
      <c r="FR57" s="83"/>
      <c r="FS57" s="83"/>
      <c r="FT57" s="83"/>
      <c r="FU57" s="83"/>
      <c r="FV57" s="83"/>
      <c r="FW57" s="83"/>
      <c r="FX57" s="83"/>
      <c r="FY57" s="83"/>
      <c r="FZ57" s="83"/>
      <c r="GA57" s="83"/>
      <c r="GB57" s="83"/>
      <c r="GC57" s="83"/>
      <c r="GD57" s="83"/>
      <c r="GE57" s="83"/>
      <c r="GF57" s="83"/>
      <c r="GG57" s="83"/>
      <c r="GH57" s="83"/>
      <c r="GI57" s="83"/>
      <c r="GJ57" s="83"/>
      <c r="GK57" s="83"/>
      <c r="GL57" s="83"/>
      <c r="GM57" s="83"/>
      <c r="GN57" s="83"/>
      <c r="GO57" s="83"/>
      <c r="GP57" s="83"/>
      <c r="GQ57" s="83"/>
      <c r="GR57" s="83"/>
      <c r="GS57" s="83"/>
      <c r="GT57" s="83"/>
      <c r="GU57" s="83"/>
      <c r="GV57" s="83"/>
      <c r="GW57" s="83"/>
      <c r="GX57" s="83"/>
      <c r="GY57" s="83"/>
      <c r="GZ57" s="83"/>
      <c r="HA57" s="83"/>
      <c r="HB57" s="83"/>
      <c r="HC57" s="83"/>
      <c r="HD57" s="83"/>
      <c r="HE57" s="83"/>
      <c r="HF57" s="83"/>
      <c r="HG57" s="83"/>
      <c r="HH57" s="83"/>
      <c r="HI57" s="83"/>
      <c r="HJ57" s="83"/>
      <c r="HK57" s="83"/>
      <c r="HL57" s="83"/>
      <c r="HM57" s="83"/>
      <c r="HN57" s="83"/>
      <c r="HO57" s="83"/>
    </row>
    <row r="58" s="16" customFormat="1" spans="1:223">
      <c r="A58" s="55"/>
      <c r="B58" s="19" t="s">
        <v>170</v>
      </c>
      <c r="C58" s="56"/>
      <c r="D58" s="57"/>
      <c r="E58" s="58" t="s">
        <v>171</v>
      </c>
      <c r="H58" s="54"/>
      <c r="I58" s="50"/>
      <c r="J58" s="50"/>
      <c r="K58" s="50"/>
      <c r="L58" s="50"/>
      <c r="M58" s="82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/>
      <c r="DB58" s="83"/>
      <c r="DC58" s="83"/>
      <c r="DD58" s="83"/>
      <c r="DE58" s="83"/>
      <c r="DF58" s="83"/>
      <c r="DG58" s="83"/>
      <c r="DH58" s="83"/>
      <c r="DI58" s="83"/>
      <c r="DJ58" s="83"/>
      <c r="DK58" s="83"/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3"/>
      <c r="DW58" s="83"/>
      <c r="DX58" s="83"/>
      <c r="DY58" s="83"/>
      <c r="DZ58" s="83"/>
      <c r="EA58" s="83"/>
      <c r="EB58" s="83"/>
      <c r="EC58" s="83"/>
      <c r="ED58" s="83"/>
      <c r="EE58" s="83"/>
      <c r="EF58" s="83"/>
      <c r="EG58" s="83"/>
      <c r="EH58" s="83"/>
      <c r="EI58" s="83"/>
      <c r="EJ58" s="83"/>
      <c r="EK58" s="83"/>
      <c r="EL58" s="83"/>
      <c r="EM58" s="83"/>
      <c r="EN58" s="83"/>
      <c r="EO58" s="83"/>
      <c r="EP58" s="83"/>
      <c r="EQ58" s="83"/>
      <c r="ER58" s="83"/>
      <c r="ES58" s="83"/>
      <c r="ET58" s="83"/>
      <c r="EU58" s="83"/>
      <c r="EV58" s="83"/>
      <c r="EW58" s="83"/>
      <c r="EX58" s="83"/>
      <c r="EY58" s="83"/>
      <c r="EZ58" s="83"/>
      <c r="FA58" s="83"/>
      <c r="FB58" s="83"/>
      <c r="FC58" s="83"/>
      <c r="FD58" s="83"/>
      <c r="FE58" s="83"/>
      <c r="FF58" s="83"/>
      <c r="FG58" s="83"/>
      <c r="FH58" s="83"/>
      <c r="FI58" s="83"/>
      <c r="FJ58" s="83"/>
      <c r="FK58" s="83"/>
      <c r="FL58" s="83"/>
      <c r="FM58" s="83"/>
      <c r="FN58" s="83"/>
      <c r="FO58" s="83"/>
      <c r="FP58" s="83"/>
      <c r="FQ58" s="83"/>
      <c r="FR58" s="83"/>
      <c r="FS58" s="83"/>
      <c r="FT58" s="83"/>
      <c r="FU58" s="83"/>
      <c r="FV58" s="83"/>
      <c r="FW58" s="83"/>
      <c r="FX58" s="83"/>
      <c r="FY58" s="83"/>
      <c r="FZ58" s="83"/>
      <c r="GA58" s="83"/>
      <c r="GB58" s="83"/>
      <c r="GC58" s="83"/>
      <c r="GD58" s="83"/>
      <c r="GE58" s="83"/>
      <c r="GF58" s="83"/>
      <c r="GG58" s="83"/>
      <c r="GH58" s="83"/>
      <c r="GI58" s="83"/>
      <c r="GJ58" s="83"/>
      <c r="GK58" s="83"/>
      <c r="GL58" s="83"/>
      <c r="GM58" s="83"/>
      <c r="GN58" s="83"/>
      <c r="GO58" s="83"/>
      <c r="GP58" s="83"/>
      <c r="GQ58" s="83"/>
      <c r="GR58" s="83"/>
      <c r="GS58" s="83"/>
      <c r="GT58" s="83"/>
      <c r="GU58" s="83"/>
      <c r="GV58" s="83"/>
      <c r="GW58" s="83"/>
      <c r="GX58" s="83"/>
      <c r="GY58" s="83"/>
      <c r="GZ58" s="83"/>
      <c r="HA58" s="83"/>
      <c r="HB58" s="83"/>
      <c r="HC58" s="83"/>
      <c r="HD58" s="83"/>
      <c r="HE58" s="83"/>
      <c r="HF58" s="83"/>
      <c r="HG58" s="83"/>
      <c r="HH58" s="83"/>
      <c r="HI58" s="83"/>
      <c r="HJ58" s="83"/>
      <c r="HK58" s="83"/>
      <c r="HL58" s="83"/>
      <c r="HM58" s="83"/>
      <c r="HN58" s="83"/>
      <c r="HO58" s="83"/>
    </row>
    <row r="59" s="16" customFormat="1" spans="1:223">
      <c r="A59" s="55"/>
      <c r="B59" s="19" t="s">
        <v>172</v>
      </c>
      <c r="C59" s="56"/>
      <c r="D59" s="57"/>
      <c r="E59" s="58" t="s">
        <v>173</v>
      </c>
      <c r="H59" s="54"/>
      <c r="I59" s="50"/>
      <c r="J59" s="50"/>
      <c r="K59" s="50"/>
      <c r="L59" s="50"/>
      <c r="M59" s="82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3"/>
      <c r="DG59" s="83"/>
      <c r="DH59" s="83"/>
      <c r="DI59" s="83"/>
      <c r="DJ59" s="83"/>
      <c r="DK59" s="83"/>
      <c r="DL59" s="83"/>
      <c r="DM59" s="83"/>
      <c r="DN59" s="83"/>
      <c r="DO59" s="83"/>
      <c r="DP59" s="83"/>
      <c r="DQ59" s="83"/>
      <c r="DR59" s="83"/>
      <c r="DS59" s="83"/>
      <c r="DT59" s="83"/>
      <c r="DU59" s="83"/>
      <c r="DV59" s="83"/>
      <c r="DW59" s="83"/>
      <c r="DX59" s="83"/>
      <c r="DY59" s="83"/>
      <c r="DZ59" s="83"/>
      <c r="EA59" s="83"/>
      <c r="EB59" s="83"/>
      <c r="EC59" s="83"/>
      <c r="ED59" s="83"/>
      <c r="EE59" s="83"/>
      <c r="EF59" s="83"/>
      <c r="EG59" s="83"/>
      <c r="EH59" s="83"/>
      <c r="EI59" s="83"/>
      <c r="EJ59" s="83"/>
      <c r="EK59" s="83"/>
      <c r="EL59" s="83"/>
      <c r="EM59" s="83"/>
      <c r="EN59" s="83"/>
      <c r="EO59" s="83"/>
      <c r="EP59" s="83"/>
      <c r="EQ59" s="83"/>
      <c r="ER59" s="83"/>
      <c r="ES59" s="83"/>
      <c r="ET59" s="83"/>
      <c r="EU59" s="83"/>
      <c r="EV59" s="83"/>
      <c r="EW59" s="83"/>
      <c r="EX59" s="83"/>
      <c r="EY59" s="83"/>
      <c r="EZ59" s="83"/>
      <c r="FA59" s="83"/>
      <c r="FB59" s="83"/>
      <c r="FC59" s="83"/>
      <c r="FD59" s="83"/>
      <c r="FE59" s="83"/>
      <c r="FF59" s="83"/>
      <c r="FG59" s="83"/>
      <c r="FH59" s="83"/>
      <c r="FI59" s="83"/>
      <c r="FJ59" s="83"/>
      <c r="FK59" s="83"/>
      <c r="FL59" s="83"/>
      <c r="FM59" s="83"/>
      <c r="FN59" s="83"/>
      <c r="FO59" s="83"/>
      <c r="FP59" s="83"/>
      <c r="FQ59" s="83"/>
      <c r="FR59" s="83"/>
      <c r="FS59" s="83"/>
      <c r="FT59" s="83"/>
      <c r="FU59" s="83"/>
      <c r="FV59" s="83"/>
      <c r="FW59" s="83"/>
      <c r="FX59" s="83"/>
      <c r="FY59" s="83"/>
      <c r="FZ59" s="83"/>
      <c r="GA59" s="83"/>
      <c r="GB59" s="83"/>
      <c r="GC59" s="83"/>
      <c r="GD59" s="83"/>
      <c r="GE59" s="83"/>
      <c r="GF59" s="83"/>
      <c r="GG59" s="83"/>
      <c r="GH59" s="83"/>
      <c r="GI59" s="83"/>
      <c r="GJ59" s="83"/>
      <c r="GK59" s="83"/>
      <c r="GL59" s="83"/>
      <c r="GM59" s="83"/>
      <c r="GN59" s="83"/>
      <c r="GO59" s="83"/>
      <c r="GP59" s="83"/>
      <c r="GQ59" s="83"/>
      <c r="GR59" s="83"/>
      <c r="GS59" s="83"/>
      <c r="GT59" s="83"/>
      <c r="GU59" s="83"/>
      <c r="GV59" s="83"/>
      <c r="GW59" s="83"/>
      <c r="GX59" s="83"/>
      <c r="GY59" s="83"/>
      <c r="GZ59" s="83"/>
      <c r="HA59" s="83"/>
      <c r="HB59" s="83"/>
      <c r="HC59" s="83"/>
      <c r="HD59" s="83"/>
      <c r="HE59" s="83"/>
      <c r="HF59" s="83"/>
      <c r="HG59" s="83"/>
      <c r="HH59" s="83"/>
      <c r="HI59" s="83"/>
      <c r="HJ59" s="83"/>
      <c r="HK59" s="83"/>
      <c r="HL59" s="83"/>
      <c r="HM59" s="83"/>
      <c r="HN59" s="83"/>
      <c r="HO59" s="83"/>
    </row>
    <row r="60" s="16" customFormat="1" spans="1:223">
      <c r="A60" s="55"/>
      <c r="B60" s="19" t="s">
        <v>174</v>
      </c>
      <c r="C60" s="56"/>
      <c r="D60" s="57"/>
      <c r="E60" s="58" t="s">
        <v>175</v>
      </c>
      <c r="H60" s="54"/>
      <c r="I60" s="50"/>
      <c r="J60" s="50"/>
      <c r="K60" s="50"/>
      <c r="L60" s="50"/>
      <c r="M60" s="82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/>
      <c r="DB60" s="83"/>
      <c r="DC60" s="83"/>
      <c r="DD60" s="83"/>
      <c r="DE60" s="83"/>
      <c r="DF60" s="83"/>
      <c r="DG60" s="83"/>
      <c r="DH60" s="83"/>
      <c r="DI60" s="83"/>
      <c r="DJ60" s="83"/>
      <c r="DK60" s="83"/>
      <c r="DL60" s="83"/>
      <c r="DM60" s="83"/>
      <c r="DN60" s="83"/>
      <c r="DO60" s="83"/>
      <c r="DP60" s="83"/>
      <c r="DQ60" s="83"/>
      <c r="DR60" s="83"/>
      <c r="DS60" s="83"/>
      <c r="DT60" s="83"/>
      <c r="DU60" s="83"/>
      <c r="DV60" s="83"/>
      <c r="DW60" s="83"/>
      <c r="DX60" s="83"/>
      <c r="DY60" s="83"/>
      <c r="DZ60" s="83"/>
      <c r="EA60" s="83"/>
      <c r="EB60" s="83"/>
      <c r="EC60" s="83"/>
      <c r="ED60" s="83"/>
      <c r="EE60" s="83"/>
      <c r="EF60" s="83"/>
      <c r="EG60" s="83"/>
      <c r="EH60" s="83"/>
      <c r="EI60" s="83"/>
      <c r="EJ60" s="83"/>
      <c r="EK60" s="83"/>
      <c r="EL60" s="83"/>
      <c r="EM60" s="83"/>
      <c r="EN60" s="83"/>
      <c r="EO60" s="83"/>
      <c r="EP60" s="83"/>
      <c r="EQ60" s="83"/>
      <c r="ER60" s="83"/>
      <c r="ES60" s="83"/>
      <c r="ET60" s="83"/>
      <c r="EU60" s="83"/>
      <c r="EV60" s="83"/>
      <c r="EW60" s="83"/>
      <c r="EX60" s="83"/>
      <c r="EY60" s="83"/>
      <c r="EZ60" s="83"/>
      <c r="FA60" s="83"/>
      <c r="FB60" s="83"/>
      <c r="FC60" s="83"/>
      <c r="FD60" s="83"/>
      <c r="FE60" s="83"/>
      <c r="FF60" s="83"/>
      <c r="FG60" s="83"/>
      <c r="FH60" s="83"/>
      <c r="FI60" s="83"/>
      <c r="FJ60" s="83"/>
      <c r="FK60" s="83"/>
      <c r="FL60" s="83"/>
      <c r="FM60" s="83"/>
      <c r="FN60" s="83"/>
      <c r="FO60" s="83"/>
      <c r="FP60" s="83"/>
      <c r="FQ60" s="83"/>
      <c r="FR60" s="83"/>
      <c r="FS60" s="83"/>
      <c r="FT60" s="83"/>
      <c r="FU60" s="83"/>
      <c r="FV60" s="83"/>
      <c r="FW60" s="83"/>
      <c r="FX60" s="83"/>
      <c r="FY60" s="83"/>
      <c r="FZ60" s="83"/>
      <c r="GA60" s="83"/>
      <c r="GB60" s="83"/>
      <c r="GC60" s="83"/>
      <c r="GD60" s="83"/>
      <c r="GE60" s="83"/>
      <c r="GF60" s="83"/>
      <c r="GG60" s="83"/>
      <c r="GH60" s="83"/>
      <c r="GI60" s="83"/>
      <c r="GJ60" s="83"/>
      <c r="GK60" s="83"/>
      <c r="GL60" s="83"/>
      <c r="GM60" s="83"/>
      <c r="GN60" s="83"/>
      <c r="GO60" s="83"/>
      <c r="GP60" s="83"/>
      <c r="GQ60" s="83"/>
      <c r="GR60" s="83"/>
      <c r="GS60" s="83"/>
      <c r="GT60" s="83"/>
      <c r="GU60" s="83"/>
      <c r="GV60" s="83"/>
      <c r="GW60" s="83"/>
      <c r="GX60" s="83"/>
      <c r="GY60" s="83"/>
      <c r="GZ60" s="83"/>
      <c r="HA60" s="83"/>
      <c r="HB60" s="83"/>
      <c r="HC60" s="83"/>
      <c r="HD60" s="83"/>
      <c r="HE60" s="83"/>
      <c r="HF60" s="83"/>
      <c r="HG60" s="83"/>
      <c r="HH60" s="83"/>
      <c r="HI60" s="83"/>
      <c r="HJ60" s="83"/>
      <c r="HK60" s="83"/>
      <c r="HL60" s="83"/>
      <c r="HM60" s="83"/>
      <c r="HN60" s="83"/>
      <c r="HO60" s="83"/>
    </row>
    <row r="61" s="16" customFormat="1" spans="1:223">
      <c r="A61" s="55"/>
      <c r="B61" s="19" t="s">
        <v>176</v>
      </c>
      <c r="C61" s="56"/>
      <c r="D61" s="57"/>
      <c r="E61" s="58" t="s">
        <v>177</v>
      </c>
      <c r="H61" s="54"/>
      <c r="I61" s="50"/>
      <c r="J61" s="50"/>
      <c r="K61" s="50"/>
      <c r="L61" s="50"/>
      <c r="M61" s="82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/>
      <c r="DX61" s="83"/>
      <c r="DY61" s="83"/>
      <c r="DZ61" s="83"/>
      <c r="EA61" s="83"/>
      <c r="EB61" s="83"/>
      <c r="EC61" s="83"/>
      <c r="ED61" s="83"/>
      <c r="EE61" s="83"/>
      <c r="EF61" s="83"/>
      <c r="EG61" s="83"/>
      <c r="EH61" s="83"/>
      <c r="EI61" s="83"/>
      <c r="EJ61" s="83"/>
      <c r="EK61" s="83"/>
      <c r="EL61" s="83"/>
      <c r="EM61" s="83"/>
      <c r="EN61" s="83"/>
      <c r="EO61" s="83"/>
      <c r="EP61" s="83"/>
      <c r="EQ61" s="83"/>
      <c r="ER61" s="83"/>
      <c r="ES61" s="83"/>
      <c r="ET61" s="83"/>
      <c r="EU61" s="83"/>
      <c r="EV61" s="83"/>
      <c r="EW61" s="83"/>
      <c r="EX61" s="83"/>
      <c r="EY61" s="83"/>
      <c r="EZ61" s="83"/>
      <c r="FA61" s="83"/>
      <c r="FB61" s="83"/>
      <c r="FC61" s="83"/>
      <c r="FD61" s="83"/>
      <c r="FE61" s="83"/>
      <c r="FF61" s="83"/>
      <c r="FG61" s="83"/>
      <c r="FH61" s="83"/>
      <c r="FI61" s="83"/>
      <c r="FJ61" s="83"/>
      <c r="FK61" s="83"/>
      <c r="FL61" s="83"/>
      <c r="FM61" s="83"/>
      <c r="FN61" s="83"/>
      <c r="FO61" s="83"/>
      <c r="FP61" s="83"/>
      <c r="FQ61" s="83"/>
      <c r="FR61" s="83"/>
      <c r="FS61" s="83"/>
      <c r="FT61" s="83"/>
      <c r="FU61" s="83"/>
      <c r="FV61" s="83"/>
      <c r="FW61" s="83"/>
      <c r="FX61" s="83"/>
      <c r="FY61" s="83"/>
      <c r="FZ61" s="83"/>
      <c r="GA61" s="83"/>
      <c r="GB61" s="83"/>
      <c r="GC61" s="83"/>
      <c r="GD61" s="83"/>
      <c r="GE61" s="83"/>
      <c r="GF61" s="83"/>
      <c r="GG61" s="83"/>
      <c r="GH61" s="83"/>
      <c r="GI61" s="83"/>
      <c r="GJ61" s="83"/>
      <c r="GK61" s="83"/>
      <c r="GL61" s="83"/>
      <c r="GM61" s="83"/>
      <c r="GN61" s="83"/>
      <c r="GO61" s="83"/>
      <c r="GP61" s="83"/>
      <c r="GQ61" s="83"/>
      <c r="GR61" s="83"/>
      <c r="GS61" s="83"/>
      <c r="GT61" s="83"/>
      <c r="GU61" s="83"/>
      <c r="GV61" s="83"/>
      <c r="GW61" s="83"/>
      <c r="GX61" s="83"/>
      <c r="GY61" s="83"/>
      <c r="GZ61" s="83"/>
      <c r="HA61" s="83"/>
      <c r="HB61" s="83"/>
      <c r="HC61" s="83"/>
      <c r="HD61" s="83"/>
      <c r="HE61" s="83"/>
      <c r="HF61" s="83"/>
      <c r="HG61" s="83"/>
      <c r="HH61" s="83"/>
      <c r="HI61" s="83"/>
      <c r="HJ61" s="83"/>
      <c r="HK61" s="83"/>
      <c r="HL61" s="83"/>
      <c r="HM61" s="83"/>
      <c r="HN61" s="83"/>
      <c r="HO61" s="83"/>
    </row>
    <row r="62" s="16" customFormat="1" spans="1:223">
      <c r="A62" s="55"/>
      <c r="B62" s="19" t="s">
        <v>178</v>
      </c>
      <c r="C62" s="56" t="s">
        <v>179</v>
      </c>
      <c r="D62" s="59" t="s">
        <v>180</v>
      </c>
      <c r="E62" s="53" t="s">
        <v>181</v>
      </c>
      <c r="H62" s="54"/>
      <c r="I62" s="50"/>
      <c r="J62" s="50"/>
      <c r="K62" s="50"/>
      <c r="L62" s="50"/>
      <c r="M62" s="82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  <c r="EX62" s="83"/>
      <c r="EY62" s="83"/>
      <c r="EZ62" s="83"/>
      <c r="FA62" s="83"/>
      <c r="FB62" s="83"/>
      <c r="FC62" s="83"/>
      <c r="FD62" s="83"/>
      <c r="FE62" s="83"/>
      <c r="FF62" s="83"/>
      <c r="FG62" s="8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  <c r="FU62" s="83"/>
      <c r="FV62" s="83"/>
      <c r="FW62" s="83"/>
      <c r="FX62" s="83"/>
      <c r="FY62" s="83"/>
      <c r="FZ62" s="83"/>
      <c r="GA62" s="83"/>
      <c r="GB62" s="83"/>
      <c r="GC62" s="83"/>
      <c r="GD62" s="83"/>
      <c r="GE62" s="83"/>
      <c r="GF62" s="83"/>
      <c r="GG62" s="83"/>
      <c r="GH62" s="83"/>
      <c r="GI62" s="83"/>
      <c r="GJ62" s="83"/>
      <c r="GK62" s="83"/>
      <c r="GL62" s="83"/>
      <c r="GM62" s="83"/>
      <c r="GN62" s="83"/>
      <c r="GO62" s="83"/>
      <c r="GP62" s="83"/>
      <c r="GQ62" s="83"/>
      <c r="GR62" s="83"/>
      <c r="GS62" s="83"/>
      <c r="GT62" s="83"/>
      <c r="GU62" s="83"/>
      <c r="GV62" s="83"/>
      <c r="GW62" s="83"/>
      <c r="GX62" s="83"/>
      <c r="GY62" s="83"/>
      <c r="GZ62" s="83"/>
      <c r="HA62" s="83"/>
      <c r="HB62" s="83"/>
      <c r="HC62" s="83"/>
      <c r="HD62" s="83"/>
      <c r="HE62" s="83"/>
      <c r="HF62" s="83"/>
      <c r="HG62" s="83"/>
      <c r="HH62" s="83"/>
      <c r="HI62" s="83"/>
      <c r="HJ62" s="83"/>
      <c r="HK62" s="83"/>
      <c r="HL62" s="83"/>
      <c r="HM62" s="83"/>
      <c r="HN62" s="83"/>
      <c r="HO62" s="83"/>
    </row>
    <row r="63" s="16" customFormat="1" spans="1:223">
      <c r="A63" s="55"/>
      <c r="B63" s="19" t="s">
        <v>182</v>
      </c>
      <c r="C63" s="56"/>
      <c r="D63" s="59"/>
      <c r="E63" s="58" t="s">
        <v>107</v>
      </c>
      <c r="H63" s="54"/>
      <c r="I63" s="50"/>
      <c r="J63" s="50"/>
      <c r="K63" s="50"/>
      <c r="L63" s="50"/>
      <c r="M63" s="82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  <c r="EX63" s="83"/>
      <c r="EY63" s="83"/>
      <c r="EZ63" s="83"/>
      <c r="FA63" s="83"/>
      <c r="FB63" s="83"/>
      <c r="FC63" s="83"/>
      <c r="FD63" s="83"/>
      <c r="FE63" s="83"/>
      <c r="FF63" s="83"/>
      <c r="FG63" s="8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  <c r="FU63" s="83"/>
      <c r="FV63" s="83"/>
      <c r="FW63" s="83"/>
      <c r="FX63" s="83"/>
      <c r="FY63" s="83"/>
      <c r="FZ63" s="83"/>
      <c r="GA63" s="83"/>
      <c r="GB63" s="83"/>
      <c r="GC63" s="83"/>
      <c r="GD63" s="83"/>
      <c r="GE63" s="83"/>
      <c r="GF63" s="83"/>
      <c r="GG63" s="83"/>
      <c r="GH63" s="83"/>
      <c r="GI63" s="83"/>
      <c r="GJ63" s="83"/>
      <c r="GK63" s="83"/>
      <c r="GL63" s="83"/>
      <c r="GM63" s="83"/>
      <c r="GN63" s="83"/>
      <c r="GO63" s="83"/>
      <c r="GP63" s="83"/>
      <c r="GQ63" s="83"/>
      <c r="GR63" s="83"/>
      <c r="GS63" s="83"/>
      <c r="GT63" s="83"/>
      <c r="GU63" s="83"/>
      <c r="GV63" s="83"/>
      <c r="GW63" s="83"/>
      <c r="GX63" s="83"/>
      <c r="GY63" s="83"/>
      <c r="GZ63" s="83"/>
      <c r="HA63" s="83"/>
      <c r="HB63" s="83"/>
      <c r="HC63" s="83"/>
      <c r="HD63" s="83"/>
      <c r="HE63" s="83"/>
      <c r="HF63" s="83"/>
      <c r="HG63" s="83"/>
      <c r="HH63" s="83"/>
      <c r="HI63" s="83"/>
      <c r="HJ63" s="83"/>
      <c r="HK63" s="83"/>
      <c r="HL63" s="83"/>
      <c r="HM63" s="83"/>
      <c r="HN63" s="83"/>
      <c r="HO63" s="83"/>
    </row>
    <row r="64" s="16" customFormat="1" spans="1:223">
      <c r="A64" s="55"/>
      <c r="B64" s="19" t="s">
        <v>183</v>
      </c>
      <c r="C64" s="56"/>
      <c r="D64" s="59"/>
      <c r="E64" s="58" t="s">
        <v>109</v>
      </c>
      <c r="H64" s="54"/>
      <c r="I64" s="50"/>
      <c r="J64" s="50"/>
      <c r="K64" s="50"/>
      <c r="L64" s="50"/>
      <c r="M64" s="82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3"/>
      <c r="EW64" s="83"/>
      <c r="EX64" s="83"/>
      <c r="EY64" s="83"/>
      <c r="EZ64" s="83"/>
      <c r="FA64" s="83"/>
      <c r="FB64" s="83"/>
      <c r="FC64" s="83"/>
      <c r="FD64" s="83"/>
      <c r="FE64" s="83"/>
      <c r="FF64" s="83"/>
      <c r="FG64" s="83"/>
      <c r="FH64" s="83"/>
      <c r="FI64" s="83"/>
      <c r="FJ64" s="83"/>
      <c r="FK64" s="83"/>
      <c r="FL64" s="83"/>
      <c r="FM64" s="83"/>
      <c r="FN64" s="83"/>
      <c r="FO64" s="83"/>
      <c r="FP64" s="83"/>
      <c r="FQ64" s="83"/>
      <c r="FR64" s="83"/>
      <c r="FS64" s="83"/>
      <c r="FT64" s="83"/>
      <c r="FU64" s="83"/>
      <c r="FV64" s="83"/>
      <c r="FW64" s="83"/>
      <c r="FX64" s="83"/>
      <c r="FY64" s="83"/>
      <c r="FZ64" s="83"/>
      <c r="GA64" s="83"/>
      <c r="GB64" s="83"/>
      <c r="GC64" s="83"/>
      <c r="GD64" s="83"/>
      <c r="GE64" s="83"/>
      <c r="GF64" s="83"/>
      <c r="GG64" s="83"/>
      <c r="GH64" s="83"/>
      <c r="GI64" s="83"/>
      <c r="GJ64" s="83"/>
      <c r="GK64" s="83"/>
      <c r="GL64" s="83"/>
      <c r="GM64" s="83"/>
      <c r="GN64" s="83"/>
      <c r="GO64" s="83"/>
      <c r="GP64" s="83"/>
      <c r="GQ64" s="83"/>
      <c r="GR64" s="83"/>
      <c r="GS64" s="83"/>
      <c r="GT64" s="83"/>
      <c r="GU64" s="83"/>
      <c r="GV64" s="83"/>
      <c r="GW64" s="83"/>
      <c r="GX64" s="83"/>
      <c r="GY64" s="83"/>
      <c r="GZ64" s="83"/>
      <c r="HA64" s="83"/>
      <c r="HB64" s="83"/>
      <c r="HC64" s="83"/>
      <c r="HD64" s="83"/>
      <c r="HE64" s="83"/>
      <c r="HF64" s="83"/>
      <c r="HG64" s="83"/>
      <c r="HH64" s="83"/>
      <c r="HI64" s="83"/>
      <c r="HJ64" s="83"/>
      <c r="HK64" s="83"/>
      <c r="HL64" s="83"/>
      <c r="HM64" s="83"/>
      <c r="HN64" s="83"/>
      <c r="HO64" s="83"/>
    </row>
    <row r="65" s="16" customFormat="1" spans="1:223">
      <c r="A65" s="55"/>
      <c r="B65" s="19" t="s">
        <v>184</v>
      </c>
      <c r="C65" s="56"/>
      <c r="D65" s="59"/>
      <c r="E65" s="53" t="s">
        <v>185</v>
      </c>
      <c r="H65" s="54"/>
      <c r="I65" s="50"/>
      <c r="J65" s="50"/>
      <c r="K65" s="50"/>
      <c r="L65" s="50"/>
      <c r="M65" s="82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83"/>
      <c r="HO65" s="83"/>
    </row>
    <row r="66" s="16" customFormat="1" spans="1:223">
      <c r="A66" s="55"/>
      <c r="B66" s="19" t="s">
        <v>186</v>
      </c>
      <c r="C66" s="56"/>
      <c r="D66" s="59"/>
      <c r="E66" s="53" t="s">
        <v>187</v>
      </c>
      <c r="H66" s="54"/>
      <c r="I66" s="50"/>
      <c r="J66" s="50"/>
      <c r="K66" s="50"/>
      <c r="L66" s="50"/>
      <c r="M66" s="82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  <c r="FU66" s="83"/>
      <c r="FV66" s="83"/>
      <c r="FW66" s="83"/>
      <c r="FX66" s="83"/>
      <c r="FY66" s="83"/>
      <c r="FZ66" s="83"/>
      <c r="GA66" s="83"/>
      <c r="GB66" s="83"/>
      <c r="GC66" s="83"/>
      <c r="GD66" s="83"/>
      <c r="GE66" s="83"/>
      <c r="GF66" s="83"/>
      <c r="GG66" s="83"/>
      <c r="GH66" s="83"/>
      <c r="GI66" s="83"/>
      <c r="GJ66" s="83"/>
      <c r="GK66" s="83"/>
      <c r="GL66" s="83"/>
      <c r="GM66" s="83"/>
      <c r="GN66" s="83"/>
      <c r="GO66" s="83"/>
      <c r="GP66" s="83"/>
      <c r="GQ66" s="83"/>
      <c r="GR66" s="83"/>
      <c r="GS66" s="83"/>
      <c r="GT66" s="83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/>
      <c r="HN66" s="83"/>
      <c r="HO66" s="83"/>
    </row>
    <row r="67" s="16" customFormat="1" spans="1:223">
      <c r="A67" s="55"/>
      <c r="B67" s="19" t="s">
        <v>188</v>
      </c>
      <c r="C67" s="56"/>
      <c r="D67" s="59"/>
      <c r="E67" s="53" t="s">
        <v>189</v>
      </c>
      <c r="H67" s="54"/>
      <c r="I67" s="50"/>
      <c r="J67" s="50"/>
      <c r="K67" s="50"/>
      <c r="L67" s="50"/>
      <c r="M67" s="82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  <c r="FU67" s="83"/>
      <c r="FV67" s="83"/>
      <c r="FW67" s="83"/>
      <c r="FX67" s="83"/>
      <c r="FY67" s="83"/>
      <c r="FZ67" s="83"/>
      <c r="GA67" s="83"/>
      <c r="GB67" s="83"/>
      <c r="GC67" s="83"/>
      <c r="GD67" s="83"/>
      <c r="GE67" s="83"/>
      <c r="GF67" s="83"/>
      <c r="GG67" s="83"/>
      <c r="GH67" s="83"/>
      <c r="GI67" s="83"/>
      <c r="GJ67" s="83"/>
      <c r="GK67" s="83"/>
      <c r="GL67" s="83"/>
      <c r="GM67" s="83"/>
      <c r="GN67" s="83"/>
      <c r="GO67" s="83"/>
      <c r="GP67" s="83"/>
      <c r="GQ67" s="83"/>
      <c r="GR67" s="83"/>
      <c r="GS67" s="83"/>
      <c r="GT67" s="83"/>
      <c r="GU67" s="83"/>
      <c r="GV67" s="83"/>
      <c r="GW67" s="83"/>
      <c r="GX67" s="83"/>
      <c r="GY67" s="83"/>
      <c r="GZ67" s="83"/>
      <c r="HA67" s="83"/>
      <c r="HB67" s="83"/>
      <c r="HC67" s="83"/>
      <c r="HD67" s="83"/>
      <c r="HE67" s="83"/>
      <c r="HF67" s="83"/>
      <c r="HG67" s="83"/>
      <c r="HH67" s="83"/>
      <c r="HI67" s="83"/>
      <c r="HJ67" s="83"/>
      <c r="HK67" s="83"/>
      <c r="HL67" s="83"/>
      <c r="HM67" s="83"/>
      <c r="HN67" s="83"/>
      <c r="HO67" s="83"/>
    </row>
    <row r="68" s="16" customFormat="1" spans="1:223">
      <c r="A68" s="55"/>
      <c r="B68" s="19" t="s">
        <v>190</v>
      </c>
      <c r="C68" s="56"/>
      <c r="D68" s="85" t="s">
        <v>191</v>
      </c>
      <c r="E68" s="53" t="s">
        <v>192</v>
      </c>
      <c r="H68" s="54"/>
      <c r="I68" s="50"/>
      <c r="J68" s="50"/>
      <c r="K68" s="50"/>
      <c r="L68" s="50"/>
      <c r="M68" s="82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</row>
    <row r="69" s="16" customFormat="1" spans="1:223">
      <c r="A69" s="55"/>
      <c r="B69" s="19" t="s">
        <v>193</v>
      </c>
      <c r="C69" s="56"/>
      <c r="D69" s="59"/>
      <c r="E69" s="53" t="s">
        <v>194</v>
      </c>
      <c r="H69" s="54"/>
      <c r="I69" s="50"/>
      <c r="J69" s="50"/>
      <c r="K69" s="50"/>
      <c r="L69" s="50"/>
      <c r="M69" s="82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</row>
    <row r="70" s="16" customFormat="1" spans="1:223">
      <c r="A70" s="55"/>
      <c r="B70" s="19" t="s">
        <v>195</v>
      </c>
      <c r="C70" s="56"/>
      <c r="D70" s="59"/>
      <c r="E70" s="53" t="s">
        <v>196</v>
      </c>
      <c r="H70" s="54"/>
      <c r="I70" s="50"/>
      <c r="J70" s="50"/>
      <c r="K70" s="50"/>
      <c r="L70" s="50"/>
      <c r="M70" s="82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83"/>
      <c r="DW70" s="83"/>
      <c r="DX70" s="83"/>
      <c r="DY70" s="83"/>
      <c r="DZ70" s="83"/>
      <c r="EA70" s="83"/>
      <c r="EB70" s="83"/>
      <c r="EC70" s="83"/>
      <c r="ED70" s="83"/>
      <c r="EE70" s="83"/>
      <c r="EF70" s="83"/>
      <c r="EG70" s="83"/>
      <c r="EH70" s="83"/>
      <c r="EI70" s="83"/>
      <c r="EJ70" s="83"/>
      <c r="EK70" s="83"/>
      <c r="EL70" s="83"/>
      <c r="EM70" s="83"/>
      <c r="EN70" s="83"/>
      <c r="EO70" s="83"/>
      <c r="EP70" s="83"/>
      <c r="EQ70" s="83"/>
      <c r="ER70" s="83"/>
      <c r="ES70" s="83"/>
      <c r="ET70" s="83"/>
      <c r="EU70" s="83"/>
      <c r="EV70" s="83"/>
      <c r="EW70" s="83"/>
      <c r="EX70" s="83"/>
      <c r="EY70" s="83"/>
      <c r="EZ70" s="83"/>
      <c r="FA70" s="83"/>
      <c r="FB70" s="83"/>
      <c r="FC70" s="83"/>
      <c r="FD70" s="83"/>
      <c r="FE70" s="83"/>
      <c r="FF70" s="83"/>
      <c r="FG70" s="83"/>
      <c r="FH70" s="83"/>
      <c r="FI70" s="83"/>
      <c r="FJ70" s="83"/>
      <c r="FK70" s="83"/>
      <c r="FL70" s="83"/>
      <c r="FM70" s="83"/>
      <c r="FN70" s="83"/>
      <c r="FO70" s="83"/>
      <c r="FP70" s="83"/>
      <c r="FQ70" s="83"/>
      <c r="FR70" s="83"/>
      <c r="FS70" s="83"/>
      <c r="FT70" s="83"/>
      <c r="FU70" s="83"/>
      <c r="FV70" s="83"/>
      <c r="FW70" s="83"/>
      <c r="FX70" s="83"/>
      <c r="FY70" s="83"/>
      <c r="FZ70" s="83"/>
      <c r="GA70" s="83"/>
      <c r="GB70" s="83"/>
      <c r="GC70" s="83"/>
      <c r="GD70" s="83"/>
      <c r="GE70" s="83"/>
      <c r="GF70" s="83"/>
      <c r="GG70" s="83"/>
      <c r="GH70" s="83"/>
      <c r="GI70" s="83"/>
      <c r="GJ70" s="83"/>
      <c r="GK70" s="83"/>
      <c r="GL70" s="83"/>
      <c r="GM70" s="83"/>
      <c r="GN70" s="83"/>
      <c r="GO70" s="83"/>
      <c r="GP70" s="83"/>
      <c r="GQ70" s="83"/>
      <c r="GR70" s="83"/>
      <c r="GS70" s="83"/>
      <c r="GT70" s="83"/>
      <c r="GU70" s="83"/>
      <c r="GV70" s="83"/>
      <c r="GW70" s="83"/>
      <c r="GX70" s="83"/>
      <c r="GY70" s="83"/>
      <c r="GZ70" s="83"/>
      <c r="HA70" s="83"/>
      <c r="HB70" s="83"/>
      <c r="HC70" s="83"/>
      <c r="HD70" s="83"/>
      <c r="HE70" s="83"/>
      <c r="HF70" s="83"/>
      <c r="HG70" s="83"/>
      <c r="HH70" s="83"/>
      <c r="HI70" s="83"/>
      <c r="HJ70" s="83"/>
      <c r="HK70" s="83"/>
      <c r="HL70" s="83"/>
      <c r="HM70" s="83"/>
      <c r="HN70" s="83"/>
      <c r="HO70" s="83"/>
    </row>
    <row r="71" s="16" customFormat="1" spans="1:223">
      <c r="A71" s="55"/>
      <c r="B71" s="19" t="s">
        <v>197</v>
      </c>
      <c r="C71" s="56"/>
      <c r="D71" s="59"/>
      <c r="E71" s="53" t="s">
        <v>198</v>
      </c>
      <c r="H71" s="54"/>
      <c r="I71" s="50"/>
      <c r="J71" s="50"/>
      <c r="K71" s="50"/>
      <c r="L71" s="50"/>
      <c r="M71" s="82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3"/>
      <c r="EW71" s="83"/>
      <c r="EX71" s="83"/>
      <c r="EY71" s="83"/>
      <c r="EZ71" s="83"/>
      <c r="FA71" s="83"/>
      <c r="FB71" s="83"/>
      <c r="FC71" s="83"/>
      <c r="FD71" s="83"/>
      <c r="FE71" s="83"/>
      <c r="FF71" s="83"/>
      <c r="FG71" s="83"/>
      <c r="FH71" s="83"/>
      <c r="FI71" s="83"/>
      <c r="FJ71" s="83"/>
      <c r="FK71" s="83"/>
      <c r="FL71" s="83"/>
      <c r="FM71" s="83"/>
      <c r="FN71" s="83"/>
      <c r="FO71" s="83"/>
      <c r="FP71" s="83"/>
      <c r="FQ71" s="83"/>
      <c r="FR71" s="83"/>
      <c r="FS71" s="83"/>
      <c r="FT71" s="83"/>
      <c r="FU71" s="83"/>
      <c r="FV71" s="83"/>
      <c r="FW71" s="83"/>
      <c r="FX71" s="83"/>
      <c r="FY71" s="83"/>
      <c r="FZ71" s="83"/>
      <c r="GA71" s="83"/>
      <c r="GB71" s="83"/>
      <c r="GC71" s="83"/>
      <c r="GD71" s="83"/>
      <c r="GE71" s="83"/>
      <c r="GF71" s="83"/>
      <c r="GG71" s="83"/>
      <c r="GH71" s="83"/>
      <c r="GI71" s="83"/>
      <c r="GJ71" s="83"/>
      <c r="GK71" s="83"/>
      <c r="GL71" s="83"/>
      <c r="GM71" s="83"/>
      <c r="GN71" s="83"/>
      <c r="GO71" s="83"/>
      <c r="GP71" s="83"/>
      <c r="GQ71" s="83"/>
      <c r="GR71" s="83"/>
      <c r="GS71" s="83"/>
      <c r="GT71" s="83"/>
      <c r="GU71" s="83"/>
      <c r="GV71" s="83"/>
      <c r="GW71" s="83"/>
      <c r="GX71" s="83"/>
      <c r="GY71" s="83"/>
      <c r="GZ71" s="83"/>
      <c r="HA71" s="83"/>
      <c r="HB71" s="83"/>
      <c r="HC71" s="83"/>
      <c r="HD71" s="83"/>
      <c r="HE71" s="83"/>
      <c r="HF71" s="83"/>
      <c r="HG71" s="83"/>
      <c r="HH71" s="83"/>
      <c r="HI71" s="83"/>
      <c r="HJ71" s="83"/>
      <c r="HK71" s="83"/>
      <c r="HL71" s="83"/>
      <c r="HM71" s="83"/>
      <c r="HN71" s="83"/>
      <c r="HO71" s="83"/>
    </row>
    <row r="72" s="16" customFormat="1" spans="1:223">
      <c r="A72" s="55"/>
      <c r="B72" s="19" t="s">
        <v>199</v>
      </c>
      <c r="C72" s="56"/>
      <c r="D72" s="59"/>
      <c r="E72" s="53" t="s">
        <v>200</v>
      </c>
      <c r="H72" s="54"/>
      <c r="I72" s="50"/>
      <c r="J72" s="50"/>
      <c r="K72" s="50"/>
      <c r="L72" s="50"/>
      <c r="M72" s="82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3"/>
      <c r="EH72" s="83"/>
      <c r="EI72" s="83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3"/>
      <c r="EW72" s="83"/>
      <c r="EX72" s="83"/>
      <c r="EY72" s="83"/>
      <c r="EZ72" s="83"/>
      <c r="FA72" s="83"/>
      <c r="FB72" s="83"/>
      <c r="FC72" s="83"/>
      <c r="FD72" s="83"/>
      <c r="FE72" s="83"/>
      <c r="FF72" s="83"/>
      <c r="FG72" s="83"/>
      <c r="FH72" s="83"/>
      <c r="FI72" s="83"/>
      <c r="FJ72" s="83"/>
      <c r="FK72" s="83"/>
      <c r="FL72" s="83"/>
      <c r="FM72" s="83"/>
      <c r="FN72" s="83"/>
      <c r="FO72" s="83"/>
      <c r="FP72" s="83"/>
      <c r="FQ72" s="83"/>
      <c r="FR72" s="83"/>
      <c r="FS72" s="83"/>
      <c r="FT72" s="83"/>
      <c r="FU72" s="83"/>
      <c r="FV72" s="83"/>
      <c r="FW72" s="83"/>
      <c r="FX72" s="83"/>
      <c r="FY72" s="83"/>
      <c r="FZ72" s="83"/>
      <c r="GA72" s="83"/>
      <c r="GB72" s="83"/>
      <c r="GC72" s="83"/>
      <c r="GD72" s="83"/>
      <c r="GE72" s="83"/>
      <c r="GF72" s="83"/>
      <c r="GG72" s="83"/>
      <c r="GH72" s="83"/>
      <c r="GI72" s="83"/>
      <c r="GJ72" s="83"/>
      <c r="GK72" s="83"/>
      <c r="GL72" s="83"/>
      <c r="GM72" s="83"/>
      <c r="GN72" s="83"/>
      <c r="GO72" s="83"/>
      <c r="GP72" s="83"/>
      <c r="GQ72" s="83"/>
      <c r="GR72" s="83"/>
      <c r="GS72" s="83"/>
      <c r="GT72" s="83"/>
      <c r="GU72" s="83"/>
      <c r="GV72" s="83"/>
      <c r="GW72" s="83"/>
      <c r="GX72" s="83"/>
      <c r="GY72" s="83"/>
      <c r="GZ72" s="83"/>
      <c r="HA72" s="83"/>
      <c r="HB72" s="83"/>
      <c r="HC72" s="83"/>
      <c r="HD72" s="83"/>
      <c r="HE72" s="83"/>
      <c r="HF72" s="83"/>
      <c r="HG72" s="83"/>
      <c r="HH72" s="83"/>
      <c r="HI72" s="83"/>
      <c r="HJ72" s="83"/>
      <c r="HK72" s="83"/>
      <c r="HL72" s="83"/>
      <c r="HM72" s="83"/>
      <c r="HN72" s="83"/>
      <c r="HO72" s="83"/>
    </row>
    <row r="73" s="16" customFormat="1" spans="1:223">
      <c r="A73" s="55"/>
      <c r="B73" s="19" t="s">
        <v>201</v>
      </c>
      <c r="C73" s="56"/>
      <c r="D73" s="59" t="s">
        <v>202</v>
      </c>
      <c r="E73" s="53" t="s">
        <v>203</v>
      </c>
      <c r="H73" s="54"/>
      <c r="I73" s="50"/>
      <c r="J73" s="50"/>
      <c r="K73" s="50"/>
      <c r="L73" s="50"/>
      <c r="M73" s="82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  <c r="EX73" s="83"/>
      <c r="EY73" s="83"/>
      <c r="EZ73" s="83"/>
      <c r="FA73" s="83"/>
      <c r="FB73" s="83"/>
      <c r="FC73" s="83"/>
      <c r="FD73" s="83"/>
      <c r="FE73" s="83"/>
      <c r="FF73" s="83"/>
      <c r="FG73" s="83"/>
      <c r="FH73" s="83"/>
      <c r="FI73" s="83"/>
      <c r="FJ73" s="83"/>
      <c r="FK73" s="83"/>
      <c r="FL73" s="83"/>
      <c r="FM73" s="83"/>
      <c r="FN73" s="83"/>
      <c r="FO73" s="83"/>
      <c r="FP73" s="83"/>
      <c r="FQ73" s="83"/>
      <c r="FR73" s="83"/>
      <c r="FS73" s="83"/>
      <c r="FT73" s="83"/>
      <c r="FU73" s="83"/>
      <c r="FV73" s="83"/>
      <c r="FW73" s="83"/>
      <c r="FX73" s="83"/>
      <c r="FY73" s="83"/>
      <c r="FZ73" s="83"/>
      <c r="GA73" s="83"/>
      <c r="GB73" s="83"/>
      <c r="GC73" s="83"/>
      <c r="GD73" s="83"/>
      <c r="GE73" s="83"/>
      <c r="GF73" s="83"/>
      <c r="GG73" s="83"/>
      <c r="GH73" s="83"/>
      <c r="GI73" s="83"/>
      <c r="GJ73" s="83"/>
      <c r="GK73" s="83"/>
      <c r="GL73" s="83"/>
      <c r="GM73" s="83"/>
      <c r="GN73" s="83"/>
      <c r="GO73" s="83"/>
      <c r="GP73" s="83"/>
      <c r="GQ73" s="83"/>
      <c r="GR73" s="83"/>
      <c r="GS73" s="83"/>
      <c r="GT73" s="83"/>
      <c r="GU73" s="83"/>
      <c r="GV73" s="83"/>
      <c r="GW73" s="83"/>
      <c r="GX73" s="83"/>
      <c r="GY73" s="83"/>
      <c r="GZ73" s="83"/>
      <c r="HA73" s="83"/>
      <c r="HB73" s="83"/>
      <c r="HC73" s="83"/>
      <c r="HD73" s="83"/>
      <c r="HE73" s="83"/>
      <c r="HF73" s="83"/>
      <c r="HG73" s="83"/>
      <c r="HH73" s="83"/>
      <c r="HI73" s="83"/>
      <c r="HJ73" s="83"/>
      <c r="HK73" s="83"/>
      <c r="HL73" s="83"/>
      <c r="HM73" s="83"/>
      <c r="HN73" s="83"/>
      <c r="HO73" s="83"/>
    </row>
    <row r="74" s="16" customFormat="1" spans="1:223">
      <c r="A74" s="55"/>
      <c r="B74" s="19" t="s">
        <v>204</v>
      </c>
      <c r="C74" s="56"/>
      <c r="D74" s="59"/>
      <c r="E74" s="53" t="s">
        <v>205</v>
      </c>
      <c r="H74" s="54"/>
      <c r="I74" s="50"/>
      <c r="J74" s="50"/>
      <c r="K74" s="50"/>
      <c r="L74" s="50"/>
      <c r="M74" s="82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  <c r="CP74" s="83"/>
      <c r="CQ74" s="83"/>
      <c r="CR74" s="83"/>
      <c r="CS74" s="83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3"/>
      <c r="DG74" s="83"/>
      <c r="DH74" s="83"/>
      <c r="DI74" s="83"/>
      <c r="DJ74" s="83"/>
      <c r="DK74" s="83"/>
      <c r="DL74" s="83"/>
      <c r="DM74" s="83"/>
      <c r="DN74" s="83"/>
      <c r="DO74" s="83"/>
      <c r="DP74" s="83"/>
      <c r="DQ74" s="83"/>
      <c r="DR74" s="83"/>
      <c r="DS74" s="83"/>
      <c r="DT74" s="83"/>
      <c r="DU74" s="83"/>
      <c r="DV74" s="83"/>
      <c r="DW74" s="83"/>
      <c r="DX74" s="83"/>
      <c r="DY74" s="83"/>
      <c r="DZ74" s="83"/>
      <c r="EA74" s="83"/>
      <c r="EB74" s="83"/>
      <c r="EC74" s="83"/>
      <c r="ED74" s="83"/>
      <c r="EE74" s="83"/>
      <c r="EF74" s="83"/>
      <c r="EG74" s="83"/>
      <c r="EH74" s="83"/>
      <c r="EI74" s="83"/>
      <c r="EJ74" s="83"/>
      <c r="EK74" s="83"/>
      <c r="EL74" s="83"/>
      <c r="EM74" s="83"/>
      <c r="EN74" s="83"/>
      <c r="EO74" s="83"/>
      <c r="EP74" s="83"/>
      <c r="EQ74" s="83"/>
      <c r="ER74" s="83"/>
      <c r="ES74" s="83"/>
      <c r="ET74" s="83"/>
      <c r="EU74" s="83"/>
      <c r="EV74" s="83"/>
      <c r="EW74" s="83"/>
      <c r="EX74" s="83"/>
      <c r="EY74" s="83"/>
      <c r="EZ74" s="83"/>
      <c r="FA74" s="83"/>
      <c r="FB74" s="83"/>
      <c r="FC74" s="83"/>
      <c r="FD74" s="83"/>
      <c r="FE74" s="83"/>
      <c r="FF74" s="83"/>
      <c r="FG74" s="83"/>
      <c r="FH74" s="83"/>
      <c r="FI74" s="83"/>
      <c r="FJ74" s="83"/>
      <c r="FK74" s="83"/>
      <c r="FL74" s="83"/>
      <c r="FM74" s="83"/>
      <c r="FN74" s="83"/>
      <c r="FO74" s="83"/>
      <c r="FP74" s="83"/>
      <c r="FQ74" s="83"/>
      <c r="FR74" s="83"/>
      <c r="FS74" s="83"/>
      <c r="FT74" s="83"/>
      <c r="FU74" s="83"/>
      <c r="FV74" s="83"/>
      <c r="FW74" s="83"/>
      <c r="FX74" s="83"/>
      <c r="FY74" s="83"/>
      <c r="FZ74" s="83"/>
      <c r="GA74" s="83"/>
      <c r="GB74" s="83"/>
      <c r="GC74" s="83"/>
      <c r="GD74" s="83"/>
      <c r="GE74" s="83"/>
      <c r="GF74" s="83"/>
      <c r="GG74" s="83"/>
      <c r="GH74" s="83"/>
      <c r="GI74" s="83"/>
      <c r="GJ74" s="83"/>
      <c r="GK74" s="83"/>
      <c r="GL74" s="83"/>
      <c r="GM74" s="83"/>
      <c r="GN74" s="83"/>
      <c r="GO74" s="83"/>
      <c r="GP74" s="83"/>
      <c r="GQ74" s="83"/>
      <c r="GR74" s="83"/>
      <c r="GS74" s="83"/>
      <c r="GT74" s="83"/>
      <c r="GU74" s="83"/>
      <c r="GV74" s="83"/>
      <c r="GW74" s="83"/>
      <c r="GX74" s="83"/>
      <c r="GY74" s="83"/>
      <c r="GZ74" s="83"/>
      <c r="HA74" s="83"/>
      <c r="HB74" s="83"/>
      <c r="HC74" s="83"/>
      <c r="HD74" s="83"/>
      <c r="HE74" s="83"/>
      <c r="HF74" s="83"/>
      <c r="HG74" s="83"/>
      <c r="HH74" s="83"/>
      <c r="HI74" s="83"/>
      <c r="HJ74" s="83"/>
      <c r="HK74" s="83"/>
      <c r="HL74" s="83"/>
      <c r="HM74" s="83"/>
      <c r="HN74" s="83"/>
      <c r="HO74" s="83"/>
    </row>
    <row r="75" s="16" customFormat="1" spans="1:223">
      <c r="A75" s="55"/>
      <c r="B75" s="19" t="s">
        <v>206</v>
      </c>
      <c r="C75" s="56"/>
      <c r="D75" s="59"/>
      <c r="E75" s="53" t="s">
        <v>207</v>
      </c>
      <c r="H75" s="54"/>
      <c r="I75" s="50"/>
      <c r="J75" s="50"/>
      <c r="K75" s="50"/>
      <c r="L75" s="50"/>
      <c r="M75" s="82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  <c r="CE75" s="83"/>
      <c r="CF75" s="83"/>
      <c r="CG75" s="83"/>
      <c r="CH75" s="83"/>
      <c r="CI75" s="83"/>
      <c r="CJ75" s="83"/>
      <c r="CK75" s="83"/>
      <c r="CL75" s="83"/>
      <c r="CM75" s="83"/>
      <c r="CN75" s="83"/>
      <c r="CO75" s="83"/>
      <c r="CP75" s="83"/>
      <c r="CQ75" s="83"/>
      <c r="CR75" s="83"/>
      <c r="CS75" s="83"/>
      <c r="CT75" s="83"/>
      <c r="CU75" s="83"/>
      <c r="CV75" s="83"/>
      <c r="CW75" s="83"/>
      <c r="CX75" s="83"/>
      <c r="CY75" s="83"/>
      <c r="CZ75" s="83"/>
      <c r="DA75" s="83"/>
      <c r="DB75" s="83"/>
      <c r="DC75" s="83"/>
      <c r="DD75" s="83"/>
      <c r="DE75" s="83"/>
      <c r="DF75" s="83"/>
      <c r="DG75" s="83"/>
      <c r="DH75" s="83"/>
      <c r="DI75" s="83"/>
      <c r="DJ75" s="83"/>
      <c r="DK75" s="83"/>
      <c r="DL75" s="83"/>
      <c r="DM75" s="83"/>
      <c r="DN75" s="83"/>
      <c r="DO75" s="83"/>
      <c r="DP75" s="83"/>
      <c r="DQ75" s="83"/>
      <c r="DR75" s="83"/>
      <c r="DS75" s="83"/>
      <c r="DT75" s="83"/>
      <c r="DU75" s="83"/>
      <c r="DV75" s="83"/>
      <c r="DW75" s="83"/>
      <c r="DX75" s="83"/>
      <c r="DY75" s="83"/>
      <c r="DZ75" s="83"/>
      <c r="EA75" s="83"/>
      <c r="EB75" s="83"/>
      <c r="EC75" s="83"/>
      <c r="ED75" s="83"/>
      <c r="EE75" s="83"/>
      <c r="EF75" s="83"/>
      <c r="EG75" s="83"/>
      <c r="EH75" s="83"/>
      <c r="EI75" s="83"/>
      <c r="EJ75" s="83"/>
      <c r="EK75" s="83"/>
      <c r="EL75" s="83"/>
      <c r="EM75" s="83"/>
      <c r="EN75" s="83"/>
      <c r="EO75" s="83"/>
      <c r="EP75" s="83"/>
      <c r="EQ75" s="83"/>
      <c r="ER75" s="83"/>
      <c r="ES75" s="83"/>
      <c r="ET75" s="83"/>
      <c r="EU75" s="83"/>
      <c r="EV75" s="83"/>
      <c r="EW75" s="83"/>
      <c r="EX75" s="83"/>
      <c r="EY75" s="83"/>
      <c r="EZ75" s="83"/>
      <c r="FA75" s="83"/>
      <c r="FB75" s="83"/>
      <c r="FC75" s="83"/>
      <c r="FD75" s="83"/>
      <c r="FE75" s="83"/>
      <c r="FF75" s="83"/>
      <c r="FG75" s="83"/>
      <c r="FH75" s="83"/>
      <c r="FI75" s="83"/>
      <c r="FJ75" s="83"/>
      <c r="FK75" s="83"/>
      <c r="FL75" s="83"/>
      <c r="FM75" s="83"/>
      <c r="FN75" s="83"/>
      <c r="FO75" s="83"/>
      <c r="FP75" s="83"/>
      <c r="FQ75" s="83"/>
      <c r="FR75" s="83"/>
      <c r="FS75" s="83"/>
      <c r="FT75" s="83"/>
      <c r="FU75" s="83"/>
      <c r="FV75" s="83"/>
      <c r="FW75" s="83"/>
      <c r="FX75" s="83"/>
      <c r="FY75" s="83"/>
      <c r="FZ75" s="83"/>
      <c r="GA75" s="83"/>
      <c r="GB75" s="83"/>
      <c r="GC75" s="83"/>
      <c r="GD75" s="83"/>
      <c r="GE75" s="83"/>
      <c r="GF75" s="83"/>
      <c r="GG75" s="83"/>
      <c r="GH75" s="83"/>
      <c r="GI75" s="83"/>
      <c r="GJ75" s="83"/>
      <c r="GK75" s="83"/>
      <c r="GL75" s="83"/>
      <c r="GM75" s="83"/>
      <c r="GN75" s="83"/>
      <c r="GO75" s="83"/>
      <c r="GP75" s="83"/>
      <c r="GQ75" s="83"/>
      <c r="GR75" s="83"/>
      <c r="GS75" s="83"/>
      <c r="GT75" s="83"/>
      <c r="GU75" s="83"/>
      <c r="GV75" s="83"/>
      <c r="GW75" s="83"/>
      <c r="GX75" s="83"/>
      <c r="GY75" s="83"/>
      <c r="GZ75" s="83"/>
      <c r="HA75" s="83"/>
      <c r="HB75" s="83"/>
      <c r="HC75" s="83"/>
      <c r="HD75" s="83"/>
      <c r="HE75" s="83"/>
      <c r="HF75" s="83"/>
      <c r="HG75" s="83"/>
      <c r="HH75" s="83"/>
      <c r="HI75" s="83"/>
      <c r="HJ75" s="83"/>
      <c r="HK75" s="83"/>
      <c r="HL75" s="83"/>
      <c r="HM75" s="83"/>
      <c r="HN75" s="83"/>
      <c r="HO75" s="83"/>
    </row>
    <row r="76" s="16" customFormat="1" spans="1:223">
      <c r="A76" s="55"/>
      <c r="B76" s="19" t="s">
        <v>208</v>
      </c>
      <c r="C76" s="56"/>
      <c r="D76" s="59"/>
      <c r="E76" s="53" t="s">
        <v>209</v>
      </c>
      <c r="H76" s="54"/>
      <c r="I76" s="50"/>
      <c r="J76" s="50"/>
      <c r="K76" s="50"/>
      <c r="L76" s="50"/>
      <c r="M76" s="82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  <c r="CA76" s="83"/>
      <c r="CB76" s="83"/>
      <c r="CC76" s="83"/>
      <c r="CD76" s="83"/>
      <c r="CE76" s="83"/>
      <c r="CF76" s="83"/>
      <c r="CG76" s="83"/>
      <c r="CH76" s="83"/>
      <c r="CI76" s="83"/>
      <c r="CJ76" s="83"/>
      <c r="CK76" s="83"/>
      <c r="CL76" s="83"/>
      <c r="CM76" s="83"/>
      <c r="CN76" s="83"/>
      <c r="CO76" s="83"/>
      <c r="CP76" s="83"/>
      <c r="CQ76" s="83"/>
      <c r="CR76" s="83"/>
      <c r="CS76" s="83"/>
      <c r="CT76" s="83"/>
      <c r="CU76" s="83"/>
      <c r="CV76" s="83"/>
      <c r="CW76" s="83"/>
      <c r="CX76" s="83"/>
      <c r="CY76" s="83"/>
      <c r="CZ76" s="83"/>
      <c r="DA76" s="83"/>
      <c r="DB76" s="83"/>
      <c r="DC76" s="83"/>
      <c r="DD76" s="83"/>
      <c r="DE76" s="83"/>
      <c r="DF76" s="83"/>
      <c r="DG76" s="83"/>
      <c r="DH76" s="83"/>
      <c r="DI76" s="83"/>
      <c r="DJ76" s="83"/>
      <c r="DK76" s="83"/>
      <c r="DL76" s="83"/>
      <c r="DM76" s="83"/>
      <c r="DN76" s="83"/>
      <c r="DO76" s="83"/>
      <c r="DP76" s="83"/>
      <c r="DQ76" s="83"/>
      <c r="DR76" s="83"/>
      <c r="DS76" s="83"/>
      <c r="DT76" s="83"/>
      <c r="DU76" s="83"/>
      <c r="DV76" s="83"/>
      <c r="DW76" s="83"/>
      <c r="DX76" s="83"/>
      <c r="DY76" s="83"/>
      <c r="DZ76" s="83"/>
      <c r="EA76" s="83"/>
      <c r="EB76" s="83"/>
      <c r="EC76" s="83"/>
      <c r="ED76" s="83"/>
      <c r="EE76" s="83"/>
      <c r="EF76" s="83"/>
      <c r="EG76" s="83"/>
      <c r="EH76" s="83"/>
      <c r="EI76" s="83"/>
      <c r="EJ76" s="83"/>
      <c r="EK76" s="83"/>
      <c r="EL76" s="83"/>
      <c r="EM76" s="83"/>
      <c r="EN76" s="83"/>
      <c r="EO76" s="83"/>
      <c r="EP76" s="83"/>
      <c r="EQ76" s="83"/>
      <c r="ER76" s="83"/>
      <c r="ES76" s="83"/>
      <c r="ET76" s="83"/>
      <c r="EU76" s="83"/>
      <c r="EV76" s="83"/>
      <c r="EW76" s="83"/>
      <c r="EX76" s="83"/>
      <c r="EY76" s="83"/>
      <c r="EZ76" s="83"/>
      <c r="FA76" s="83"/>
      <c r="FB76" s="83"/>
      <c r="FC76" s="83"/>
      <c r="FD76" s="83"/>
      <c r="FE76" s="83"/>
      <c r="FF76" s="83"/>
      <c r="FG76" s="83"/>
      <c r="FH76" s="83"/>
      <c r="FI76" s="83"/>
      <c r="FJ76" s="83"/>
      <c r="FK76" s="83"/>
      <c r="FL76" s="83"/>
      <c r="FM76" s="83"/>
      <c r="FN76" s="83"/>
      <c r="FO76" s="83"/>
      <c r="FP76" s="83"/>
      <c r="FQ76" s="83"/>
      <c r="FR76" s="83"/>
      <c r="FS76" s="83"/>
      <c r="FT76" s="83"/>
      <c r="FU76" s="83"/>
      <c r="FV76" s="83"/>
      <c r="FW76" s="83"/>
      <c r="FX76" s="83"/>
      <c r="FY76" s="83"/>
      <c r="FZ76" s="83"/>
      <c r="GA76" s="83"/>
      <c r="GB76" s="83"/>
      <c r="GC76" s="83"/>
      <c r="GD76" s="83"/>
      <c r="GE76" s="83"/>
      <c r="GF76" s="83"/>
      <c r="GG76" s="83"/>
      <c r="GH76" s="83"/>
      <c r="GI76" s="83"/>
      <c r="GJ76" s="83"/>
      <c r="GK76" s="83"/>
      <c r="GL76" s="83"/>
      <c r="GM76" s="83"/>
      <c r="GN76" s="83"/>
      <c r="GO76" s="83"/>
      <c r="GP76" s="83"/>
      <c r="GQ76" s="83"/>
      <c r="GR76" s="83"/>
      <c r="GS76" s="83"/>
      <c r="GT76" s="83"/>
      <c r="GU76" s="83"/>
      <c r="GV76" s="83"/>
      <c r="GW76" s="83"/>
      <c r="GX76" s="83"/>
      <c r="GY76" s="83"/>
      <c r="GZ76" s="83"/>
      <c r="HA76" s="83"/>
      <c r="HB76" s="83"/>
      <c r="HC76" s="83"/>
      <c r="HD76" s="83"/>
      <c r="HE76" s="83"/>
      <c r="HF76" s="83"/>
      <c r="HG76" s="83"/>
      <c r="HH76" s="83"/>
      <c r="HI76" s="83"/>
      <c r="HJ76" s="83"/>
      <c r="HK76" s="83"/>
      <c r="HL76" s="83"/>
      <c r="HM76" s="83"/>
      <c r="HN76" s="83"/>
      <c r="HO76" s="83"/>
    </row>
    <row r="77" s="16" customFormat="1" spans="1:223">
      <c r="A77" s="55"/>
      <c r="B77" s="19" t="s">
        <v>210</v>
      </c>
      <c r="C77" s="56"/>
      <c r="D77" s="59"/>
      <c r="E77" s="53" t="s">
        <v>211</v>
      </c>
      <c r="H77" s="54"/>
      <c r="I77" s="50"/>
      <c r="J77" s="50"/>
      <c r="K77" s="50"/>
      <c r="L77" s="50"/>
      <c r="M77" s="82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Y77" s="83"/>
      <c r="BZ77" s="83"/>
      <c r="CA77" s="83"/>
      <c r="CB77" s="83"/>
      <c r="CC77" s="83"/>
      <c r="CD77" s="83"/>
      <c r="CE77" s="83"/>
      <c r="CF77" s="83"/>
      <c r="CG77" s="83"/>
      <c r="CH77" s="83"/>
      <c r="CI77" s="83"/>
      <c r="CJ77" s="83"/>
      <c r="CK77" s="83"/>
      <c r="CL77" s="83"/>
      <c r="CM77" s="83"/>
      <c r="CN77" s="83"/>
      <c r="CO77" s="83"/>
      <c r="CP77" s="83"/>
      <c r="CQ77" s="83"/>
      <c r="CR77" s="83"/>
      <c r="CS77" s="83"/>
      <c r="CT77" s="83"/>
      <c r="CU77" s="83"/>
      <c r="CV77" s="83"/>
      <c r="CW77" s="83"/>
      <c r="CX77" s="83"/>
      <c r="CY77" s="83"/>
      <c r="CZ77" s="83"/>
      <c r="DA77" s="83"/>
      <c r="DB77" s="83"/>
      <c r="DC77" s="83"/>
      <c r="DD77" s="83"/>
      <c r="DE77" s="83"/>
      <c r="DF77" s="83"/>
      <c r="DG77" s="83"/>
      <c r="DH77" s="83"/>
      <c r="DI77" s="83"/>
      <c r="DJ77" s="83"/>
      <c r="DK77" s="83"/>
      <c r="DL77" s="83"/>
      <c r="DM77" s="83"/>
      <c r="DN77" s="83"/>
      <c r="DO77" s="83"/>
      <c r="DP77" s="83"/>
      <c r="DQ77" s="83"/>
      <c r="DR77" s="83"/>
      <c r="DS77" s="83"/>
      <c r="DT77" s="83"/>
      <c r="DU77" s="83"/>
      <c r="DV77" s="83"/>
      <c r="DW77" s="83"/>
      <c r="DX77" s="83"/>
      <c r="DY77" s="83"/>
      <c r="DZ77" s="83"/>
      <c r="EA77" s="83"/>
      <c r="EB77" s="83"/>
      <c r="EC77" s="83"/>
      <c r="ED77" s="83"/>
      <c r="EE77" s="83"/>
      <c r="EF77" s="83"/>
      <c r="EG77" s="83"/>
      <c r="EH77" s="83"/>
      <c r="EI77" s="83"/>
      <c r="EJ77" s="83"/>
      <c r="EK77" s="83"/>
      <c r="EL77" s="83"/>
      <c r="EM77" s="83"/>
      <c r="EN77" s="83"/>
      <c r="EO77" s="83"/>
      <c r="EP77" s="83"/>
      <c r="EQ77" s="83"/>
      <c r="ER77" s="83"/>
      <c r="ES77" s="83"/>
      <c r="ET77" s="83"/>
      <c r="EU77" s="83"/>
      <c r="EV77" s="83"/>
      <c r="EW77" s="83"/>
      <c r="EX77" s="83"/>
      <c r="EY77" s="83"/>
      <c r="EZ77" s="83"/>
      <c r="FA77" s="83"/>
      <c r="FB77" s="83"/>
      <c r="FC77" s="83"/>
      <c r="FD77" s="83"/>
      <c r="FE77" s="83"/>
      <c r="FF77" s="83"/>
      <c r="FG77" s="83"/>
      <c r="FH77" s="83"/>
      <c r="FI77" s="83"/>
      <c r="FJ77" s="83"/>
      <c r="FK77" s="83"/>
      <c r="FL77" s="83"/>
      <c r="FM77" s="83"/>
      <c r="FN77" s="83"/>
      <c r="FO77" s="83"/>
      <c r="FP77" s="83"/>
      <c r="FQ77" s="83"/>
      <c r="FR77" s="83"/>
      <c r="FS77" s="83"/>
      <c r="FT77" s="83"/>
      <c r="FU77" s="83"/>
      <c r="FV77" s="83"/>
      <c r="FW77" s="83"/>
      <c r="FX77" s="83"/>
      <c r="FY77" s="83"/>
      <c r="FZ77" s="83"/>
      <c r="GA77" s="83"/>
      <c r="GB77" s="83"/>
      <c r="GC77" s="83"/>
      <c r="GD77" s="83"/>
      <c r="GE77" s="83"/>
      <c r="GF77" s="83"/>
      <c r="GG77" s="83"/>
      <c r="GH77" s="83"/>
      <c r="GI77" s="83"/>
      <c r="GJ77" s="83"/>
      <c r="GK77" s="83"/>
      <c r="GL77" s="83"/>
      <c r="GM77" s="83"/>
      <c r="GN77" s="83"/>
      <c r="GO77" s="83"/>
      <c r="GP77" s="83"/>
      <c r="GQ77" s="83"/>
      <c r="GR77" s="83"/>
      <c r="GS77" s="83"/>
      <c r="GT77" s="83"/>
      <c r="GU77" s="83"/>
      <c r="GV77" s="83"/>
      <c r="GW77" s="83"/>
      <c r="GX77" s="83"/>
      <c r="GY77" s="83"/>
      <c r="GZ77" s="83"/>
      <c r="HA77" s="83"/>
      <c r="HB77" s="83"/>
      <c r="HC77" s="83"/>
      <c r="HD77" s="83"/>
      <c r="HE77" s="83"/>
      <c r="HF77" s="83"/>
      <c r="HG77" s="83"/>
      <c r="HH77" s="83"/>
      <c r="HI77" s="83"/>
      <c r="HJ77" s="83"/>
      <c r="HK77" s="83"/>
      <c r="HL77" s="83"/>
      <c r="HM77" s="83"/>
      <c r="HN77" s="83"/>
      <c r="HO77" s="83"/>
    </row>
    <row r="78" s="16" customFormat="1" spans="1:223">
      <c r="A78" s="55"/>
      <c r="B78" s="19" t="s">
        <v>212</v>
      </c>
      <c r="C78" s="56"/>
      <c r="D78" s="59"/>
      <c r="E78" s="53" t="s">
        <v>213</v>
      </c>
      <c r="H78" s="54"/>
      <c r="I78" s="50"/>
      <c r="J78" s="50"/>
      <c r="K78" s="50"/>
      <c r="L78" s="50"/>
      <c r="M78" s="82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3"/>
      <c r="BX78" s="83"/>
      <c r="BY78" s="83"/>
      <c r="BZ78" s="83"/>
      <c r="CA78" s="83"/>
      <c r="CB78" s="83"/>
      <c r="CC78" s="83"/>
      <c r="CD78" s="83"/>
      <c r="CE78" s="83"/>
      <c r="CF78" s="83"/>
      <c r="CG78" s="83"/>
      <c r="CH78" s="83"/>
      <c r="CI78" s="83"/>
      <c r="CJ78" s="83"/>
      <c r="CK78" s="83"/>
      <c r="CL78" s="83"/>
      <c r="CM78" s="83"/>
      <c r="CN78" s="83"/>
      <c r="CO78" s="83"/>
      <c r="CP78" s="83"/>
      <c r="CQ78" s="83"/>
      <c r="CR78" s="83"/>
      <c r="CS78" s="83"/>
      <c r="CT78" s="83"/>
      <c r="CU78" s="83"/>
      <c r="CV78" s="83"/>
      <c r="CW78" s="83"/>
      <c r="CX78" s="83"/>
      <c r="CY78" s="83"/>
      <c r="CZ78" s="83"/>
      <c r="DA78" s="83"/>
      <c r="DB78" s="83"/>
      <c r="DC78" s="83"/>
      <c r="DD78" s="83"/>
      <c r="DE78" s="83"/>
      <c r="DF78" s="83"/>
      <c r="DG78" s="83"/>
      <c r="DH78" s="83"/>
      <c r="DI78" s="83"/>
      <c r="DJ78" s="83"/>
      <c r="DK78" s="83"/>
      <c r="DL78" s="83"/>
      <c r="DM78" s="83"/>
      <c r="DN78" s="83"/>
      <c r="DO78" s="83"/>
      <c r="DP78" s="83"/>
      <c r="DQ78" s="83"/>
      <c r="DR78" s="83"/>
      <c r="DS78" s="83"/>
      <c r="DT78" s="83"/>
      <c r="DU78" s="83"/>
      <c r="DV78" s="83"/>
      <c r="DW78" s="83"/>
      <c r="DX78" s="83"/>
      <c r="DY78" s="83"/>
      <c r="DZ78" s="83"/>
      <c r="EA78" s="83"/>
      <c r="EB78" s="83"/>
      <c r="EC78" s="83"/>
      <c r="ED78" s="83"/>
      <c r="EE78" s="83"/>
      <c r="EF78" s="83"/>
      <c r="EG78" s="83"/>
      <c r="EH78" s="83"/>
      <c r="EI78" s="83"/>
      <c r="EJ78" s="83"/>
      <c r="EK78" s="83"/>
      <c r="EL78" s="83"/>
      <c r="EM78" s="83"/>
      <c r="EN78" s="83"/>
      <c r="EO78" s="83"/>
      <c r="EP78" s="83"/>
      <c r="EQ78" s="83"/>
      <c r="ER78" s="83"/>
      <c r="ES78" s="83"/>
      <c r="ET78" s="83"/>
      <c r="EU78" s="83"/>
      <c r="EV78" s="83"/>
      <c r="EW78" s="83"/>
      <c r="EX78" s="83"/>
      <c r="EY78" s="83"/>
      <c r="EZ78" s="83"/>
      <c r="FA78" s="83"/>
      <c r="FB78" s="83"/>
      <c r="FC78" s="83"/>
      <c r="FD78" s="83"/>
      <c r="FE78" s="83"/>
      <c r="FF78" s="83"/>
      <c r="FG78" s="83"/>
      <c r="FH78" s="83"/>
      <c r="FI78" s="83"/>
      <c r="FJ78" s="83"/>
      <c r="FK78" s="83"/>
      <c r="FL78" s="83"/>
      <c r="FM78" s="83"/>
      <c r="FN78" s="83"/>
      <c r="FO78" s="83"/>
      <c r="FP78" s="83"/>
      <c r="FQ78" s="83"/>
      <c r="FR78" s="83"/>
      <c r="FS78" s="83"/>
      <c r="FT78" s="83"/>
      <c r="FU78" s="83"/>
      <c r="FV78" s="83"/>
      <c r="FW78" s="83"/>
      <c r="FX78" s="83"/>
      <c r="FY78" s="83"/>
      <c r="FZ78" s="83"/>
      <c r="GA78" s="83"/>
      <c r="GB78" s="83"/>
      <c r="GC78" s="83"/>
      <c r="GD78" s="83"/>
      <c r="GE78" s="83"/>
      <c r="GF78" s="83"/>
      <c r="GG78" s="83"/>
      <c r="GH78" s="83"/>
      <c r="GI78" s="83"/>
      <c r="GJ78" s="83"/>
      <c r="GK78" s="83"/>
      <c r="GL78" s="83"/>
      <c r="GM78" s="83"/>
      <c r="GN78" s="83"/>
      <c r="GO78" s="83"/>
      <c r="GP78" s="83"/>
      <c r="GQ78" s="83"/>
      <c r="GR78" s="83"/>
      <c r="GS78" s="83"/>
      <c r="GT78" s="83"/>
      <c r="GU78" s="83"/>
      <c r="GV78" s="83"/>
      <c r="GW78" s="83"/>
      <c r="GX78" s="83"/>
      <c r="GY78" s="83"/>
      <c r="GZ78" s="83"/>
      <c r="HA78" s="83"/>
      <c r="HB78" s="83"/>
      <c r="HC78" s="83"/>
      <c r="HD78" s="83"/>
      <c r="HE78" s="83"/>
      <c r="HF78" s="83"/>
      <c r="HG78" s="83"/>
      <c r="HH78" s="83"/>
      <c r="HI78" s="83"/>
      <c r="HJ78" s="83"/>
      <c r="HK78" s="83"/>
      <c r="HL78" s="83"/>
      <c r="HM78" s="83"/>
      <c r="HN78" s="83"/>
      <c r="HO78" s="83"/>
    </row>
    <row r="79" s="16" customFormat="1" spans="1:223">
      <c r="A79" s="55"/>
      <c r="B79" s="19" t="s">
        <v>214</v>
      </c>
      <c r="C79" s="56"/>
      <c r="D79" s="59"/>
      <c r="E79" s="53" t="s">
        <v>215</v>
      </c>
      <c r="H79" s="54"/>
      <c r="I79" s="50"/>
      <c r="J79" s="50"/>
      <c r="K79" s="50"/>
      <c r="L79" s="50"/>
      <c r="M79" s="82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83"/>
      <c r="BT79" s="83"/>
      <c r="BU79" s="83"/>
      <c r="BV79" s="83"/>
      <c r="BW79" s="83"/>
      <c r="BX79" s="83"/>
      <c r="BY79" s="83"/>
      <c r="BZ79" s="83"/>
      <c r="CA79" s="83"/>
      <c r="CB79" s="83"/>
      <c r="CC79" s="83"/>
      <c r="CD79" s="83"/>
      <c r="CE79" s="83"/>
      <c r="CF79" s="83"/>
      <c r="CG79" s="83"/>
      <c r="CH79" s="83"/>
      <c r="CI79" s="83"/>
      <c r="CJ79" s="83"/>
      <c r="CK79" s="83"/>
      <c r="CL79" s="83"/>
      <c r="CM79" s="83"/>
      <c r="CN79" s="83"/>
      <c r="CO79" s="83"/>
      <c r="CP79" s="83"/>
      <c r="CQ79" s="83"/>
      <c r="CR79" s="83"/>
      <c r="CS79" s="83"/>
      <c r="CT79" s="83"/>
      <c r="CU79" s="83"/>
      <c r="CV79" s="83"/>
      <c r="CW79" s="83"/>
      <c r="CX79" s="83"/>
      <c r="CY79" s="83"/>
      <c r="CZ79" s="83"/>
      <c r="DA79" s="83"/>
      <c r="DB79" s="83"/>
      <c r="DC79" s="83"/>
      <c r="DD79" s="83"/>
      <c r="DE79" s="83"/>
      <c r="DF79" s="83"/>
      <c r="DG79" s="83"/>
      <c r="DH79" s="83"/>
      <c r="DI79" s="83"/>
      <c r="DJ79" s="83"/>
      <c r="DK79" s="83"/>
      <c r="DL79" s="83"/>
      <c r="DM79" s="83"/>
      <c r="DN79" s="83"/>
      <c r="DO79" s="83"/>
      <c r="DP79" s="83"/>
      <c r="DQ79" s="83"/>
      <c r="DR79" s="83"/>
      <c r="DS79" s="83"/>
      <c r="DT79" s="83"/>
      <c r="DU79" s="83"/>
      <c r="DV79" s="83"/>
      <c r="DW79" s="83"/>
      <c r="DX79" s="83"/>
      <c r="DY79" s="83"/>
      <c r="DZ79" s="83"/>
      <c r="EA79" s="83"/>
      <c r="EB79" s="83"/>
      <c r="EC79" s="83"/>
      <c r="ED79" s="83"/>
      <c r="EE79" s="83"/>
      <c r="EF79" s="83"/>
      <c r="EG79" s="83"/>
      <c r="EH79" s="83"/>
      <c r="EI79" s="83"/>
      <c r="EJ79" s="83"/>
      <c r="EK79" s="83"/>
      <c r="EL79" s="83"/>
      <c r="EM79" s="83"/>
      <c r="EN79" s="83"/>
      <c r="EO79" s="83"/>
      <c r="EP79" s="83"/>
      <c r="EQ79" s="83"/>
      <c r="ER79" s="83"/>
      <c r="ES79" s="83"/>
      <c r="ET79" s="83"/>
      <c r="EU79" s="83"/>
      <c r="EV79" s="83"/>
      <c r="EW79" s="83"/>
      <c r="EX79" s="83"/>
      <c r="EY79" s="83"/>
      <c r="EZ79" s="83"/>
      <c r="FA79" s="83"/>
      <c r="FB79" s="83"/>
      <c r="FC79" s="83"/>
      <c r="FD79" s="83"/>
      <c r="FE79" s="83"/>
      <c r="FF79" s="83"/>
      <c r="FG79" s="83"/>
      <c r="FH79" s="83"/>
      <c r="FI79" s="83"/>
      <c r="FJ79" s="83"/>
      <c r="FK79" s="83"/>
      <c r="FL79" s="83"/>
      <c r="FM79" s="83"/>
      <c r="FN79" s="83"/>
      <c r="FO79" s="83"/>
      <c r="FP79" s="83"/>
      <c r="FQ79" s="83"/>
      <c r="FR79" s="83"/>
      <c r="FS79" s="83"/>
      <c r="FT79" s="83"/>
      <c r="FU79" s="83"/>
      <c r="FV79" s="83"/>
      <c r="FW79" s="83"/>
      <c r="FX79" s="83"/>
      <c r="FY79" s="83"/>
      <c r="FZ79" s="83"/>
      <c r="GA79" s="83"/>
      <c r="GB79" s="83"/>
      <c r="GC79" s="83"/>
      <c r="GD79" s="83"/>
      <c r="GE79" s="83"/>
      <c r="GF79" s="83"/>
      <c r="GG79" s="83"/>
      <c r="GH79" s="83"/>
      <c r="GI79" s="83"/>
      <c r="GJ79" s="83"/>
      <c r="GK79" s="83"/>
      <c r="GL79" s="83"/>
      <c r="GM79" s="83"/>
      <c r="GN79" s="83"/>
      <c r="GO79" s="83"/>
      <c r="GP79" s="83"/>
      <c r="GQ79" s="83"/>
      <c r="GR79" s="83"/>
      <c r="GS79" s="83"/>
      <c r="GT79" s="83"/>
      <c r="GU79" s="83"/>
      <c r="GV79" s="83"/>
      <c r="GW79" s="83"/>
      <c r="GX79" s="83"/>
      <c r="GY79" s="83"/>
      <c r="GZ79" s="83"/>
      <c r="HA79" s="83"/>
      <c r="HB79" s="83"/>
      <c r="HC79" s="83"/>
      <c r="HD79" s="83"/>
      <c r="HE79" s="83"/>
      <c r="HF79" s="83"/>
      <c r="HG79" s="83"/>
      <c r="HH79" s="83"/>
      <c r="HI79" s="83"/>
      <c r="HJ79" s="83"/>
      <c r="HK79" s="83"/>
      <c r="HL79" s="83"/>
      <c r="HM79" s="83"/>
      <c r="HN79" s="83"/>
      <c r="HO79" s="83"/>
    </row>
    <row r="80" s="16" customFormat="1" spans="1:223">
      <c r="A80" s="55"/>
      <c r="B80" s="19" t="s">
        <v>216</v>
      </c>
      <c r="C80" s="56" t="s">
        <v>217</v>
      </c>
      <c r="D80" s="59" t="s">
        <v>218</v>
      </c>
      <c r="E80" s="53" t="s">
        <v>219</v>
      </c>
      <c r="H80" s="54"/>
      <c r="I80" s="50"/>
      <c r="J80" s="50"/>
      <c r="K80" s="50"/>
      <c r="L80" s="50"/>
      <c r="M80" s="82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83"/>
      <c r="BX80" s="83"/>
      <c r="BY80" s="83"/>
      <c r="BZ80" s="83"/>
      <c r="CA80" s="83"/>
      <c r="CB80" s="83"/>
      <c r="CC80" s="83"/>
      <c r="CD80" s="83"/>
      <c r="CE80" s="83"/>
      <c r="CF80" s="83"/>
      <c r="CG80" s="83"/>
      <c r="CH80" s="83"/>
      <c r="CI80" s="83"/>
      <c r="CJ80" s="83"/>
      <c r="CK80" s="83"/>
      <c r="CL80" s="83"/>
      <c r="CM80" s="83"/>
      <c r="CN80" s="83"/>
      <c r="CO80" s="83"/>
      <c r="CP80" s="83"/>
      <c r="CQ80" s="83"/>
      <c r="CR80" s="83"/>
      <c r="CS80" s="83"/>
      <c r="CT80" s="83"/>
      <c r="CU80" s="83"/>
      <c r="CV80" s="83"/>
      <c r="CW80" s="83"/>
      <c r="CX80" s="83"/>
      <c r="CY80" s="83"/>
      <c r="CZ80" s="83"/>
      <c r="DA80" s="83"/>
      <c r="DB80" s="83"/>
      <c r="DC80" s="83"/>
      <c r="DD80" s="83"/>
      <c r="DE80" s="83"/>
      <c r="DF80" s="83"/>
      <c r="DG80" s="83"/>
      <c r="DH80" s="83"/>
      <c r="DI80" s="83"/>
      <c r="DJ80" s="83"/>
      <c r="DK80" s="83"/>
      <c r="DL80" s="83"/>
      <c r="DM80" s="83"/>
      <c r="DN80" s="83"/>
      <c r="DO80" s="83"/>
      <c r="DP80" s="83"/>
      <c r="DQ80" s="83"/>
      <c r="DR80" s="83"/>
      <c r="DS80" s="83"/>
      <c r="DT80" s="83"/>
      <c r="DU80" s="83"/>
      <c r="DV80" s="83"/>
      <c r="DW80" s="83"/>
      <c r="DX80" s="83"/>
      <c r="DY80" s="83"/>
      <c r="DZ80" s="83"/>
      <c r="EA80" s="83"/>
      <c r="EB80" s="83"/>
      <c r="EC80" s="83"/>
      <c r="ED80" s="83"/>
      <c r="EE80" s="83"/>
      <c r="EF80" s="83"/>
      <c r="EG80" s="83"/>
      <c r="EH80" s="83"/>
      <c r="EI80" s="83"/>
      <c r="EJ80" s="83"/>
      <c r="EK80" s="83"/>
      <c r="EL80" s="83"/>
      <c r="EM80" s="83"/>
      <c r="EN80" s="83"/>
      <c r="EO80" s="83"/>
      <c r="EP80" s="83"/>
      <c r="EQ80" s="83"/>
      <c r="ER80" s="83"/>
      <c r="ES80" s="83"/>
      <c r="ET80" s="83"/>
      <c r="EU80" s="83"/>
      <c r="EV80" s="83"/>
      <c r="EW80" s="83"/>
      <c r="EX80" s="83"/>
      <c r="EY80" s="83"/>
      <c r="EZ80" s="83"/>
      <c r="FA80" s="83"/>
      <c r="FB80" s="83"/>
      <c r="FC80" s="83"/>
      <c r="FD80" s="83"/>
      <c r="FE80" s="83"/>
      <c r="FF80" s="83"/>
      <c r="FG80" s="83"/>
      <c r="FH80" s="83"/>
      <c r="FI80" s="83"/>
      <c r="FJ80" s="83"/>
      <c r="FK80" s="83"/>
      <c r="FL80" s="83"/>
      <c r="FM80" s="83"/>
      <c r="FN80" s="83"/>
      <c r="FO80" s="83"/>
      <c r="FP80" s="83"/>
      <c r="FQ80" s="83"/>
      <c r="FR80" s="83"/>
      <c r="FS80" s="83"/>
      <c r="FT80" s="83"/>
      <c r="FU80" s="83"/>
      <c r="FV80" s="83"/>
      <c r="FW80" s="83"/>
      <c r="FX80" s="83"/>
      <c r="FY80" s="83"/>
      <c r="FZ80" s="83"/>
      <c r="GA80" s="83"/>
      <c r="GB80" s="83"/>
      <c r="GC80" s="83"/>
      <c r="GD80" s="83"/>
      <c r="GE80" s="83"/>
      <c r="GF80" s="83"/>
      <c r="GG80" s="83"/>
      <c r="GH80" s="83"/>
      <c r="GI80" s="83"/>
      <c r="GJ80" s="83"/>
      <c r="GK80" s="83"/>
      <c r="GL80" s="83"/>
      <c r="GM80" s="83"/>
      <c r="GN80" s="83"/>
      <c r="GO80" s="83"/>
      <c r="GP80" s="83"/>
      <c r="GQ80" s="83"/>
      <c r="GR80" s="83"/>
      <c r="GS80" s="83"/>
      <c r="GT80" s="83"/>
      <c r="GU80" s="83"/>
      <c r="GV80" s="83"/>
      <c r="GW80" s="83"/>
      <c r="GX80" s="83"/>
      <c r="GY80" s="83"/>
      <c r="GZ80" s="83"/>
      <c r="HA80" s="83"/>
      <c r="HB80" s="83"/>
      <c r="HC80" s="83"/>
      <c r="HD80" s="83"/>
      <c r="HE80" s="83"/>
      <c r="HF80" s="83"/>
      <c r="HG80" s="83"/>
      <c r="HH80" s="83"/>
      <c r="HI80" s="83"/>
      <c r="HJ80" s="83"/>
      <c r="HK80" s="83"/>
      <c r="HL80" s="83"/>
      <c r="HM80" s="83"/>
      <c r="HN80" s="83"/>
      <c r="HO80" s="83"/>
    </row>
    <row r="81" s="16" customFormat="1" spans="1:223">
      <c r="A81" s="55"/>
      <c r="B81" s="19" t="s">
        <v>220</v>
      </c>
      <c r="C81" s="56"/>
      <c r="D81" s="59"/>
      <c r="E81" s="58" t="s">
        <v>107</v>
      </c>
      <c r="H81" s="54"/>
      <c r="I81" s="50"/>
      <c r="J81" s="50"/>
      <c r="K81" s="50"/>
      <c r="L81" s="50"/>
      <c r="M81" s="82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  <c r="BL81" s="83"/>
      <c r="BM81" s="83"/>
      <c r="BN81" s="83"/>
      <c r="BO81" s="83"/>
      <c r="BP81" s="83"/>
      <c r="BQ81" s="83"/>
      <c r="BR81" s="83"/>
      <c r="BS81" s="83"/>
      <c r="BT81" s="83"/>
      <c r="BU81" s="83"/>
      <c r="BV81" s="83"/>
      <c r="BW81" s="83"/>
      <c r="BX81" s="83"/>
      <c r="BY81" s="83"/>
      <c r="BZ81" s="83"/>
      <c r="CA81" s="83"/>
      <c r="CB81" s="83"/>
      <c r="CC81" s="83"/>
      <c r="CD81" s="83"/>
      <c r="CE81" s="83"/>
      <c r="CF81" s="83"/>
      <c r="CG81" s="83"/>
      <c r="CH81" s="83"/>
      <c r="CI81" s="83"/>
      <c r="CJ81" s="83"/>
      <c r="CK81" s="83"/>
      <c r="CL81" s="83"/>
      <c r="CM81" s="83"/>
      <c r="CN81" s="83"/>
      <c r="CO81" s="83"/>
      <c r="CP81" s="83"/>
      <c r="CQ81" s="83"/>
      <c r="CR81" s="83"/>
      <c r="CS81" s="83"/>
      <c r="CT81" s="83"/>
      <c r="CU81" s="83"/>
      <c r="CV81" s="83"/>
      <c r="CW81" s="83"/>
      <c r="CX81" s="83"/>
      <c r="CY81" s="83"/>
      <c r="CZ81" s="83"/>
      <c r="DA81" s="83"/>
      <c r="DB81" s="83"/>
      <c r="DC81" s="83"/>
      <c r="DD81" s="83"/>
      <c r="DE81" s="83"/>
      <c r="DF81" s="83"/>
      <c r="DG81" s="83"/>
      <c r="DH81" s="83"/>
      <c r="DI81" s="83"/>
      <c r="DJ81" s="83"/>
      <c r="DK81" s="83"/>
      <c r="DL81" s="83"/>
      <c r="DM81" s="83"/>
      <c r="DN81" s="83"/>
      <c r="DO81" s="83"/>
      <c r="DP81" s="83"/>
      <c r="DQ81" s="83"/>
      <c r="DR81" s="83"/>
      <c r="DS81" s="83"/>
      <c r="DT81" s="83"/>
      <c r="DU81" s="83"/>
      <c r="DV81" s="83"/>
      <c r="DW81" s="83"/>
      <c r="DX81" s="83"/>
      <c r="DY81" s="83"/>
      <c r="DZ81" s="83"/>
      <c r="EA81" s="83"/>
      <c r="EB81" s="83"/>
      <c r="EC81" s="83"/>
      <c r="ED81" s="83"/>
      <c r="EE81" s="83"/>
      <c r="EF81" s="83"/>
      <c r="EG81" s="83"/>
      <c r="EH81" s="83"/>
      <c r="EI81" s="83"/>
      <c r="EJ81" s="83"/>
      <c r="EK81" s="83"/>
      <c r="EL81" s="83"/>
      <c r="EM81" s="83"/>
      <c r="EN81" s="83"/>
      <c r="EO81" s="83"/>
      <c r="EP81" s="83"/>
      <c r="EQ81" s="83"/>
      <c r="ER81" s="83"/>
      <c r="ES81" s="83"/>
      <c r="ET81" s="83"/>
      <c r="EU81" s="83"/>
      <c r="EV81" s="83"/>
      <c r="EW81" s="83"/>
      <c r="EX81" s="83"/>
      <c r="EY81" s="83"/>
      <c r="EZ81" s="83"/>
      <c r="FA81" s="83"/>
      <c r="FB81" s="83"/>
      <c r="FC81" s="83"/>
      <c r="FD81" s="83"/>
      <c r="FE81" s="83"/>
      <c r="FF81" s="83"/>
      <c r="FG81" s="83"/>
      <c r="FH81" s="83"/>
      <c r="FI81" s="83"/>
      <c r="FJ81" s="83"/>
      <c r="FK81" s="83"/>
      <c r="FL81" s="83"/>
      <c r="FM81" s="83"/>
      <c r="FN81" s="83"/>
      <c r="FO81" s="83"/>
      <c r="FP81" s="83"/>
      <c r="FQ81" s="83"/>
      <c r="FR81" s="83"/>
      <c r="FS81" s="83"/>
      <c r="FT81" s="83"/>
      <c r="FU81" s="83"/>
      <c r="FV81" s="83"/>
      <c r="FW81" s="83"/>
      <c r="FX81" s="83"/>
      <c r="FY81" s="83"/>
      <c r="FZ81" s="83"/>
      <c r="GA81" s="83"/>
      <c r="GB81" s="83"/>
      <c r="GC81" s="83"/>
      <c r="GD81" s="83"/>
      <c r="GE81" s="83"/>
      <c r="GF81" s="83"/>
      <c r="GG81" s="83"/>
      <c r="GH81" s="83"/>
      <c r="GI81" s="83"/>
      <c r="GJ81" s="83"/>
      <c r="GK81" s="83"/>
      <c r="GL81" s="83"/>
      <c r="GM81" s="83"/>
      <c r="GN81" s="83"/>
      <c r="GO81" s="83"/>
      <c r="GP81" s="83"/>
      <c r="GQ81" s="83"/>
      <c r="GR81" s="83"/>
      <c r="GS81" s="83"/>
      <c r="GT81" s="83"/>
      <c r="GU81" s="83"/>
      <c r="GV81" s="83"/>
      <c r="GW81" s="83"/>
      <c r="GX81" s="83"/>
      <c r="GY81" s="83"/>
      <c r="GZ81" s="83"/>
      <c r="HA81" s="83"/>
      <c r="HB81" s="83"/>
      <c r="HC81" s="83"/>
      <c r="HD81" s="83"/>
      <c r="HE81" s="83"/>
      <c r="HF81" s="83"/>
      <c r="HG81" s="83"/>
      <c r="HH81" s="83"/>
      <c r="HI81" s="83"/>
      <c r="HJ81" s="83"/>
      <c r="HK81" s="83"/>
      <c r="HL81" s="83"/>
      <c r="HM81" s="83"/>
      <c r="HN81" s="83"/>
      <c r="HO81" s="83"/>
    </row>
    <row r="82" s="16" customFormat="1" spans="1:223">
      <c r="A82" s="55"/>
      <c r="B82" s="19" t="s">
        <v>221</v>
      </c>
      <c r="C82" s="56"/>
      <c r="D82" s="59"/>
      <c r="E82" s="58" t="s">
        <v>109</v>
      </c>
      <c r="H82" s="54"/>
      <c r="I82" s="50"/>
      <c r="J82" s="50"/>
      <c r="K82" s="50"/>
      <c r="L82" s="50"/>
      <c r="M82" s="82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83"/>
      <c r="BF82" s="83"/>
      <c r="BG82" s="83"/>
      <c r="BH82" s="83"/>
      <c r="BI82" s="83"/>
      <c r="BJ82" s="83"/>
      <c r="BK82" s="83"/>
      <c r="BL82" s="83"/>
      <c r="BM82" s="83"/>
      <c r="BN82" s="83"/>
      <c r="BO82" s="83"/>
      <c r="BP82" s="83"/>
      <c r="BQ82" s="83"/>
      <c r="BR82" s="83"/>
      <c r="BS82" s="83"/>
      <c r="BT82" s="83"/>
      <c r="BU82" s="83"/>
      <c r="BV82" s="83"/>
      <c r="BW82" s="83"/>
      <c r="BX82" s="83"/>
      <c r="BY82" s="83"/>
      <c r="BZ82" s="83"/>
      <c r="CA82" s="83"/>
      <c r="CB82" s="83"/>
      <c r="CC82" s="83"/>
      <c r="CD82" s="83"/>
      <c r="CE82" s="83"/>
      <c r="CF82" s="83"/>
      <c r="CG82" s="83"/>
      <c r="CH82" s="83"/>
      <c r="CI82" s="83"/>
      <c r="CJ82" s="83"/>
      <c r="CK82" s="83"/>
      <c r="CL82" s="83"/>
      <c r="CM82" s="83"/>
      <c r="CN82" s="83"/>
      <c r="CO82" s="83"/>
      <c r="CP82" s="83"/>
      <c r="CQ82" s="83"/>
      <c r="CR82" s="83"/>
      <c r="CS82" s="83"/>
      <c r="CT82" s="83"/>
      <c r="CU82" s="83"/>
      <c r="CV82" s="83"/>
      <c r="CW82" s="83"/>
      <c r="CX82" s="83"/>
      <c r="CY82" s="83"/>
      <c r="CZ82" s="83"/>
      <c r="DA82" s="83"/>
      <c r="DB82" s="83"/>
      <c r="DC82" s="83"/>
      <c r="DD82" s="83"/>
      <c r="DE82" s="83"/>
      <c r="DF82" s="83"/>
      <c r="DG82" s="83"/>
      <c r="DH82" s="83"/>
      <c r="DI82" s="83"/>
      <c r="DJ82" s="83"/>
      <c r="DK82" s="83"/>
      <c r="DL82" s="83"/>
      <c r="DM82" s="83"/>
      <c r="DN82" s="83"/>
      <c r="DO82" s="83"/>
      <c r="DP82" s="83"/>
      <c r="DQ82" s="83"/>
      <c r="DR82" s="83"/>
      <c r="DS82" s="83"/>
      <c r="DT82" s="83"/>
      <c r="DU82" s="83"/>
      <c r="DV82" s="83"/>
      <c r="DW82" s="83"/>
      <c r="DX82" s="83"/>
      <c r="DY82" s="83"/>
      <c r="DZ82" s="83"/>
      <c r="EA82" s="83"/>
      <c r="EB82" s="83"/>
      <c r="EC82" s="83"/>
      <c r="ED82" s="83"/>
      <c r="EE82" s="83"/>
      <c r="EF82" s="83"/>
      <c r="EG82" s="83"/>
      <c r="EH82" s="83"/>
      <c r="EI82" s="83"/>
      <c r="EJ82" s="83"/>
      <c r="EK82" s="83"/>
      <c r="EL82" s="83"/>
      <c r="EM82" s="83"/>
      <c r="EN82" s="83"/>
      <c r="EO82" s="83"/>
      <c r="EP82" s="83"/>
      <c r="EQ82" s="83"/>
      <c r="ER82" s="83"/>
      <c r="ES82" s="83"/>
      <c r="ET82" s="83"/>
      <c r="EU82" s="83"/>
      <c r="EV82" s="83"/>
      <c r="EW82" s="83"/>
      <c r="EX82" s="83"/>
      <c r="EY82" s="83"/>
      <c r="EZ82" s="83"/>
      <c r="FA82" s="83"/>
      <c r="FB82" s="83"/>
      <c r="FC82" s="83"/>
      <c r="FD82" s="83"/>
      <c r="FE82" s="83"/>
      <c r="FF82" s="83"/>
      <c r="FG82" s="83"/>
      <c r="FH82" s="83"/>
      <c r="FI82" s="83"/>
      <c r="FJ82" s="83"/>
      <c r="FK82" s="83"/>
      <c r="FL82" s="83"/>
      <c r="FM82" s="83"/>
      <c r="FN82" s="83"/>
      <c r="FO82" s="83"/>
      <c r="FP82" s="83"/>
      <c r="FQ82" s="83"/>
      <c r="FR82" s="83"/>
      <c r="FS82" s="83"/>
      <c r="FT82" s="83"/>
      <c r="FU82" s="83"/>
      <c r="FV82" s="83"/>
      <c r="FW82" s="83"/>
      <c r="FX82" s="83"/>
      <c r="FY82" s="83"/>
      <c r="FZ82" s="83"/>
      <c r="GA82" s="83"/>
      <c r="GB82" s="83"/>
      <c r="GC82" s="83"/>
      <c r="GD82" s="83"/>
      <c r="GE82" s="83"/>
      <c r="GF82" s="83"/>
      <c r="GG82" s="83"/>
      <c r="GH82" s="83"/>
      <c r="GI82" s="83"/>
      <c r="GJ82" s="83"/>
      <c r="GK82" s="83"/>
      <c r="GL82" s="83"/>
      <c r="GM82" s="83"/>
      <c r="GN82" s="83"/>
      <c r="GO82" s="83"/>
      <c r="GP82" s="83"/>
      <c r="GQ82" s="83"/>
      <c r="GR82" s="83"/>
      <c r="GS82" s="83"/>
      <c r="GT82" s="83"/>
      <c r="GU82" s="83"/>
      <c r="GV82" s="83"/>
      <c r="GW82" s="83"/>
      <c r="GX82" s="83"/>
      <c r="GY82" s="83"/>
      <c r="GZ82" s="83"/>
      <c r="HA82" s="83"/>
      <c r="HB82" s="83"/>
      <c r="HC82" s="83"/>
      <c r="HD82" s="83"/>
      <c r="HE82" s="83"/>
      <c r="HF82" s="83"/>
      <c r="HG82" s="83"/>
      <c r="HH82" s="83"/>
      <c r="HI82" s="83"/>
      <c r="HJ82" s="83"/>
      <c r="HK82" s="83"/>
      <c r="HL82" s="83"/>
      <c r="HM82" s="83"/>
      <c r="HN82" s="83"/>
      <c r="HO82" s="83"/>
    </row>
    <row r="83" s="16" customFormat="1" spans="1:223">
      <c r="A83" s="55"/>
      <c r="B83" s="19" t="s">
        <v>222</v>
      </c>
      <c r="C83" s="56"/>
      <c r="D83" s="59"/>
      <c r="E83" s="53" t="s">
        <v>223</v>
      </c>
      <c r="H83" s="54"/>
      <c r="I83" s="50"/>
      <c r="J83" s="50"/>
      <c r="K83" s="50"/>
      <c r="L83" s="50"/>
      <c r="M83" s="82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83"/>
      <c r="BG83" s="83"/>
      <c r="BH83" s="83"/>
      <c r="BI83" s="83"/>
      <c r="BJ83" s="83"/>
      <c r="BK83" s="83"/>
      <c r="BL83" s="83"/>
      <c r="BM83" s="83"/>
      <c r="BN83" s="83"/>
      <c r="BO83" s="83"/>
      <c r="BP83" s="83"/>
      <c r="BQ83" s="83"/>
      <c r="BR83" s="83"/>
      <c r="BS83" s="83"/>
      <c r="BT83" s="83"/>
      <c r="BU83" s="83"/>
      <c r="BV83" s="83"/>
      <c r="BW83" s="83"/>
      <c r="BX83" s="83"/>
      <c r="BY83" s="83"/>
      <c r="BZ83" s="83"/>
      <c r="CA83" s="83"/>
      <c r="CB83" s="83"/>
      <c r="CC83" s="83"/>
      <c r="CD83" s="83"/>
      <c r="CE83" s="83"/>
      <c r="CF83" s="83"/>
      <c r="CG83" s="83"/>
      <c r="CH83" s="83"/>
      <c r="CI83" s="83"/>
      <c r="CJ83" s="83"/>
      <c r="CK83" s="83"/>
      <c r="CL83" s="83"/>
      <c r="CM83" s="83"/>
      <c r="CN83" s="83"/>
      <c r="CO83" s="83"/>
      <c r="CP83" s="83"/>
      <c r="CQ83" s="83"/>
      <c r="CR83" s="83"/>
      <c r="CS83" s="83"/>
      <c r="CT83" s="83"/>
      <c r="CU83" s="83"/>
      <c r="CV83" s="83"/>
      <c r="CW83" s="83"/>
      <c r="CX83" s="83"/>
      <c r="CY83" s="83"/>
      <c r="CZ83" s="83"/>
      <c r="DA83" s="83"/>
      <c r="DB83" s="83"/>
      <c r="DC83" s="83"/>
      <c r="DD83" s="83"/>
      <c r="DE83" s="83"/>
      <c r="DF83" s="83"/>
      <c r="DG83" s="83"/>
      <c r="DH83" s="83"/>
      <c r="DI83" s="83"/>
      <c r="DJ83" s="83"/>
      <c r="DK83" s="83"/>
      <c r="DL83" s="83"/>
      <c r="DM83" s="83"/>
      <c r="DN83" s="83"/>
      <c r="DO83" s="83"/>
      <c r="DP83" s="83"/>
      <c r="DQ83" s="83"/>
      <c r="DR83" s="83"/>
      <c r="DS83" s="83"/>
      <c r="DT83" s="83"/>
      <c r="DU83" s="83"/>
      <c r="DV83" s="83"/>
      <c r="DW83" s="83"/>
      <c r="DX83" s="83"/>
      <c r="DY83" s="83"/>
      <c r="DZ83" s="83"/>
      <c r="EA83" s="83"/>
      <c r="EB83" s="83"/>
      <c r="EC83" s="83"/>
      <c r="ED83" s="83"/>
      <c r="EE83" s="83"/>
      <c r="EF83" s="83"/>
      <c r="EG83" s="83"/>
      <c r="EH83" s="83"/>
      <c r="EI83" s="83"/>
      <c r="EJ83" s="83"/>
      <c r="EK83" s="83"/>
      <c r="EL83" s="83"/>
      <c r="EM83" s="83"/>
      <c r="EN83" s="83"/>
      <c r="EO83" s="83"/>
      <c r="EP83" s="83"/>
      <c r="EQ83" s="83"/>
      <c r="ER83" s="83"/>
      <c r="ES83" s="83"/>
      <c r="ET83" s="83"/>
      <c r="EU83" s="83"/>
      <c r="EV83" s="83"/>
      <c r="EW83" s="83"/>
      <c r="EX83" s="83"/>
      <c r="EY83" s="83"/>
      <c r="EZ83" s="83"/>
      <c r="FA83" s="83"/>
      <c r="FB83" s="83"/>
      <c r="FC83" s="83"/>
      <c r="FD83" s="83"/>
      <c r="FE83" s="83"/>
      <c r="FF83" s="83"/>
      <c r="FG83" s="83"/>
      <c r="FH83" s="83"/>
      <c r="FI83" s="83"/>
      <c r="FJ83" s="83"/>
      <c r="FK83" s="83"/>
      <c r="FL83" s="83"/>
      <c r="FM83" s="83"/>
      <c r="FN83" s="83"/>
      <c r="FO83" s="83"/>
      <c r="FP83" s="83"/>
      <c r="FQ83" s="83"/>
      <c r="FR83" s="83"/>
      <c r="FS83" s="83"/>
      <c r="FT83" s="83"/>
      <c r="FU83" s="83"/>
      <c r="FV83" s="83"/>
      <c r="FW83" s="83"/>
      <c r="FX83" s="83"/>
      <c r="FY83" s="83"/>
      <c r="FZ83" s="83"/>
      <c r="GA83" s="83"/>
      <c r="GB83" s="83"/>
      <c r="GC83" s="83"/>
      <c r="GD83" s="83"/>
      <c r="GE83" s="83"/>
      <c r="GF83" s="83"/>
      <c r="GG83" s="83"/>
      <c r="GH83" s="83"/>
      <c r="GI83" s="83"/>
      <c r="GJ83" s="83"/>
      <c r="GK83" s="83"/>
      <c r="GL83" s="83"/>
      <c r="GM83" s="83"/>
      <c r="GN83" s="83"/>
      <c r="GO83" s="83"/>
      <c r="GP83" s="83"/>
      <c r="GQ83" s="83"/>
      <c r="GR83" s="83"/>
      <c r="GS83" s="83"/>
      <c r="GT83" s="83"/>
      <c r="GU83" s="83"/>
      <c r="GV83" s="83"/>
      <c r="GW83" s="83"/>
      <c r="GX83" s="83"/>
      <c r="GY83" s="83"/>
      <c r="GZ83" s="83"/>
      <c r="HA83" s="83"/>
      <c r="HB83" s="83"/>
      <c r="HC83" s="83"/>
      <c r="HD83" s="83"/>
      <c r="HE83" s="83"/>
      <c r="HF83" s="83"/>
      <c r="HG83" s="83"/>
      <c r="HH83" s="83"/>
      <c r="HI83" s="83"/>
      <c r="HJ83" s="83"/>
      <c r="HK83" s="83"/>
      <c r="HL83" s="83"/>
      <c r="HM83" s="83"/>
      <c r="HN83" s="83"/>
      <c r="HO83" s="83"/>
    </row>
    <row r="84" s="16" customFormat="1" spans="1:223">
      <c r="A84" s="55"/>
      <c r="B84" s="19" t="s">
        <v>224</v>
      </c>
      <c r="C84" s="56"/>
      <c r="D84" s="59"/>
      <c r="E84" s="53" t="s">
        <v>225</v>
      </c>
      <c r="H84" s="54"/>
      <c r="I84" s="50"/>
      <c r="J84" s="50"/>
      <c r="K84" s="50"/>
      <c r="L84" s="50"/>
      <c r="M84" s="82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83"/>
      <c r="BF84" s="83"/>
      <c r="BG84" s="83"/>
      <c r="BH84" s="83"/>
      <c r="BI84" s="83"/>
      <c r="BJ84" s="83"/>
      <c r="BK84" s="83"/>
      <c r="BL84" s="83"/>
      <c r="BM84" s="83"/>
      <c r="BN84" s="83"/>
      <c r="BO84" s="83"/>
      <c r="BP84" s="83"/>
      <c r="BQ84" s="83"/>
      <c r="BR84" s="83"/>
      <c r="BS84" s="83"/>
      <c r="BT84" s="83"/>
      <c r="BU84" s="83"/>
      <c r="BV84" s="83"/>
      <c r="BW84" s="83"/>
      <c r="BX84" s="83"/>
      <c r="BY84" s="83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  <c r="CK84" s="83"/>
      <c r="CL84" s="83"/>
      <c r="CM84" s="83"/>
      <c r="CN84" s="83"/>
      <c r="CO84" s="83"/>
      <c r="CP84" s="83"/>
      <c r="CQ84" s="83"/>
      <c r="CR84" s="83"/>
      <c r="CS84" s="83"/>
      <c r="CT84" s="83"/>
      <c r="CU84" s="83"/>
      <c r="CV84" s="83"/>
      <c r="CW84" s="83"/>
      <c r="CX84" s="83"/>
      <c r="CY84" s="83"/>
      <c r="CZ84" s="83"/>
      <c r="DA84" s="83"/>
      <c r="DB84" s="83"/>
      <c r="DC84" s="83"/>
      <c r="DD84" s="83"/>
      <c r="DE84" s="83"/>
      <c r="DF84" s="83"/>
      <c r="DG84" s="83"/>
      <c r="DH84" s="83"/>
      <c r="DI84" s="83"/>
      <c r="DJ84" s="83"/>
      <c r="DK84" s="83"/>
      <c r="DL84" s="83"/>
      <c r="DM84" s="83"/>
      <c r="DN84" s="83"/>
      <c r="DO84" s="83"/>
      <c r="DP84" s="83"/>
      <c r="DQ84" s="83"/>
      <c r="DR84" s="83"/>
      <c r="DS84" s="83"/>
      <c r="DT84" s="83"/>
      <c r="DU84" s="83"/>
      <c r="DV84" s="83"/>
      <c r="DW84" s="83"/>
      <c r="DX84" s="83"/>
      <c r="DY84" s="83"/>
      <c r="DZ84" s="83"/>
      <c r="EA84" s="83"/>
      <c r="EB84" s="83"/>
      <c r="EC84" s="83"/>
      <c r="ED84" s="83"/>
      <c r="EE84" s="83"/>
      <c r="EF84" s="83"/>
      <c r="EG84" s="83"/>
      <c r="EH84" s="83"/>
      <c r="EI84" s="83"/>
      <c r="EJ84" s="83"/>
      <c r="EK84" s="83"/>
      <c r="EL84" s="83"/>
      <c r="EM84" s="83"/>
      <c r="EN84" s="83"/>
      <c r="EO84" s="83"/>
      <c r="EP84" s="83"/>
      <c r="EQ84" s="83"/>
      <c r="ER84" s="83"/>
      <c r="ES84" s="83"/>
      <c r="ET84" s="83"/>
      <c r="EU84" s="83"/>
      <c r="EV84" s="83"/>
      <c r="EW84" s="83"/>
      <c r="EX84" s="83"/>
      <c r="EY84" s="83"/>
      <c r="EZ84" s="83"/>
      <c r="FA84" s="83"/>
      <c r="FB84" s="83"/>
      <c r="FC84" s="83"/>
      <c r="FD84" s="83"/>
      <c r="FE84" s="83"/>
      <c r="FF84" s="83"/>
      <c r="FG84" s="83"/>
      <c r="FH84" s="83"/>
      <c r="FI84" s="83"/>
      <c r="FJ84" s="83"/>
      <c r="FK84" s="83"/>
      <c r="FL84" s="83"/>
      <c r="FM84" s="83"/>
      <c r="FN84" s="83"/>
      <c r="FO84" s="83"/>
      <c r="FP84" s="83"/>
      <c r="FQ84" s="83"/>
      <c r="FR84" s="83"/>
      <c r="FS84" s="83"/>
      <c r="FT84" s="83"/>
      <c r="FU84" s="83"/>
      <c r="FV84" s="83"/>
      <c r="FW84" s="83"/>
      <c r="FX84" s="83"/>
      <c r="FY84" s="83"/>
      <c r="FZ84" s="83"/>
      <c r="GA84" s="83"/>
      <c r="GB84" s="83"/>
      <c r="GC84" s="83"/>
      <c r="GD84" s="83"/>
      <c r="GE84" s="83"/>
      <c r="GF84" s="83"/>
      <c r="GG84" s="83"/>
      <c r="GH84" s="83"/>
      <c r="GI84" s="83"/>
      <c r="GJ84" s="83"/>
      <c r="GK84" s="83"/>
      <c r="GL84" s="83"/>
      <c r="GM84" s="83"/>
      <c r="GN84" s="83"/>
      <c r="GO84" s="83"/>
      <c r="GP84" s="83"/>
      <c r="GQ84" s="83"/>
      <c r="GR84" s="83"/>
      <c r="GS84" s="83"/>
      <c r="GT84" s="83"/>
      <c r="GU84" s="83"/>
      <c r="GV84" s="83"/>
      <c r="GW84" s="83"/>
      <c r="GX84" s="83"/>
      <c r="GY84" s="83"/>
      <c r="GZ84" s="83"/>
      <c r="HA84" s="83"/>
      <c r="HB84" s="83"/>
      <c r="HC84" s="83"/>
      <c r="HD84" s="83"/>
      <c r="HE84" s="83"/>
      <c r="HF84" s="83"/>
      <c r="HG84" s="83"/>
      <c r="HH84" s="83"/>
      <c r="HI84" s="83"/>
      <c r="HJ84" s="83"/>
      <c r="HK84" s="83"/>
      <c r="HL84" s="83"/>
      <c r="HM84" s="83"/>
      <c r="HN84" s="83"/>
      <c r="HO84" s="83"/>
    </row>
    <row r="85" s="16" customFormat="1" spans="1:223">
      <c r="A85" s="55"/>
      <c r="B85" s="19" t="s">
        <v>226</v>
      </c>
      <c r="C85" s="56"/>
      <c r="D85" s="59"/>
      <c r="E85" s="53" t="s">
        <v>227</v>
      </c>
      <c r="H85" s="54"/>
      <c r="I85" s="50"/>
      <c r="J85" s="50"/>
      <c r="K85" s="50"/>
      <c r="L85" s="50"/>
      <c r="M85" s="82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83"/>
      <c r="BG85" s="83"/>
      <c r="BH85" s="83"/>
      <c r="BI85" s="83"/>
      <c r="BJ85" s="83"/>
      <c r="BK85" s="83"/>
      <c r="BL85" s="83"/>
      <c r="BM85" s="83"/>
      <c r="BN85" s="83"/>
      <c r="BO85" s="83"/>
      <c r="BP85" s="83"/>
      <c r="BQ85" s="83"/>
      <c r="BR85" s="83"/>
      <c r="BS85" s="83"/>
      <c r="BT85" s="83"/>
      <c r="BU85" s="83"/>
      <c r="BV85" s="83"/>
      <c r="BW85" s="83"/>
      <c r="BX85" s="83"/>
      <c r="BY85" s="83"/>
      <c r="BZ85" s="83"/>
      <c r="CA85" s="83"/>
      <c r="CB85" s="83"/>
      <c r="CC85" s="83"/>
      <c r="CD85" s="83"/>
      <c r="CE85" s="83"/>
      <c r="CF85" s="83"/>
      <c r="CG85" s="83"/>
      <c r="CH85" s="83"/>
      <c r="CI85" s="83"/>
      <c r="CJ85" s="83"/>
      <c r="CK85" s="83"/>
      <c r="CL85" s="83"/>
      <c r="CM85" s="83"/>
      <c r="CN85" s="83"/>
      <c r="CO85" s="83"/>
      <c r="CP85" s="83"/>
      <c r="CQ85" s="83"/>
      <c r="CR85" s="83"/>
      <c r="CS85" s="83"/>
      <c r="CT85" s="83"/>
      <c r="CU85" s="83"/>
      <c r="CV85" s="83"/>
      <c r="CW85" s="83"/>
      <c r="CX85" s="83"/>
      <c r="CY85" s="83"/>
      <c r="CZ85" s="83"/>
      <c r="DA85" s="83"/>
      <c r="DB85" s="83"/>
      <c r="DC85" s="83"/>
      <c r="DD85" s="83"/>
      <c r="DE85" s="83"/>
      <c r="DF85" s="83"/>
      <c r="DG85" s="83"/>
      <c r="DH85" s="83"/>
      <c r="DI85" s="83"/>
      <c r="DJ85" s="83"/>
      <c r="DK85" s="83"/>
      <c r="DL85" s="83"/>
      <c r="DM85" s="83"/>
      <c r="DN85" s="83"/>
      <c r="DO85" s="83"/>
      <c r="DP85" s="83"/>
      <c r="DQ85" s="83"/>
      <c r="DR85" s="83"/>
      <c r="DS85" s="83"/>
      <c r="DT85" s="83"/>
      <c r="DU85" s="83"/>
      <c r="DV85" s="83"/>
      <c r="DW85" s="83"/>
      <c r="DX85" s="83"/>
      <c r="DY85" s="83"/>
      <c r="DZ85" s="83"/>
      <c r="EA85" s="83"/>
      <c r="EB85" s="83"/>
      <c r="EC85" s="83"/>
      <c r="ED85" s="83"/>
      <c r="EE85" s="83"/>
      <c r="EF85" s="83"/>
      <c r="EG85" s="83"/>
      <c r="EH85" s="83"/>
      <c r="EI85" s="83"/>
      <c r="EJ85" s="83"/>
      <c r="EK85" s="83"/>
      <c r="EL85" s="83"/>
      <c r="EM85" s="83"/>
      <c r="EN85" s="83"/>
      <c r="EO85" s="83"/>
      <c r="EP85" s="83"/>
      <c r="EQ85" s="83"/>
      <c r="ER85" s="83"/>
      <c r="ES85" s="83"/>
      <c r="ET85" s="83"/>
      <c r="EU85" s="83"/>
      <c r="EV85" s="83"/>
      <c r="EW85" s="83"/>
      <c r="EX85" s="83"/>
      <c r="EY85" s="83"/>
      <c r="EZ85" s="83"/>
      <c r="FA85" s="83"/>
      <c r="FB85" s="83"/>
      <c r="FC85" s="83"/>
      <c r="FD85" s="83"/>
      <c r="FE85" s="83"/>
      <c r="FF85" s="83"/>
      <c r="FG85" s="83"/>
      <c r="FH85" s="83"/>
      <c r="FI85" s="83"/>
      <c r="FJ85" s="83"/>
      <c r="FK85" s="83"/>
      <c r="FL85" s="83"/>
      <c r="FM85" s="83"/>
      <c r="FN85" s="83"/>
      <c r="FO85" s="83"/>
      <c r="FP85" s="83"/>
      <c r="FQ85" s="83"/>
      <c r="FR85" s="83"/>
      <c r="FS85" s="83"/>
      <c r="FT85" s="83"/>
      <c r="FU85" s="83"/>
      <c r="FV85" s="83"/>
      <c r="FW85" s="83"/>
      <c r="FX85" s="83"/>
      <c r="FY85" s="83"/>
      <c r="FZ85" s="83"/>
      <c r="GA85" s="83"/>
      <c r="GB85" s="83"/>
      <c r="GC85" s="83"/>
      <c r="GD85" s="83"/>
      <c r="GE85" s="83"/>
      <c r="GF85" s="83"/>
      <c r="GG85" s="83"/>
      <c r="GH85" s="83"/>
      <c r="GI85" s="83"/>
      <c r="GJ85" s="83"/>
      <c r="GK85" s="83"/>
      <c r="GL85" s="83"/>
      <c r="GM85" s="83"/>
      <c r="GN85" s="83"/>
      <c r="GO85" s="83"/>
      <c r="GP85" s="83"/>
      <c r="GQ85" s="83"/>
      <c r="GR85" s="83"/>
      <c r="GS85" s="83"/>
      <c r="GT85" s="83"/>
      <c r="GU85" s="83"/>
      <c r="GV85" s="83"/>
      <c r="GW85" s="83"/>
      <c r="GX85" s="83"/>
      <c r="GY85" s="83"/>
      <c r="GZ85" s="83"/>
      <c r="HA85" s="83"/>
      <c r="HB85" s="83"/>
      <c r="HC85" s="83"/>
      <c r="HD85" s="83"/>
      <c r="HE85" s="83"/>
      <c r="HF85" s="83"/>
      <c r="HG85" s="83"/>
      <c r="HH85" s="83"/>
      <c r="HI85" s="83"/>
      <c r="HJ85" s="83"/>
      <c r="HK85" s="83"/>
      <c r="HL85" s="83"/>
      <c r="HM85" s="83"/>
      <c r="HN85" s="83"/>
      <c r="HO85" s="83"/>
    </row>
    <row r="86" s="16" customFormat="1" spans="1:223">
      <c r="A86" s="55"/>
      <c r="B86" s="19" t="s">
        <v>228</v>
      </c>
      <c r="C86" s="56"/>
      <c r="D86" s="59"/>
      <c r="E86" s="53" t="s">
        <v>229</v>
      </c>
      <c r="H86" s="54"/>
      <c r="I86" s="50"/>
      <c r="J86" s="50"/>
      <c r="K86" s="50"/>
      <c r="L86" s="50"/>
      <c r="M86" s="82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83"/>
      <c r="BG86" s="83"/>
      <c r="BH86" s="83"/>
      <c r="BI86" s="83"/>
      <c r="BJ86" s="83"/>
      <c r="BK86" s="83"/>
      <c r="BL86" s="83"/>
      <c r="BM86" s="83"/>
      <c r="BN86" s="83"/>
      <c r="BO86" s="83"/>
      <c r="BP86" s="83"/>
      <c r="BQ86" s="83"/>
      <c r="BR86" s="83"/>
      <c r="BS86" s="83"/>
      <c r="BT86" s="83"/>
      <c r="BU86" s="83"/>
      <c r="BV86" s="83"/>
      <c r="BW86" s="83"/>
      <c r="BX86" s="83"/>
      <c r="BY86" s="83"/>
      <c r="BZ86" s="83"/>
      <c r="CA86" s="83"/>
      <c r="CB86" s="83"/>
      <c r="CC86" s="83"/>
      <c r="CD86" s="83"/>
      <c r="CE86" s="83"/>
      <c r="CF86" s="83"/>
      <c r="CG86" s="83"/>
      <c r="CH86" s="83"/>
      <c r="CI86" s="83"/>
      <c r="CJ86" s="83"/>
      <c r="CK86" s="83"/>
      <c r="CL86" s="83"/>
      <c r="CM86" s="83"/>
      <c r="CN86" s="83"/>
      <c r="CO86" s="83"/>
      <c r="CP86" s="83"/>
      <c r="CQ86" s="83"/>
      <c r="CR86" s="83"/>
      <c r="CS86" s="83"/>
      <c r="CT86" s="83"/>
      <c r="CU86" s="83"/>
      <c r="CV86" s="83"/>
      <c r="CW86" s="83"/>
      <c r="CX86" s="83"/>
      <c r="CY86" s="83"/>
      <c r="CZ86" s="83"/>
      <c r="DA86" s="83"/>
      <c r="DB86" s="83"/>
      <c r="DC86" s="83"/>
      <c r="DD86" s="83"/>
      <c r="DE86" s="83"/>
      <c r="DF86" s="83"/>
      <c r="DG86" s="83"/>
      <c r="DH86" s="83"/>
      <c r="DI86" s="83"/>
      <c r="DJ86" s="83"/>
      <c r="DK86" s="83"/>
      <c r="DL86" s="83"/>
      <c r="DM86" s="83"/>
      <c r="DN86" s="83"/>
      <c r="DO86" s="83"/>
      <c r="DP86" s="83"/>
      <c r="DQ86" s="83"/>
      <c r="DR86" s="83"/>
      <c r="DS86" s="83"/>
      <c r="DT86" s="83"/>
      <c r="DU86" s="83"/>
      <c r="DV86" s="83"/>
      <c r="DW86" s="83"/>
      <c r="DX86" s="83"/>
      <c r="DY86" s="83"/>
      <c r="DZ86" s="83"/>
      <c r="EA86" s="83"/>
      <c r="EB86" s="83"/>
      <c r="EC86" s="83"/>
      <c r="ED86" s="83"/>
      <c r="EE86" s="83"/>
      <c r="EF86" s="83"/>
      <c r="EG86" s="83"/>
      <c r="EH86" s="83"/>
      <c r="EI86" s="83"/>
      <c r="EJ86" s="83"/>
      <c r="EK86" s="83"/>
      <c r="EL86" s="83"/>
      <c r="EM86" s="83"/>
      <c r="EN86" s="83"/>
      <c r="EO86" s="83"/>
      <c r="EP86" s="83"/>
      <c r="EQ86" s="83"/>
      <c r="ER86" s="83"/>
      <c r="ES86" s="83"/>
      <c r="ET86" s="83"/>
      <c r="EU86" s="83"/>
      <c r="EV86" s="83"/>
      <c r="EW86" s="83"/>
      <c r="EX86" s="83"/>
      <c r="EY86" s="83"/>
      <c r="EZ86" s="83"/>
      <c r="FA86" s="83"/>
      <c r="FB86" s="83"/>
      <c r="FC86" s="83"/>
      <c r="FD86" s="83"/>
      <c r="FE86" s="83"/>
      <c r="FF86" s="83"/>
      <c r="FG86" s="83"/>
      <c r="FH86" s="83"/>
      <c r="FI86" s="83"/>
      <c r="FJ86" s="83"/>
      <c r="FK86" s="83"/>
      <c r="FL86" s="83"/>
      <c r="FM86" s="83"/>
      <c r="FN86" s="83"/>
      <c r="FO86" s="83"/>
      <c r="FP86" s="83"/>
      <c r="FQ86" s="83"/>
      <c r="FR86" s="83"/>
      <c r="FS86" s="83"/>
      <c r="FT86" s="83"/>
      <c r="FU86" s="83"/>
      <c r="FV86" s="83"/>
      <c r="FW86" s="83"/>
      <c r="FX86" s="83"/>
      <c r="FY86" s="83"/>
      <c r="FZ86" s="83"/>
      <c r="GA86" s="83"/>
      <c r="GB86" s="83"/>
      <c r="GC86" s="83"/>
      <c r="GD86" s="83"/>
      <c r="GE86" s="83"/>
      <c r="GF86" s="83"/>
      <c r="GG86" s="83"/>
      <c r="GH86" s="83"/>
      <c r="GI86" s="83"/>
      <c r="GJ86" s="83"/>
      <c r="GK86" s="83"/>
      <c r="GL86" s="83"/>
      <c r="GM86" s="83"/>
      <c r="GN86" s="83"/>
      <c r="GO86" s="83"/>
      <c r="GP86" s="83"/>
      <c r="GQ86" s="83"/>
      <c r="GR86" s="83"/>
      <c r="GS86" s="83"/>
      <c r="GT86" s="83"/>
      <c r="GU86" s="83"/>
      <c r="GV86" s="83"/>
      <c r="GW86" s="83"/>
      <c r="GX86" s="83"/>
      <c r="GY86" s="83"/>
      <c r="GZ86" s="83"/>
      <c r="HA86" s="83"/>
      <c r="HB86" s="83"/>
      <c r="HC86" s="83"/>
      <c r="HD86" s="83"/>
      <c r="HE86" s="83"/>
      <c r="HF86" s="83"/>
      <c r="HG86" s="83"/>
      <c r="HH86" s="83"/>
      <c r="HI86" s="83"/>
      <c r="HJ86" s="83"/>
      <c r="HK86" s="83"/>
      <c r="HL86" s="83"/>
      <c r="HM86" s="83"/>
      <c r="HN86" s="83"/>
      <c r="HO86" s="83"/>
    </row>
    <row r="87" s="16" customFormat="1" spans="1:223">
      <c r="A87" s="55"/>
      <c r="B87" s="19" t="s">
        <v>230</v>
      </c>
      <c r="C87" s="56"/>
      <c r="D87" s="59"/>
      <c r="E87" s="53" t="s">
        <v>231</v>
      </c>
      <c r="H87" s="54"/>
      <c r="I87" s="50"/>
      <c r="J87" s="50"/>
      <c r="K87" s="50"/>
      <c r="L87" s="50"/>
      <c r="M87" s="82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83"/>
      <c r="BG87" s="83"/>
      <c r="BH87" s="83"/>
      <c r="BI87" s="83"/>
      <c r="BJ87" s="83"/>
      <c r="BK87" s="83"/>
      <c r="BL87" s="83"/>
      <c r="BM87" s="83"/>
      <c r="BN87" s="83"/>
      <c r="BO87" s="83"/>
      <c r="BP87" s="83"/>
      <c r="BQ87" s="83"/>
      <c r="BR87" s="83"/>
      <c r="BS87" s="83"/>
      <c r="BT87" s="83"/>
      <c r="BU87" s="83"/>
      <c r="BV87" s="83"/>
      <c r="BW87" s="83"/>
      <c r="BX87" s="83"/>
      <c r="BY87" s="83"/>
      <c r="BZ87" s="83"/>
      <c r="CA87" s="83"/>
      <c r="CB87" s="83"/>
      <c r="CC87" s="83"/>
      <c r="CD87" s="83"/>
      <c r="CE87" s="83"/>
      <c r="CF87" s="83"/>
      <c r="CG87" s="83"/>
      <c r="CH87" s="83"/>
      <c r="CI87" s="83"/>
      <c r="CJ87" s="83"/>
      <c r="CK87" s="83"/>
      <c r="CL87" s="83"/>
      <c r="CM87" s="83"/>
      <c r="CN87" s="83"/>
      <c r="CO87" s="83"/>
      <c r="CP87" s="83"/>
      <c r="CQ87" s="83"/>
      <c r="CR87" s="83"/>
      <c r="CS87" s="83"/>
      <c r="CT87" s="83"/>
      <c r="CU87" s="83"/>
      <c r="CV87" s="83"/>
      <c r="CW87" s="83"/>
      <c r="CX87" s="83"/>
      <c r="CY87" s="83"/>
      <c r="CZ87" s="83"/>
      <c r="DA87" s="83"/>
      <c r="DB87" s="83"/>
      <c r="DC87" s="83"/>
      <c r="DD87" s="83"/>
      <c r="DE87" s="83"/>
      <c r="DF87" s="83"/>
      <c r="DG87" s="83"/>
      <c r="DH87" s="83"/>
      <c r="DI87" s="83"/>
      <c r="DJ87" s="83"/>
      <c r="DK87" s="83"/>
      <c r="DL87" s="83"/>
      <c r="DM87" s="83"/>
      <c r="DN87" s="83"/>
      <c r="DO87" s="83"/>
      <c r="DP87" s="83"/>
      <c r="DQ87" s="83"/>
      <c r="DR87" s="83"/>
      <c r="DS87" s="83"/>
      <c r="DT87" s="83"/>
      <c r="DU87" s="83"/>
      <c r="DV87" s="83"/>
      <c r="DW87" s="83"/>
      <c r="DX87" s="83"/>
      <c r="DY87" s="83"/>
      <c r="DZ87" s="83"/>
      <c r="EA87" s="83"/>
      <c r="EB87" s="83"/>
      <c r="EC87" s="83"/>
      <c r="ED87" s="83"/>
      <c r="EE87" s="83"/>
      <c r="EF87" s="83"/>
      <c r="EG87" s="83"/>
      <c r="EH87" s="83"/>
      <c r="EI87" s="83"/>
      <c r="EJ87" s="83"/>
      <c r="EK87" s="83"/>
      <c r="EL87" s="83"/>
      <c r="EM87" s="83"/>
      <c r="EN87" s="83"/>
      <c r="EO87" s="83"/>
      <c r="EP87" s="83"/>
      <c r="EQ87" s="83"/>
      <c r="ER87" s="83"/>
      <c r="ES87" s="83"/>
      <c r="ET87" s="83"/>
      <c r="EU87" s="83"/>
      <c r="EV87" s="83"/>
      <c r="EW87" s="83"/>
      <c r="EX87" s="83"/>
      <c r="EY87" s="83"/>
      <c r="EZ87" s="83"/>
      <c r="FA87" s="83"/>
      <c r="FB87" s="83"/>
      <c r="FC87" s="83"/>
      <c r="FD87" s="83"/>
      <c r="FE87" s="83"/>
      <c r="FF87" s="83"/>
      <c r="FG87" s="83"/>
      <c r="FH87" s="83"/>
      <c r="FI87" s="83"/>
      <c r="FJ87" s="83"/>
      <c r="FK87" s="83"/>
      <c r="FL87" s="83"/>
      <c r="FM87" s="83"/>
      <c r="FN87" s="83"/>
      <c r="FO87" s="83"/>
      <c r="FP87" s="83"/>
      <c r="FQ87" s="83"/>
      <c r="FR87" s="83"/>
      <c r="FS87" s="83"/>
      <c r="FT87" s="83"/>
      <c r="FU87" s="83"/>
      <c r="FV87" s="83"/>
      <c r="FW87" s="83"/>
      <c r="FX87" s="83"/>
      <c r="FY87" s="83"/>
      <c r="FZ87" s="83"/>
      <c r="GA87" s="83"/>
      <c r="GB87" s="83"/>
      <c r="GC87" s="83"/>
      <c r="GD87" s="83"/>
      <c r="GE87" s="83"/>
      <c r="GF87" s="83"/>
      <c r="GG87" s="83"/>
      <c r="GH87" s="83"/>
      <c r="GI87" s="83"/>
      <c r="GJ87" s="83"/>
      <c r="GK87" s="83"/>
      <c r="GL87" s="83"/>
      <c r="GM87" s="83"/>
      <c r="GN87" s="83"/>
      <c r="GO87" s="83"/>
      <c r="GP87" s="83"/>
      <c r="GQ87" s="83"/>
      <c r="GR87" s="83"/>
      <c r="GS87" s="83"/>
      <c r="GT87" s="83"/>
      <c r="GU87" s="83"/>
      <c r="GV87" s="83"/>
      <c r="GW87" s="83"/>
      <c r="GX87" s="83"/>
      <c r="GY87" s="83"/>
      <c r="GZ87" s="83"/>
      <c r="HA87" s="83"/>
      <c r="HB87" s="83"/>
      <c r="HC87" s="83"/>
      <c r="HD87" s="83"/>
      <c r="HE87" s="83"/>
      <c r="HF87" s="83"/>
      <c r="HG87" s="83"/>
      <c r="HH87" s="83"/>
      <c r="HI87" s="83"/>
      <c r="HJ87" s="83"/>
      <c r="HK87" s="83"/>
      <c r="HL87" s="83"/>
      <c r="HM87" s="83"/>
      <c r="HN87" s="83"/>
      <c r="HO87" s="83"/>
    </row>
    <row r="88" s="16" customFormat="1" spans="1:223">
      <c r="A88" s="55"/>
      <c r="B88" s="19" t="s">
        <v>232</v>
      </c>
      <c r="C88" s="56"/>
      <c r="D88" s="59"/>
      <c r="E88" s="53" t="s">
        <v>233</v>
      </c>
      <c r="H88" s="54"/>
      <c r="I88" s="50"/>
      <c r="J88" s="50"/>
      <c r="K88" s="50"/>
      <c r="L88" s="50"/>
      <c r="M88" s="82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83"/>
      <c r="BG88" s="83"/>
      <c r="BH88" s="83"/>
      <c r="BI88" s="83"/>
      <c r="BJ88" s="83"/>
      <c r="BK88" s="83"/>
      <c r="BL88" s="83"/>
      <c r="BM88" s="83"/>
      <c r="BN88" s="83"/>
      <c r="BO88" s="83"/>
      <c r="BP88" s="83"/>
      <c r="BQ88" s="83"/>
      <c r="BR88" s="83"/>
      <c r="BS88" s="83"/>
      <c r="BT88" s="83"/>
      <c r="BU88" s="83"/>
      <c r="BV88" s="83"/>
      <c r="BW88" s="83"/>
      <c r="BX88" s="83"/>
      <c r="BY88" s="83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  <c r="CP88" s="83"/>
      <c r="CQ88" s="83"/>
      <c r="CR88" s="83"/>
      <c r="CS88" s="83"/>
      <c r="CT88" s="83"/>
      <c r="CU88" s="83"/>
      <c r="CV88" s="83"/>
      <c r="CW88" s="83"/>
      <c r="CX88" s="83"/>
      <c r="CY88" s="83"/>
      <c r="CZ88" s="83"/>
      <c r="DA88" s="83"/>
      <c r="DB88" s="83"/>
      <c r="DC88" s="83"/>
      <c r="DD88" s="83"/>
      <c r="DE88" s="83"/>
      <c r="DF88" s="83"/>
      <c r="DG88" s="83"/>
      <c r="DH88" s="83"/>
      <c r="DI88" s="83"/>
      <c r="DJ88" s="83"/>
      <c r="DK88" s="83"/>
      <c r="DL88" s="83"/>
      <c r="DM88" s="83"/>
      <c r="DN88" s="83"/>
      <c r="DO88" s="83"/>
      <c r="DP88" s="83"/>
      <c r="DQ88" s="83"/>
      <c r="DR88" s="83"/>
      <c r="DS88" s="83"/>
      <c r="DT88" s="83"/>
      <c r="DU88" s="83"/>
      <c r="DV88" s="83"/>
      <c r="DW88" s="83"/>
      <c r="DX88" s="83"/>
      <c r="DY88" s="83"/>
      <c r="DZ88" s="83"/>
      <c r="EA88" s="83"/>
      <c r="EB88" s="83"/>
      <c r="EC88" s="83"/>
      <c r="ED88" s="83"/>
      <c r="EE88" s="83"/>
      <c r="EF88" s="83"/>
      <c r="EG88" s="83"/>
      <c r="EH88" s="83"/>
      <c r="EI88" s="83"/>
      <c r="EJ88" s="83"/>
      <c r="EK88" s="83"/>
      <c r="EL88" s="83"/>
      <c r="EM88" s="83"/>
      <c r="EN88" s="83"/>
      <c r="EO88" s="83"/>
      <c r="EP88" s="83"/>
      <c r="EQ88" s="83"/>
      <c r="ER88" s="83"/>
      <c r="ES88" s="83"/>
      <c r="ET88" s="83"/>
      <c r="EU88" s="83"/>
      <c r="EV88" s="83"/>
      <c r="EW88" s="83"/>
      <c r="EX88" s="83"/>
      <c r="EY88" s="83"/>
      <c r="EZ88" s="83"/>
      <c r="FA88" s="83"/>
      <c r="FB88" s="83"/>
      <c r="FC88" s="83"/>
      <c r="FD88" s="83"/>
      <c r="FE88" s="83"/>
      <c r="FF88" s="83"/>
      <c r="FG88" s="83"/>
      <c r="FH88" s="83"/>
      <c r="FI88" s="83"/>
      <c r="FJ88" s="83"/>
      <c r="FK88" s="83"/>
      <c r="FL88" s="83"/>
      <c r="FM88" s="83"/>
      <c r="FN88" s="83"/>
      <c r="FO88" s="83"/>
      <c r="FP88" s="83"/>
      <c r="FQ88" s="83"/>
      <c r="FR88" s="83"/>
      <c r="FS88" s="83"/>
      <c r="FT88" s="83"/>
      <c r="FU88" s="83"/>
      <c r="FV88" s="83"/>
      <c r="FW88" s="83"/>
      <c r="FX88" s="83"/>
      <c r="FY88" s="83"/>
      <c r="FZ88" s="83"/>
      <c r="GA88" s="83"/>
      <c r="GB88" s="83"/>
      <c r="GC88" s="83"/>
      <c r="GD88" s="83"/>
      <c r="GE88" s="83"/>
      <c r="GF88" s="83"/>
      <c r="GG88" s="83"/>
      <c r="GH88" s="83"/>
      <c r="GI88" s="83"/>
      <c r="GJ88" s="83"/>
      <c r="GK88" s="83"/>
      <c r="GL88" s="83"/>
      <c r="GM88" s="83"/>
      <c r="GN88" s="83"/>
      <c r="GO88" s="83"/>
      <c r="GP88" s="83"/>
      <c r="GQ88" s="83"/>
      <c r="GR88" s="83"/>
      <c r="GS88" s="83"/>
      <c r="GT88" s="83"/>
      <c r="GU88" s="83"/>
      <c r="GV88" s="83"/>
      <c r="GW88" s="83"/>
      <c r="GX88" s="83"/>
      <c r="GY88" s="83"/>
      <c r="GZ88" s="83"/>
      <c r="HA88" s="83"/>
      <c r="HB88" s="83"/>
      <c r="HC88" s="83"/>
      <c r="HD88" s="83"/>
      <c r="HE88" s="83"/>
      <c r="HF88" s="83"/>
      <c r="HG88" s="83"/>
      <c r="HH88" s="83"/>
      <c r="HI88" s="83"/>
      <c r="HJ88" s="83"/>
      <c r="HK88" s="83"/>
      <c r="HL88" s="83"/>
      <c r="HM88" s="83"/>
      <c r="HN88" s="83"/>
      <c r="HO88" s="83"/>
    </row>
    <row r="89" s="16" customFormat="1" spans="1:223">
      <c r="A89" s="55"/>
      <c r="B89" s="19" t="s">
        <v>234</v>
      </c>
      <c r="C89" s="56"/>
      <c r="D89" s="59"/>
      <c r="E89" s="53" t="s">
        <v>235</v>
      </c>
      <c r="H89" s="54"/>
      <c r="I89" s="50"/>
      <c r="J89" s="50"/>
      <c r="K89" s="50"/>
      <c r="L89" s="50"/>
      <c r="M89" s="82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83"/>
      <c r="BG89" s="83"/>
      <c r="BH89" s="83"/>
      <c r="BI89" s="83"/>
      <c r="BJ89" s="83"/>
      <c r="BK89" s="83"/>
      <c r="BL89" s="83"/>
      <c r="BM89" s="83"/>
      <c r="BN89" s="83"/>
      <c r="BO89" s="83"/>
      <c r="BP89" s="83"/>
      <c r="BQ89" s="83"/>
      <c r="BR89" s="83"/>
      <c r="BS89" s="83"/>
      <c r="BT89" s="83"/>
      <c r="BU89" s="83"/>
      <c r="BV89" s="83"/>
      <c r="BW89" s="83"/>
      <c r="BX89" s="83"/>
      <c r="BY89" s="83"/>
      <c r="BZ89" s="83"/>
      <c r="CA89" s="83"/>
      <c r="CB89" s="83"/>
      <c r="CC89" s="83"/>
      <c r="CD89" s="83"/>
      <c r="CE89" s="83"/>
      <c r="CF89" s="83"/>
      <c r="CG89" s="83"/>
      <c r="CH89" s="83"/>
      <c r="CI89" s="83"/>
      <c r="CJ89" s="83"/>
      <c r="CK89" s="83"/>
      <c r="CL89" s="83"/>
      <c r="CM89" s="83"/>
      <c r="CN89" s="83"/>
      <c r="CO89" s="83"/>
      <c r="CP89" s="83"/>
      <c r="CQ89" s="83"/>
      <c r="CR89" s="83"/>
      <c r="CS89" s="83"/>
      <c r="CT89" s="83"/>
      <c r="CU89" s="83"/>
      <c r="CV89" s="83"/>
      <c r="CW89" s="83"/>
      <c r="CX89" s="83"/>
      <c r="CY89" s="83"/>
      <c r="CZ89" s="83"/>
      <c r="DA89" s="83"/>
      <c r="DB89" s="83"/>
      <c r="DC89" s="83"/>
      <c r="DD89" s="83"/>
      <c r="DE89" s="83"/>
      <c r="DF89" s="83"/>
      <c r="DG89" s="83"/>
      <c r="DH89" s="83"/>
      <c r="DI89" s="83"/>
      <c r="DJ89" s="83"/>
      <c r="DK89" s="83"/>
      <c r="DL89" s="83"/>
      <c r="DM89" s="83"/>
      <c r="DN89" s="83"/>
      <c r="DO89" s="83"/>
      <c r="DP89" s="83"/>
      <c r="DQ89" s="83"/>
      <c r="DR89" s="83"/>
      <c r="DS89" s="83"/>
      <c r="DT89" s="83"/>
      <c r="DU89" s="83"/>
      <c r="DV89" s="83"/>
      <c r="DW89" s="83"/>
      <c r="DX89" s="83"/>
      <c r="DY89" s="83"/>
      <c r="DZ89" s="83"/>
      <c r="EA89" s="83"/>
      <c r="EB89" s="83"/>
      <c r="EC89" s="83"/>
      <c r="ED89" s="83"/>
      <c r="EE89" s="83"/>
      <c r="EF89" s="83"/>
      <c r="EG89" s="83"/>
      <c r="EH89" s="83"/>
      <c r="EI89" s="83"/>
      <c r="EJ89" s="83"/>
      <c r="EK89" s="83"/>
      <c r="EL89" s="83"/>
      <c r="EM89" s="83"/>
      <c r="EN89" s="83"/>
      <c r="EO89" s="83"/>
      <c r="EP89" s="83"/>
      <c r="EQ89" s="83"/>
      <c r="ER89" s="83"/>
      <c r="ES89" s="83"/>
      <c r="ET89" s="83"/>
      <c r="EU89" s="83"/>
      <c r="EV89" s="83"/>
      <c r="EW89" s="83"/>
      <c r="EX89" s="83"/>
      <c r="EY89" s="83"/>
      <c r="EZ89" s="83"/>
      <c r="FA89" s="83"/>
      <c r="FB89" s="83"/>
      <c r="FC89" s="83"/>
      <c r="FD89" s="83"/>
      <c r="FE89" s="83"/>
      <c r="FF89" s="83"/>
      <c r="FG89" s="83"/>
      <c r="FH89" s="83"/>
      <c r="FI89" s="83"/>
      <c r="FJ89" s="83"/>
      <c r="FK89" s="83"/>
      <c r="FL89" s="83"/>
      <c r="FM89" s="83"/>
      <c r="FN89" s="83"/>
      <c r="FO89" s="83"/>
      <c r="FP89" s="83"/>
      <c r="FQ89" s="83"/>
      <c r="FR89" s="83"/>
      <c r="FS89" s="83"/>
      <c r="FT89" s="83"/>
      <c r="FU89" s="83"/>
      <c r="FV89" s="83"/>
      <c r="FW89" s="83"/>
      <c r="FX89" s="83"/>
      <c r="FY89" s="83"/>
      <c r="FZ89" s="83"/>
      <c r="GA89" s="83"/>
      <c r="GB89" s="83"/>
      <c r="GC89" s="83"/>
      <c r="GD89" s="83"/>
      <c r="GE89" s="83"/>
      <c r="GF89" s="83"/>
      <c r="GG89" s="83"/>
      <c r="GH89" s="83"/>
      <c r="GI89" s="83"/>
      <c r="GJ89" s="83"/>
      <c r="GK89" s="83"/>
      <c r="GL89" s="83"/>
      <c r="GM89" s="83"/>
      <c r="GN89" s="83"/>
      <c r="GO89" s="83"/>
      <c r="GP89" s="83"/>
      <c r="GQ89" s="83"/>
      <c r="GR89" s="83"/>
      <c r="GS89" s="83"/>
      <c r="GT89" s="83"/>
      <c r="GU89" s="83"/>
      <c r="GV89" s="83"/>
      <c r="GW89" s="83"/>
      <c r="GX89" s="83"/>
      <c r="GY89" s="83"/>
      <c r="GZ89" s="83"/>
      <c r="HA89" s="83"/>
      <c r="HB89" s="83"/>
      <c r="HC89" s="83"/>
      <c r="HD89" s="83"/>
      <c r="HE89" s="83"/>
      <c r="HF89" s="83"/>
      <c r="HG89" s="83"/>
      <c r="HH89" s="83"/>
      <c r="HI89" s="83"/>
      <c r="HJ89" s="83"/>
      <c r="HK89" s="83"/>
      <c r="HL89" s="83"/>
      <c r="HM89" s="83"/>
      <c r="HN89" s="83"/>
      <c r="HO89" s="83"/>
    </row>
    <row r="90" s="16" customFormat="1" spans="1:223">
      <c r="A90" s="55"/>
      <c r="B90" s="19" t="s">
        <v>236</v>
      </c>
      <c r="C90" s="56"/>
      <c r="D90" s="59"/>
      <c r="E90" s="53" t="s">
        <v>237</v>
      </c>
      <c r="H90" s="54"/>
      <c r="I90" s="50"/>
      <c r="J90" s="50"/>
      <c r="K90" s="50"/>
      <c r="L90" s="50"/>
      <c r="M90" s="82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  <c r="BI90" s="83"/>
      <c r="BJ90" s="83"/>
      <c r="BK90" s="83"/>
      <c r="BL90" s="83"/>
      <c r="BM90" s="83"/>
      <c r="BN90" s="83"/>
      <c r="BO90" s="83"/>
      <c r="BP90" s="83"/>
      <c r="BQ90" s="83"/>
      <c r="BR90" s="83"/>
      <c r="BS90" s="83"/>
      <c r="BT90" s="83"/>
      <c r="BU90" s="83"/>
      <c r="BV90" s="83"/>
      <c r="BW90" s="83"/>
      <c r="BX90" s="83"/>
      <c r="BY90" s="83"/>
      <c r="BZ90" s="83"/>
      <c r="CA90" s="83"/>
      <c r="CB90" s="83"/>
      <c r="CC90" s="83"/>
      <c r="CD90" s="83"/>
      <c r="CE90" s="83"/>
      <c r="CF90" s="83"/>
      <c r="CG90" s="83"/>
      <c r="CH90" s="83"/>
      <c r="CI90" s="83"/>
      <c r="CJ90" s="83"/>
      <c r="CK90" s="83"/>
      <c r="CL90" s="83"/>
      <c r="CM90" s="83"/>
      <c r="CN90" s="83"/>
      <c r="CO90" s="83"/>
      <c r="CP90" s="83"/>
      <c r="CQ90" s="83"/>
      <c r="CR90" s="83"/>
      <c r="CS90" s="83"/>
      <c r="CT90" s="83"/>
      <c r="CU90" s="83"/>
      <c r="CV90" s="83"/>
      <c r="CW90" s="83"/>
      <c r="CX90" s="83"/>
      <c r="CY90" s="83"/>
      <c r="CZ90" s="83"/>
      <c r="DA90" s="83"/>
      <c r="DB90" s="83"/>
      <c r="DC90" s="83"/>
      <c r="DD90" s="83"/>
      <c r="DE90" s="83"/>
      <c r="DF90" s="83"/>
      <c r="DG90" s="83"/>
      <c r="DH90" s="83"/>
      <c r="DI90" s="83"/>
      <c r="DJ90" s="83"/>
      <c r="DK90" s="83"/>
      <c r="DL90" s="83"/>
      <c r="DM90" s="83"/>
      <c r="DN90" s="83"/>
      <c r="DO90" s="83"/>
      <c r="DP90" s="83"/>
      <c r="DQ90" s="83"/>
      <c r="DR90" s="83"/>
      <c r="DS90" s="83"/>
      <c r="DT90" s="83"/>
      <c r="DU90" s="83"/>
      <c r="DV90" s="83"/>
      <c r="DW90" s="83"/>
      <c r="DX90" s="83"/>
      <c r="DY90" s="83"/>
      <c r="DZ90" s="83"/>
      <c r="EA90" s="83"/>
      <c r="EB90" s="83"/>
      <c r="EC90" s="83"/>
      <c r="ED90" s="83"/>
      <c r="EE90" s="83"/>
      <c r="EF90" s="83"/>
      <c r="EG90" s="83"/>
      <c r="EH90" s="83"/>
      <c r="EI90" s="83"/>
      <c r="EJ90" s="83"/>
      <c r="EK90" s="83"/>
      <c r="EL90" s="83"/>
      <c r="EM90" s="83"/>
      <c r="EN90" s="83"/>
      <c r="EO90" s="83"/>
      <c r="EP90" s="83"/>
      <c r="EQ90" s="83"/>
      <c r="ER90" s="83"/>
      <c r="ES90" s="83"/>
      <c r="ET90" s="83"/>
      <c r="EU90" s="83"/>
      <c r="EV90" s="83"/>
      <c r="EW90" s="83"/>
      <c r="EX90" s="83"/>
      <c r="EY90" s="83"/>
      <c r="EZ90" s="83"/>
      <c r="FA90" s="83"/>
      <c r="FB90" s="83"/>
      <c r="FC90" s="83"/>
      <c r="FD90" s="83"/>
      <c r="FE90" s="83"/>
      <c r="FF90" s="83"/>
      <c r="FG90" s="83"/>
      <c r="FH90" s="83"/>
      <c r="FI90" s="83"/>
      <c r="FJ90" s="83"/>
      <c r="FK90" s="83"/>
      <c r="FL90" s="83"/>
      <c r="FM90" s="83"/>
      <c r="FN90" s="83"/>
      <c r="FO90" s="83"/>
      <c r="FP90" s="83"/>
      <c r="FQ90" s="83"/>
      <c r="FR90" s="83"/>
      <c r="FS90" s="83"/>
      <c r="FT90" s="83"/>
      <c r="FU90" s="83"/>
      <c r="FV90" s="83"/>
      <c r="FW90" s="83"/>
      <c r="FX90" s="83"/>
      <c r="FY90" s="83"/>
      <c r="FZ90" s="83"/>
      <c r="GA90" s="83"/>
      <c r="GB90" s="83"/>
      <c r="GC90" s="83"/>
      <c r="GD90" s="83"/>
      <c r="GE90" s="83"/>
      <c r="GF90" s="83"/>
      <c r="GG90" s="83"/>
      <c r="GH90" s="83"/>
      <c r="GI90" s="83"/>
      <c r="GJ90" s="83"/>
      <c r="GK90" s="83"/>
      <c r="GL90" s="83"/>
      <c r="GM90" s="83"/>
      <c r="GN90" s="83"/>
      <c r="GO90" s="83"/>
      <c r="GP90" s="83"/>
      <c r="GQ90" s="83"/>
      <c r="GR90" s="83"/>
      <c r="GS90" s="83"/>
      <c r="GT90" s="83"/>
      <c r="GU90" s="83"/>
      <c r="GV90" s="83"/>
      <c r="GW90" s="83"/>
      <c r="GX90" s="83"/>
      <c r="GY90" s="83"/>
      <c r="GZ90" s="83"/>
      <c r="HA90" s="83"/>
      <c r="HB90" s="83"/>
      <c r="HC90" s="83"/>
      <c r="HD90" s="83"/>
      <c r="HE90" s="83"/>
      <c r="HF90" s="83"/>
      <c r="HG90" s="83"/>
      <c r="HH90" s="83"/>
      <c r="HI90" s="83"/>
      <c r="HJ90" s="83"/>
      <c r="HK90" s="83"/>
      <c r="HL90" s="83"/>
      <c r="HM90" s="83"/>
      <c r="HN90" s="83"/>
      <c r="HO90" s="83"/>
    </row>
    <row r="91" s="16" customFormat="1" spans="1:223">
      <c r="A91" s="55"/>
      <c r="B91" s="19" t="s">
        <v>238</v>
      </c>
      <c r="C91" s="56"/>
      <c r="D91" s="59"/>
      <c r="E91" s="53" t="s">
        <v>239</v>
      </c>
      <c r="H91" s="54"/>
      <c r="I91" s="50"/>
      <c r="J91" s="50"/>
      <c r="K91" s="50"/>
      <c r="L91" s="50"/>
      <c r="M91" s="82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83"/>
      <c r="BH91" s="83"/>
      <c r="BI91" s="83"/>
      <c r="BJ91" s="83"/>
      <c r="BK91" s="83"/>
      <c r="BL91" s="83"/>
      <c r="BM91" s="83"/>
      <c r="BN91" s="83"/>
      <c r="BO91" s="83"/>
      <c r="BP91" s="83"/>
      <c r="BQ91" s="83"/>
      <c r="BR91" s="83"/>
      <c r="BS91" s="83"/>
      <c r="BT91" s="83"/>
      <c r="BU91" s="83"/>
      <c r="BV91" s="83"/>
      <c r="BW91" s="83"/>
      <c r="BX91" s="83"/>
      <c r="BY91" s="83"/>
      <c r="BZ91" s="83"/>
      <c r="CA91" s="83"/>
      <c r="CB91" s="83"/>
      <c r="CC91" s="83"/>
      <c r="CD91" s="83"/>
      <c r="CE91" s="83"/>
      <c r="CF91" s="83"/>
      <c r="CG91" s="83"/>
      <c r="CH91" s="83"/>
      <c r="CI91" s="83"/>
      <c r="CJ91" s="83"/>
      <c r="CK91" s="83"/>
      <c r="CL91" s="83"/>
      <c r="CM91" s="83"/>
      <c r="CN91" s="83"/>
      <c r="CO91" s="83"/>
      <c r="CP91" s="83"/>
      <c r="CQ91" s="83"/>
      <c r="CR91" s="83"/>
      <c r="CS91" s="83"/>
      <c r="CT91" s="83"/>
      <c r="CU91" s="83"/>
      <c r="CV91" s="83"/>
      <c r="CW91" s="83"/>
      <c r="CX91" s="83"/>
      <c r="CY91" s="83"/>
      <c r="CZ91" s="83"/>
      <c r="DA91" s="83"/>
      <c r="DB91" s="83"/>
      <c r="DC91" s="83"/>
      <c r="DD91" s="83"/>
      <c r="DE91" s="83"/>
      <c r="DF91" s="83"/>
      <c r="DG91" s="83"/>
      <c r="DH91" s="83"/>
      <c r="DI91" s="83"/>
      <c r="DJ91" s="83"/>
      <c r="DK91" s="83"/>
      <c r="DL91" s="83"/>
      <c r="DM91" s="83"/>
      <c r="DN91" s="83"/>
      <c r="DO91" s="83"/>
      <c r="DP91" s="83"/>
      <c r="DQ91" s="83"/>
      <c r="DR91" s="83"/>
      <c r="DS91" s="83"/>
      <c r="DT91" s="83"/>
      <c r="DU91" s="83"/>
      <c r="DV91" s="83"/>
      <c r="DW91" s="83"/>
      <c r="DX91" s="83"/>
      <c r="DY91" s="83"/>
      <c r="DZ91" s="83"/>
      <c r="EA91" s="83"/>
      <c r="EB91" s="83"/>
      <c r="EC91" s="83"/>
      <c r="ED91" s="83"/>
      <c r="EE91" s="83"/>
      <c r="EF91" s="83"/>
      <c r="EG91" s="83"/>
      <c r="EH91" s="83"/>
      <c r="EI91" s="83"/>
      <c r="EJ91" s="83"/>
      <c r="EK91" s="83"/>
      <c r="EL91" s="83"/>
      <c r="EM91" s="83"/>
      <c r="EN91" s="83"/>
      <c r="EO91" s="83"/>
      <c r="EP91" s="83"/>
      <c r="EQ91" s="83"/>
      <c r="ER91" s="83"/>
      <c r="ES91" s="83"/>
      <c r="ET91" s="83"/>
      <c r="EU91" s="83"/>
      <c r="EV91" s="83"/>
      <c r="EW91" s="83"/>
      <c r="EX91" s="83"/>
      <c r="EY91" s="83"/>
      <c r="EZ91" s="83"/>
      <c r="FA91" s="83"/>
      <c r="FB91" s="83"/>
      <c r="FC91" s="83"/>
      <c r="FD91" s="83"/>
      <c r="FE91" s="83"/>
      <c r="FF91" s="83"/>
      <c r="FG91" s="83"/>
      <c r="FH91" s="83"/>
      <c r="FI91" s="83"/>
      <c r="FJ91" s="83"/>
      <c r="FK91" s="83"/>
      <c r="FL91" s="83"/>
      <c r="FM91" s="83"/>
      <c r="FN91" s="83"/>
      <c r="FO91" s="83"/>
      <c r="FP91" s="83"/>
      <c r="FQ91" s="83"/>
      <c r="FR91" s="83"/>
      <c r="FS91" s="83"/>
      <c r="FT91" s="83"/>
      <c r="FU91" s="83"/>
      <c r="FV91" s="83"/>
      <c r="FW91" s="83"/>
      <c r="FX91" s="83"/>
      <c r="FY91" s="83"/>
      <c r="FZ91" s="83"/>
      <c r="GA91" s="83"/>
      <c r="GB91" s="83"/>
      <c r="GC91" s="83"/>
      <c r="GD91" s="83"/>
      <c r="GE91" s="83"/>
      <c r="GF91" s="83"/>
      <c r="GG91" s="83"/>
      <c r="GH91" s="83"/>
      <c r="GI91" s="83"/>
      <c r="GJ91" s="83"/>
      <c r="GK91" s="83"/>
      <c r="GL91" s="83"/>
      <c r="GM91" s="83"/>
      <c r="GN91" s="83"/>
      <c r="GO91" s="83"/>
      <c r="GP91" s="83"/>
      <c r="GQ91" s="83"/>
      <c r="GR91" s="83"/>
      <c r="GS91" s="83"/>
      <c r="GT91" s="83"/>
      <c r="GU91" s="83"/>
      <c r="GV91" s="83"/>
      <c r="GW91" s="83"/>
      <c r="GX91" s="83"/>
      <c r="GY91" s="83"/>
      <c r="GZ91" s="83"/>
      <c r="HA91" s="83"/>
      <c r="HB91" s="83"/>
      <c r="HC91" s="83"/>
      <c r="HD91" s="83"/>
      <c r="HE91" s="83"/>
      <c r="HF91" s="83"/>
      <c r="HG91" s="83"/>
      <c r="HH91" s="83"/>
      <c r="HI91" s="83"/>
      <c r="HJ91" s="83"/>
      <c r="HK91" s="83"/>
      <c r="HL91" s="83"/>
      <c r="HM91" s="83"/>
      <c r="HN91" s="83"/>
      <c r="HO91" s="83"/>
    </row>
    <row r="92" s="16" customFormat="1" spans="1:223">
      <c r="A92" s="55"/>
      <c r="B92" s="19" t="s">
        <v>240</v>
      </c>
      <c r="C92" s="56"/>
      <c r="D92" s="59"/>
      <c r="E92" s="53" t="s">
        <v>241</v>
      </c>
      <c r="H92" s="54"/>
      <c r="I92" s="50"/>
      <c r="J92" s="50"/>
      <c r="K92" s="50"/>
      <c r="L92" s="50"/>
      <c r="M92" s="82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3"/>
      <c r="BI92" s="83"/>
      <c r="BJ92" s="83"/>
      <c r="BK92" s="83"/>
      <c r="BL92" s="83"/>
      <c r="BM92" s="83"/>
      <c r="BN92" s="83"/>
      <c r="BO92" s="83"/>
      <c r="BP92" s="83"/>
      <c r="BQ92" s="83"/>
      <c r="BR92" s="83"/>
      <c r="BS92" s="83"/>
      <c r="BT92" s="83"/>
      <c r="BU92" s="83"/>
      <c r="BV92" s="83"/>
      <c r="BW92" s="83"/>
      <c r="BX92" s="83"/>
      <c r="BY92" s="83"/>
      <c r="BZ92" s="83"/>
      <c r="CA92" s="83"/>
      <c r="CB92" s="83"/>
      <c r="CC92" s="83"/>
      <c r="CD92" s="83"/>
      <c r="CE92" s="83"/>
      <c r="CF92" s="83"/>
      <c r="CG92" s="83"/>
      <c r="CH92" s="83"/>
      <c r="CI92" s="83"/>
      <c r="CJ92" s="83"/>
      <c r="CK92" s="83"/>
      <c r="CL92" s="83"/>
      <c r="CM92" s="83"/>
      <c r="CN92" s="83"/>
      <c r="CO92" s="83"/>
      <c r="CP92" s="83"/>
      <c r="CQ92" s="83"/>
      <c r="CR92" s="83"/>
      <c r="CS92" s="83"/>
      <c r="CT92" s="83"/>
      <c r="CU92" s="83"/>
      <c r="CV92" s="83"/>
      <c r="CW92" s="83"/>
      <c r="CX92" s="83"/>
      <c r="CY92" s="83"/>
      <c r="CZ92" s="83"/>
      <c r="DA92" s="83"/>
      <c r="DB92" s="83"/>
      <c r="DC92" s="83"/>
      <c r="DD92" s="83"/>
      <c r="DE92" s="83"/>
      <c r="DF92" s="83"/>
      <c r="DG92" s="83"/>
      <c r="DH92" s="83"/>
      <c r="DI92" s="83"/>
      <c r="DJ92" s="83"/>
      <c r="DK92" s="83"/>
      <c r="DL92" s="83"/>
      <c r="DM92" s="83"/>
      <c r="DN92" s="83"/>
      <c r="DO92" s="83"/>
      <c r="DP92" s="83"/>
      <c r="DQ92" s="83"/>
      <c r="DR92" s="83"/>
      <c r="DS92" s="83"/>
      <c r="DT92" s="83"/>
      <c r="DU92" s="83"/>
      <c r="DV92" s="83"/>
      <c r="DW92" s="83"/>
      <c r="DX92" s="83"/>
      <c r="DY92" s="83"/>
      <c r="DZ92" s="83"/>
      <c r="EA92" s="83"/>
      <c r="EB92" s="83"/>
      <c r="EC92" s="83"/>
      <c r="ED92" s="83"/>
      <c r="EE92" s="83"/>
      <c r="EF92" s="83"/>
      <c r="EG92" s="83"/>
      <c r="EH92" s="83"/>
      <c r="EI92" s="83"/>
      <c r="EJ92" s="83"/>
      <c r="EK92" s="83"/>
      <c r="EL92" s="83"/>
      <c r="EM92" s="83"/>
      <c r="EN92" s="83"/>
      <c r="EO92" s="83"/>
      <c r="EP92" s="83"/>
      <c r="EQ92" s="83"/>
      <c r="ER92" s="83"/>
      <c r="ES92" s="83"/>
      <c r="ET92" s="83"/>
      <c r="EU92" s="83"/>
      <c r="EV92" s="83"/>
      <c r="EW92" s="83"/>
      <c r="EX92" s="83"/>
      <c r="EY92" s="83"/>
      <c r="EZ92" s="83"/>
      <c r="FA92" s="83"/>
      <c r="FB92" s="83"/>
      <c r="FC92" s="83"/>
      <c r="FD92" s="83"/>
      <c r="FE92" s="83"/>
      <c r="FF92" s="83"/>
      <c r="FG92" s="83"/>
      <c r="FH92" s="83"/>
      <c r="FI92" s="83"/>
      <c r="FJ92" s="83"/>
      <c r="FK92" s="83"/>
      <c r="FL92" s="83"/>
      <c r="FM92" s="83"/>
      <c r="FN92" s="83"/>
      <c r="FO92" s="83"/>
      <c r="FP92" s="83"/>
      <c r="FQ92" s="83"/>
      <c r="FR92" s="83"/>
      <c r="FS92" s="83"/>
      <c r="FT92" s="83"/>
      <c r="FU92" s="83"/>
      <c r="FV92" s="83"/>
      <c r="FW92" s="83"/>
      <c r="FX92" s="83"/>
      <c r="FY92" s="83"/>
      <c r="FZ92" s="83"/>
      <c r="GA92" s="83"/>
      <c r="GB92" s="83"/>
      <c r="GC92" s="83"/>
      <c r="GD92" s="83"/>
      <c r="GE92" s="83"/>
      <c r="GF92" s="83"/>
      <c r="GG92" s="83"/>
      <c r="GH92" s="83"/>
      <c r="GI92" s="83"/>
      <c r="GJ92" s="83"/>
      <c r="GK92" s="83"/>
      <c r="GL92" s="83"/>
      <c r="GM92" s="83"/>
      <c r="GN92" s="83"/>
      <c r="GO92" s="83"/>
      <c r="GP92" s="83"/>
      <c r="GQ92" s="83"/>
      <c r="GR92" s="83"/>
      <c r="GS92" s="83"/>
      <c r="GT92" s="83"/>
      <c r="GU92" s="83"/>
      <c r="GV92" s="83"/>
      <c r="GW92" s="83"/>
      <c r="GX92" s="83"/>
      <c r="GY92" s="83"/>
      <c r="GZ92" s="83"/>
      <c r="HA92" s="83"/>
      <c r="HB92" s="83"/>
      <c r="HC92" s="83"/>
      <c r="HD92" s="83"/>
      <c r="HE92" s="83"/>
      <c r="HF92" s="83"/>
      <c r="HG92" s="83"/>
      <c r="HH92" s="83"/>
      <c r="HI92" s="83"/>
      <c r="HJ92" s="83"/>
      <c r="HK92" s="83"/>
      <c r="HL92" s="83"/>
      <c r="HM92" s="83"/>
      <c r="HN92" s="83"/>
      <c r="HO92" s="83"/>
    </row>
    <row r="93" s="16" customFormat="1" spans="1:223">
      <c r="A93" s="55"/>
      <c r="B93" s="19" t="s">
        <v>242</v>
      </c>
      <c r="C93" s="56"/>
      <c r="D93" s="59"/>
      <c r="E93" s="53" t="s">
        <v>243</v>
      </c>
      <c r="H93" s="54"/>
      <c r="I93" s="50"/>
      <c r="J93" s="50"/>
      <c r="K93" s="50"/>
      <c r="L93" s="50"/>
      <c r="M93" s="82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  <c r="BI93" s="83"/>
      <c r="BJ93" s="83"/>
      <c r="BK93" s="83"/>
      <c r="BL93" s="83"/>
      <c r="BM93" s="83"/>
      <c r="BN93" s="83"/>
      <c r="BO93" s="83"/>
      <c r="BP93" s="83"/>
      <c r="BQ93" s="83"/>
      <c r="BR93" s="83"/>
      <c r="BS93" s="83"/>
      <c r="BT93" s="83"/>
      <c r="BU93" s="83"/>
      <c r="BV93" s="83"/>
      <c r="BW93" s="83"/>
      <c r="BX93" s="83"/>
      <c r="BY93" s="83"/>
      <c r="BZ93" s="83"/>
      <c r="CA93" s="83"/>
      <c r="CB93" s="83"/>
      <c r="CC93" s="83"/>
      <c r="CD93" s="83"/>
      <c r="CE93" s="83"/>
      <c r="CF93" s="83"/>
      <c r="CG93" s="83"/>
      <c r="CH93" s="83"/>
      <c r="CI93" s="83"/>
      <c r="CJ93" s="83"/>
      <c r="CK93" s="83"/>
      <c r="CL93" s="83"/>
      <c r="CM93" s="83"/>
      <c r="CN93" s="83"/>
      <c r="CO93" s="83"/>
      <c r="CP93" s="83"/>
      <c r="CQ93" s="83"/>
      <c r="CR93" s="83"/>
      <c r="CS93" s="83"/>
      <c r="CT93" s="83"/>
      <c r="CU93" s="83"/>
      <c r="CV93" s="83"/>
      <c r="CW93" s="83"/>
      <c r="CX93" s="83"/>
      <c r="CY93" s="83"/>
      <c r="CZ93" s="83"/>
      <c r="DA93" s="83"/>
      <c r="DB93" s="83"/>
      <c r="DC93" s="83"/>
      <c r="DD93" s="83"/>
      <c r="DE93" s="83"/>
      <c r="DF93" s="83"/>
      <c r="DG93" s="83"/>
      <c r="DH93" s="83"/>
      <c r="DI93" s="83"/>
      <c r="DJ93" s="83"/>
      <c r="DK93" s="83"/>
      <c r="DL93" s="83"/>
      <c r="DM93" s="83"/>
      <c r="DN93" s="83"/>
      <c r="DO93" s="83"/>
      <c r="DP93" s="83"/>
      <c r="DQ93" s="83"/>
      <c r="DR93" s="83"/>
      <c r="DS93" s="83"/>
      <c r="DT93" s="83"/>
      <c r="DU93" s="83"/>
      <c r="DV93" s="83"/>
      <c r="DW93" s="83"/>
      <c r="DX93" s="83"/>
      <c r="DY93" s="83"/>
      <c r="DZ93" s="83"/>
      <c r="EA93" s="83"/>
      <c r="EB93" s="83"/>
      <c r="EC93" s="83"/>
      <c r="ED93" s="83"/>
      <c r="EE93" s="83"/>
      <c r="EF93" s="83"/>
      <c r="EG93" s="83"/>
      <c r="EH93" s="83"/>
      <c r="EI93" s="83"/>
      <c r="EJ93" s="83"/>
      <c r="EK93" s="83"/>
      <c r="EL93" s="83"/>
      <c r="EM93" s="83"/>
      <c r="EN93" s="83"/>
      <c r="EO93" s="83"/>
      <c r="EP93" s="83"/>
      <c r="EQ93" s="83"/>
      <c r="ER93" s="83"/>
      <c r="ES93" s="83"/>
      <c r="ET93" s="83"/>
      <c r="EU93" s="83"/>
      <c r="EV93" s="83"/>
      <c r="EW93" s="83"/>
      <c r="EX93" s="83"/>
      <c r="EY93" s="83"/>
      <c r="EZ93" s="83"/>
      <c r="FA93" s="83"/>
      <c r="FB93" s="83"/>
      <c r="FC93" s="83"/>
      <c r="FD93" s="83"/>
      <c r="FE93" s="83"/>
      <c r="FF93" s="83"/>
      <c r="FG93" s="83"/>
      <c r="FH93" s="83"/>
      <c r="FI93" s="83"/>
      <c r="FJ93" s="83"/>
      <c r="FK93" s="83"/>
      <c r="FL93" s="83"/>
      <c r="FM93" s="83"/>
      <c r="FN93" s="83"/>
      <c r="FO93" s="83"/>
      <c r="FP93" s="83"/>
      <c r="FQ93" s="83"/>
      <c r="FR93" s="83"/>
      <c r="FS93" s="83"/>
      <c r="FT93" s="83"/>
      <c r="FU93" s="83"/>
      <c r="FV93" s="83"/>
      <c r="FW93" s="83"/>
      <c r="FX93" s="83"/>
      <c r="FY93" s="83"/>
      <c r="FZ93" s="83"/>
      <c r="GA93" s="83"/>
      <c r="GB93" s="83"/>
      <c r="GC93" s="83"/>
      <c r="GD93" s="83"/>
      <c r="GE93" s="83"/>
      <c r="GF93" s="83"/>
      <c r="GG93" s="83"/>
      <c r="GH93" s="83"/>
      <c r="GI93" s="83"/>
      <c r="GJ93" s="83"/>
      <c r="GK93" s="83"/>
      <c r="GL93" s="83"/>
      <c r="GM93" s="83"/>
      <c r="GN93" s="83"/>
      <c r="GO93" s="83"/>
      <c r="GP93" s="83"/>
      <c r="GQ93" s="83"/>
      <c r="GR93" s="83"/>
      <c r="GS93" s="83"/>
      <c r="GT93" s="83"/>
      <c r="GU93" s="83"/>
      <c r="GV93" s="83"/>
      <c r="GW93" s="83"/>
      <c r="GX93" s="83"/>
      <c r="GY93" s="83"/>
      <c r="GZ93" s="83"/>
      <c r="HA93" s="83"/>
      <c r="HB93" s="83"/>
      <c r="HC93" s="83"/>
      <c r="HD93" s="83"/>
      <c r="HE93" s="83"/>
      <c r="HF93" s="83"/>
      <c r="HG93" s="83"/>
      <c r="HH93" s="83"/>
      <c r="HI93" s="83"/>
      <c r="HJ93" s="83"/>
      <c r="HK93" s="83"/>
      <c r="HL93" s="83"/>
      <c r="HM93" s="83"/>
      <c r="HN93" s="83"/>
      <c r="HO93" s="83"/>
    </row>
    <row r="94" s="16" customFormat="1" spans="1:223">
      <c r="A94" s="55"/>
      <c r="B94" s="19" t="s">
        <v>244</v>
      </c>
      <c r="C94" s="56"/>
      <c r="D94" s="59"/>
      <c r="E94" s="53" t="s">
        <v>245</v>
      </c>
      <c r="H94" s="54"/>
      <c r="I94" s="50"/>
      <c r="J94" s="50"/>
      <c r="K94" s="50"/>
      <c r="L94" s="50"/>
      <c r="M94" s="82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83"/>
      <c r="BG94" s="83"/>
      <c r="BH94" s="83"/>
      <c r="BI94" s="83"/>
      <c r="BJ94" s="83"/>
      <c r="BK94" s="83"/>
      <c r="BL94" s="83"/>
      <c r="BM94" s="83"/>
      <c r="BN94" s="83"/>
      <c r="BO94" s="83"/>
      <c r="BP94" s="83"/>
      <c r="BQ94" s="83"/>
      <c r="BR94" s="83"/>
      <c r="BS94" s="83"/>
      <c r="BT94" s="83"/>
      <c r="BU94" s="83"/>
      <c r="BV94" s="83"/>
      <c r="BW94" s="83"/>
      <c r="BX94" s="83"/>
      <c r="BY94" s="83"/>
      <c r="BZ94" s="83"/>
      <c r="CA94" s="83"/>
      <c r="CB94" s="83"/>
      <c r="CC94" s="83"/>
      <c r="CD94" s="83"/>
      <c r="CE94" s="83"/>
      <c r="CF94" s="83"/>
      <c r="CG94" s="83"/>
      <c r="CH94" s="83"/>
      <c r="CI94" s="83"/>
      <c r="CJ94" s="83"/>
      <c r="CK94" s="83"/>
      <c r="CL94" s="83"/>
      <c r="CM94" s="83"/>
      <c r="CN94" s="83"/>
      <c r="CO94" s="83"/>
      <c r="CP94" s="83"/>
      <c r="CQ94" s="83"/>
      <c r="CR94" s="83"/>
      <c r="CS94" s="83"/>
      <c r="CT94" s="83"/>
      <c r="CU94" s="83"/>
      <c r="CV94" s="83"/>
      <c r="CW94" s="83"/>
      <c r="CX94" s="83"/>
      <c r="CY94" s="83"/>
      <c r="CZ94" s="83"/>
      <c r="DA94" s="83"/>
      <c r="DB94" s="83"/>
      <c r="DC94" s="83"/>
      <c r="DD94" s="83"/>
      <c r="DE94" s="83"/>
      <c r="DF94" s="83"/>
      <c r="DG94" s="83"/>
      <c r="DH94" s="83"/>
      <c r="DI94" s="83"/>
      <c r="DJ94" s="83"/>
      <c r="DK94" s="83"/>
      <c r="DL94" s="83"/>
      <c r="DM94" s="83"/>
      <c r="DN94" s="83"/>
      <c r="DO94" s="83"/>
      <c r="DP94" s="83"/>
      <c r="DQ94" s="83"/>
      <c r="DR94" s="83"/>
      <c r="DS94" s="83"/>
      <c r="DT94" s="83"/>
      <c r="DU94" s="83"/>
      <c r="DV94" s="83"/>
      <c r="DW94" s="83"/>
      <c r="DX94" s="83"/>
      <c r="DY94" s="83"/>
      <c r="DZ94" s="83"/>
      <c r="EA94" s="83"/>
      <c r="EB94" s="83"/>
      <c r="EC94" s="83"/>
      <c r="ED94" s="83"/>
      <c r="EE94" s="83"/>
      <c r="EF94" s="83"/>
      <c r="EG94" s="83"/>
      <c r="EH94" s="83"/>
      <c r="EI94" s="83"/>
      <c r="EJ94" s="83"/>
      <c r="EK94" s="83"/>
      <c r="EL94" s="83"/>
      <c r="EM94" s="83"/>
      <c r="EN94" s="83"/>
      <c r="EO94" s="83"/>
      <c r="EP94" s="83"/>
      <c r="EQ94" s="83"/>
      <c r="ER94" s="83"/>
      <c r="ES94" s="83"/>
      <c r="ET94" s="83"/>
      <c r="EU94" s="83"/>
      <c r="EV94" s="83"/>
      <c r="EW94" s="83"/>
      <c r="EX94" s="83"/>
      <c r="EY94" s="83"/>
      <c r="EZ94" s="83"/>
      <c r="FA94" s="83"/>
      <c r="FB94" s="83"/>
      <c r="FC94" s="83"/>
      <c r="FD94" s="83"/>
      <c r="FE94" s="83"/>
      <c r="FF94" s="83"/>
      <c r="FG94" s="83"/>
      <c r="FH94" s="83"/>
      <c r="FI94" s="83"/>
      <c r="FJ94" s="83"/>
      <c r="FK94" s="83"/>
      <c r="FL94" s="83"/>
      <c r="FM94" s="83"/>
      <c r="FN94" s="83"/>
      <c r="FO94" s="83"/>
      <c r="FP94" s="83"/>
      <c r="FQ94" s="83"/>
      <c r="FR94" s="83"/>
      <c r="FS94" s="83"/>
      <c r="FT94" s="83"/>
      <c r="FU94" s="83"/>
      <c r="FV94" s="83"/>
      <c r="FW94" s="83"/>
      <c r="FX94" s="83"/>
      <c r="FY94" s="83"/>
      <c r="FZ94" s="83"/>
      <c r="GA94" s="83"/>
      <c r="GB94" s="83"/>
      <c r="GC94" s="83"/>
      <c r="GD94" s="83"/>
      <c r="GE94" s="83"/>
      <c r="GF94" s="83"/>
      <c r="GG94" s="83"/>
      <c r="GH94" s="83"/>
      <c r="GI94" s="83"/>
      <c r="GJ94" s="83"/>
      <c r="GK94" s="83"/>
      <c r="GL94" s="83"/>
      <c r="GM94" s="83"/>
      <c r="GN94" s="83"/>
      <c r="GO94" s="83"/>
      <c r="GP94" s="83"/>
      <c r="GQ94" s="83"/>
      <c r="GR94" s="83"/>
      <c r="GS94" s="83"/>
      <c r="GT94" s="83"/>
      <c r="GU94" s="83"/>
      <c r="GV94" s="83"/>
      <c r="GW94" s="83"/>
      <c r="GX94" s="83"/>
      <c r="GY94" s="83"/>
      <c r="GZ94" s="83"/>
      <c r="HA94" s="83"/>
      <c r="HB94" s="83"/>
      <c r="HC94" s="83"/>
      <c r="HD94" s="83"/>
      <c r="HE94" s="83"/>
      <c r="HF94" s="83"/>
      <c r="HG94" s="83"/>
      <c r="HH94" s="83"/>
      <c r="HI94" s="83"/>
      <c r="HJ94" s="83"/>
      <c r="HK94" s="83"/>
      <c r="HL94" s="83"/>
      <c r="HM94" s="83"/>
      <c r="HN94" s="83"/>
      <c r="HO94" s="83"/>
    </row>
    <row r="95" s="16" customFormat="1" spans="1:223">
      <c r="A95" s="55"/>
      <c r="B95" s="19" t="s">
        <v>246</v>
      </c>
      <c r="C95" s="56"/>
      <c r="D95" s="59"/>
      <c r="E95" s="53" t="s">
        <v>247</v>
      </c>
      <c r="H95" s="54"/>
      <c r="I95" s="50"/>
      <c r="J95" s="50"/>
      <c r="K95" s="50"/>
      <c r="L95" s="50"/>
      <c r="M95" s="82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83"/>
      <c r="BG95" s="83"/>
      <c r="BH95" s="83"/>
      <c r="BI95" s="83"/>
      <c r="BJ95" s="83"/>
      <c r="BK95" s="83"/>
      <c r="BL95" s="83"/>
      <c r="BM95" s="83"/>
      <c r="BN95" s="83"/>
      <c r="BO95" s="83"/>
      <c r="BP95" s="83"/>
      <c r="BQ95" s="83"/>
      <c r="BR95" s="83"/>
      <c r="BS95" s="83"/>
      <c r="BT95" s="83"/>
      <c r="BU95" s="83"/>
      <c r="BV95" s="83"/>
      <c r="BW95" s="83"/>
      <c r="BX95" s="83"/>
      <c r="BY95" s="83"/>
      <c r="BZ95" s="83"/>
      <c r="CA95" s="83"/>
      <c r="CB95" s="83"/>
      <c r="CC95" s="83"/>
      <c r="CD95" s="83"/>
      <c r="CE95" s="83"/>
      <c r="CF95" s="83"/>
      <c r="CG95" s="83"/>
      <c r="CH95" s="83"/>
      <c r="CI95" s="83"/>
      <c r="CJ95" s="83"/>
      <c r="CK95" s="83"/>
      <c r="CL95" s="83"/>
      <c r="CM95" s="83"/>
      <c r="CN95" s="83"/>
      <c r="CO95" s="83"/>
      <c r="CP95" s="83"/>
      <c r="CQ95" s="83"/>
      <c r="CR95" s="83"/>
      <c r="CS95" s="83"/>
      <c r="CT95" s="83"/>
      <c r="CU95" s="83"/>
      <c r="CV95" s="83"/>
      <c r="CW95" s="83"/>
      <c r="CX95" s="83"/>
      <c r="CY95" s="83"/>
      <c r="CZ95" s="83"/>
      <c r="DA95" s="83"/>
      <c r="DB95" s="83"/>
      <c r="DC95" s="83"/>
      <c r="DD95" s="83"/>
      <c r="DE95" s="83"/>
      <c r="DF95" s="83"/>
      <c r="DG95" s="83"/>
      <c r="DH95" s="83"/>
      <c r="DI95" s="83"/>
      <c r="DJ95" s="83"/>
      <c r="DK95" s="83"/>
      <c r="DL95" s="83"/>
      <c r="DM95" s="83"/>
      <c r="DN95" s="83"/>
      <c r="DO95" s="83"/>
      <c r="DP95" s="83"/>
      <c r="DQ95" s="83"/>
      <c r="DR95" s="83"/>
      <c r="DS95" s="83"/>
      <c r="DT95" s="83"/>
      <c r="DU95" s="83"/>
      <c r="DV95" s="83"/>
      <c r="DW95" s="83"/>
      <c r="DX95" s="83"/>
      <c r="DY95" s="83"/>
      <c r="DZ95" s="83"/>
      <c r="EA95" s="83"/>
      <c r="EB95" s="83"/>
      <c r="EC95" s="83"/>
      <c r="ED95" s="83"/>
      <c r="EE95" s="83"/>
      <c r="EF95" s="83"/>
      <c r="EG95" s="83"/>
      <c r="EH95" s="83"/>
      <c r="EI95" s="83"/>
      <c r="EJ95" s="83"/>
      <c r="EK95" s="83"/>
      <c r="EL95" s="83"/>
      <c r="EM95" s="83"/>
      <c r="EN95" s="83"/>
      <c r="EO95" s="83"/>
      <c r="EP95" s="83"/>
      <c r="EQ95" s="83"/>
      <c r="ER95" s="83"/>
      <c r="ES95" s="83"/>
      <c r="ET95" s="83"/>
      <c r="EU95" s="83"/>
      <c r="EV95" s="83"/>
      <c r="EW95" s="83"/>
      <c r="EX95" s="83"/>
      <c r="EY95" s="83"/>
      <c r="EZ95" s="83"/>
      <c r="FA95" s="83"/>
      <c r="FB95" s="83"/>
      <c r="FC95" s="83"/>
      <c r="FD95" s="83"/>
      <c r="FE95" s="83"/>
      <c r="FF95" s="83"/>
      <c r="FG95" s="83"/>
      <c r="FH95" s="83"/>
      <c r="FI95" s="83"/>
      <c r="FJ95" s="83"/>
      <c r="FK95" s="83"/>
      <c r="FL95" s="83"/>
      <c r="FM95" s="83"/>
      <c r="FN95" s="83"/>
      <c r="FO95" s="83"/>
      <c r="FP95" s="83"/>
      <c r="FQ95" s="83"/>
      <c r="FR95" s="83"/>
      <c r="FS95" s="83"/>
      <c r="FT95" s="83"/>
      <c r="FU95" s="83"/>
      <c r="FV95" s="83"/>
      <c r="FW95" s="83"/>
      <c r="FX95" s="83"/>
      <c r="FY95" s="83"/>
      <c r="FZ95" s="83"/>
      <c r="GA95" s="83"/>
      <c r="GB95" s="83"/>
      <c r="GC95" s="83"/>
      <c r="GD95" s="83"/>
      <c r="GE95" s="83"/>
      <c r="GF95" s="83"/>
      <c r="GG95" s="83"/>
      <c r="GH95" s="83"/>
      <c r="GI95" s="83"/>
      <c r="GJ95" s="83"/>
      <c r="GK95" s="83"/>
      <c r="GL95" s="83"/>
      <c r="GM95" s="83"/>
      <c r="GN95" s="83"/>
      <c r="GO95" s="83"/>
      <c r="GP95" s="83"/>
      <c r="GQ95" s="83"/>
      <c r="GR95" s="83"/>
      <c r="GS95" s="83"/>
      <c r="GT95" s="83"/>
      <c r="GU95" s="83"/>
      <c r="GV95" s="83"/>
      <c r="GW95" s="83"/>
      <c r="GX95" s="83"/>
      <c r="GY95" s="83"/>
      <c r="GZ95" s="83"/>
      <c r="HA95" s="83"/>
      <c r="HB95" s="83"/>
      <c r="HC95" s="83"/>
      <c r="HD95" s="83"/>
      <c r="HE95" s="83"/>
      <c r="HF95" s="83"/>
      <c r="HG95" s="83"/>
      <c r="HH95" s="83"/>
      <c r="HI95" s="83"/>
      <c r="HJ95" s="83"/>
      <c r="HK95" s="83"/>
      <c r="HL95" s="83"/>
      <c r="HM95" s="83"/>
      <c r="HN95" s="83"/>
      <c r="HO95" s="83"/>
    </row>
    <row r="96" s="16" customFormat="1" spans="1:223">
      <c r="A96" s="55"/>
      <c r="B96" s="19" t="s">
        <v>248</v>
      </c>
      <c r="C96" s="56"/>
      <c r="D96" s="59"/>
      <c r="E96" s="53" t="s">
        <v>249</v>
      </c>
      <c r="H96" s="54"/>
      <c r="I96" s="50"/>
      <c r="J96" s="50"/>
      <c r="K96" s="50"/>
      <c r="L96" s="50"/>
      <c r="M96" s="82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83"/>
      <c r="BG96" s="83"/>
      <c r="BH96" s="83"/>
      <c r="BI96" s="83"/>
      <c r="BJ96" s="83"/>
      <c r="BK96" s="83"/>
      <c r="BL96" s="83"/>
      <c r="BM96" s="83"/>
      <c r="BN96" s="83"/>
      <c r="BO96" s="83"/>
      <c r="BP96" s="83"/>
      <c r="BQ96" s="83"/>
      <c r="BR96" s="83"/>
      <c r="BS96" s="83"/>
      <c r="BT96" s="83"/>
      <c r="BU96" s="83"/>
      <c r="BV96" s="83"/>
      <c r="BW96" s="83"/>
      <c r="BX96" s="83"/>
      <c r="BY96" s="83"/>
      <c r="BZ96" s="83"/>
      <c r="CA96" s="83"/>
      <c r="CB96" s="83"/>
      <c r="CC96" s="83"/>
      <c r="CD96" s="83"/>
      <c r="CE96" s="83"/>
      <c r="CF96" s="83"/>
      <c r="CG96" s="83"/>
      <c r="CH96" s="83"/>
      <c r="CI96" s="83"/>
      <c r="CJ96" s="83"/>
      <c r="CK96" s="83"/>
      <c r="CL96" s="83"/>
      <c r="CM96" s="83"/>
      <c r="CN96" s="83"/>
      <c r="CO96" s="83"/>
      <c r="CP96" s="83"/>
      <c r="CQ96" s="83"/>
      <c r="CR96" s="83"/>
      <c r="CS96" s="83"/>
      <c r="CT96" s="83"/>
      <c r="CU96" s="83"/>
      <c r="CV96" s="83"/>
      <c r="CW96" s="83"/>
      <c r="CX96" s="83"/>
      <c r="CY96" s="83"/>
      <c r="CZ96" s="83"/>
      <c r="DA96" s="83"/>
      <c r="DB96" s="83"/>
      <c r="DC96" s="83"/>
      <c r="DD96" s="83"/>
      <c r="DE96" s="83"/>
      <c r="DF96" s="83"/>
      <c r="DG96" s="83"/>
      <c r="DH96" s="83"/>
      <c r="DI96" s="83"/>
      <c r="DJ96" s="83"/>
      <c r="DK96" s="83"/>
      <c r="DL96" s="83"/>
      <c r="DM96" s="83"/>
      <c r="DN96" s="83"/>
      <c r="DO96" s="83"/>
      <c r="DP96" s="83"/>
      <c r="DQ96" s="83"/>
      <c r="DR96" s="83"/>
      <c r="DS96" s="83"/>
      <c r="DT96" s="83"/>
      <c r="DU96" s="83"/>
      <c r="DV96" s="83"/>
      <c r="DW96" s="83"/>
      <c r="DX96" s="83"/>
      <c r="DY96" s="83"/>
      <c r="DZ96" s="83"/>
      <c r="EA96" s="83"/>
      <c r="EB96" s="83"/>
      <c r="EC96" s="83"/>
      <c r="ED96" s="83"/>
      <c r="EE96" s="83"/>
      <c r="EF96" s="83"/>
      <c r="EG96" s="83"/>
      <c r="EH96" s="83"/>
      <c r="EI96" s="83"/>
      <c r="EJ96" s="83"/>
      <c r="EK96" s="83"/>
      <c r="EL96" s="83"/>
      <c r="EM96" s="83"/>
      <c r="EN96" s="83"/>
      <c r="EO96" s="83"/>
      <c r="EP96" s="83"/>
      <c r="EQ96" s="83"/>
      <c r="ER96" s="83"/>
      <c r="ES96" s="83"/>
      <c r="ET96" s="83"/>
      <c r="EU96" s="83"/>
      <c r="EV96" s="83"/>
      <c r="EW96" s="83"/>
      <c r="EX96" s="83"/>
      <c r="EY96" s="83"/>
      <c r="EZ96" s="83"/>
      <c r="FA96" s="83"/>
      <c r="FB96" s="83"/>
      <c r="FC96" s="83"/>
      <c r="FD96" s="83"/>
      <c r="FE96" s="83"/>
      <c r="FF96" s="83"/>
      <c r="FG96" s="83"/>
      <c r="FH96" s="83"/>
      <c r="FI96" s="83"/>
      <c r="FJ96" s="83"/>
      <c r="FK96" s="83"/>
      <c r="FL96" s="83"/>
      <c r="FM96" s="83"/>
      <c r="FN96" s="83"/>
      <c r="FO96" s="83"/>
      <c r="FP96" s="83"/>
      <c r="FQ96" s="83"/>
      <c r="FR96" s="83"/>
      <c r="FS96" s="83"/>
      <c r="FT96" s="83"/>
      <c r="FU96" s="83"/>
      <c r="FV96" s="83"/>
      <c r="FW96" s="83"/>
      <c r="FX96" s="83"/>
      <c r="FY96" s="83"/>
      <c r="FZ96" s="83"/>
      <c r="GA96" s="83"/>
      <c r="GB96" s="83"/>
      <c r="GC96" s="83"/>
      <c r="GD96" s="83"/>
      <c r="GE96" s="83"/>
      <c r="GF96" s="83"/>
      <c r="GG96" s="83"/>
      <c r="GH96" s="83"/>
      <c r="GI96" s="83"/>
      <c r="GJ96" s="83"/>
      <c r="GK96" s="83"/>
      <c r="GL96" s="83"/>
      <c r="GM96" s="83"/>
      <c r="GN96" s="83"/>
      <c r="GO96" s="83"/>
      <c r="GP96" s="83"/>
      <c r="GQ96" s="83"/>
      <c r="GR96" s="83"/>
      <c r="GS96" s="83"/>
      <c r="GT96" s="83"/>
      <c r="GU96" s="83"/>
      <c r="GV96" s="83"/>
      <c r="GW96" s="83"/>
      <c r="GX96" s="83"/>
      <c r="GY96" s="83"/>
      <c r="GZ96" s="83"/>
      <c r="HA96" s="83"/>
      <c r="HB96" s="83"/>
      <c r="HC96" s="83"/>
      <c r="HD96" s="83"/>
      <c r="HE96" s="83"/>
      <c r="HF96" s="83"/>
      <c r="HG96" s="83"/>
      <c r="HH96" s="83"/>
      <c r="HI96" s="83"/>
      <c r="HJ96" s="83"/>
      <c r="HK96" s="83"/>
      <c r="HL96" s="83"/>
      <c r="HM96" s="83"/>
      <c r="HN96" s="83"/>
      <c r="HO96" s="83"/>
    </row>
    <row r="97" s="16" customFormat="1" spans="1:223">
      <c r="A97" s="55"/>
      <c r="B97" s="19" t="s">
        <v>250</v>
      </c>
      <c r="C97" s="56"/>
      <c r="D97" s="59"/>
      <c r="E97" s="53" t="s">
        <v>251</v>
      </c>
      <c r="H97" s="54"/>
      <c r="I97" s="50"/>
      <c r="J97" s="50"/>
      <c r="K97" s="50"/>
      <c r="L97" s="50"/>
      <c r="M97" s="82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83"/>
      <c r="BG97" s="83"/>
      <c r="BH97" s="83"/>
      <c r="BI97" s="83"/>
      <c r="BJ97" s="83"/>
      <c r="BK97" s="83"/>
      <c r="BL97" s="83"/>
      <c r="BM97" s="83"/>
      <c r="BN97" s="83"/>
      <c r="BO97" s="83"/>
      <c r="BP97" s="83"/>
      <c r="BQ97" s="83"/>
      <c r="BR97" s="83"/>
      <c r="BS97" s="83"/>
      <c r="BT97" s="83"/>
      <c r="BU97" s="83"/>
      <c r="BV97" s="83"/>
      <c r="BW97" s="83"/>
      <c r="BX97" s="83"/>
      <c r="BY97" s="83"/>
      <c r="BZ97" s="83"/>
      <c r="CA97" s="83"/>
      <c r="CB97" s="83"/>
      <c r="CC97" s="83"/>
      <c r="CD97" s="83"/>
      <c r="CE97" s="83"/>
      <c r="CF97" s="83"/>
      <c r="CG97" s="83"/>
      <c r="CH97" s="83"/>
      <c r="CI97" s="83"/>
      <c r="CJ97" s="83"/>
      <c r="CK97" s="83"/>
      <c r="CL97" s="83"/>
      <c r="CM97" s="83"/>
      <c r="CN97" s="83"/>
      <c r="CO97" s="83"/>
      <c r="CP97" s="83"/>
      <c r="CQ97" s="83"/>
      <c r="CR97" s="83"/>
      <c r="CS97" s="83"/>
      <c r="CT97" s="83"/>
      <c r="CU97" s="83"/>
      <c r="CV97" s="83"/>
      <c r="CW97" s="83"/>
      <c r="CX97" s="83"/>
      <c r="CY97" s="83"/>
      <c r="CZ97" s="83"/>
      <c r="DA97" s="83"/>
      <c r="DB97" s="83"/>
      <c r="DC97" s="83"/>
      <c r="DD97" s="83"/>
      <c r="DE97" s="83"/>
      <c r="DF97" s="83"/>
      <c r="DG97" s="83"/>
      <c r="DH97" s="83"/>
      <c r="DI97" s="83"/>
      <c r="DJ97" s="83"/>
      <c r="DK97" s="83"/>
      <c r="DL97" s="83"/>
      <c r="DM97" s="83"/>
      <c r="DN97" s="83"/>
      <c r="DO97" s="83"/>
      <c r="DP97" s="83"/>
      <c r="DQ97" s="83"/>
      <c r="DR97" s="83"/>
      <c r="DS97" s="83"/>
      <c r="DT97" s="83"/>
      <c r="DU97" s="83"/>
      <c r="DV97" s="83"/>
      <c r="DW97" s="83"/>
      <c r="DX97" s="83"/>
      <c r="DY97" s="83"/>
      <c r="DZ97" s="83"/>
      <c r="EA97" s="83"/>
      <c r="EB97" s="83"/>
      <c r="EC97" s="83"/>
      <c r="ED97" s="83"/>
      <c r="EE97" s="83"/>
      <c r="EF97" s="83"/>
      <c r="EG97" s="83"/>
      <c r="EH97" s="83"/>
      <c r="EI97" s="83"/>
      <c r="EJ97" s="83"/>
      <c r="EK97" s="83"/>
      <c r="EL97" s="83"/>
      <c r="EM97" s="83"/>
      <c r="EN97" s="83"/>
      <c r="EO97" s="83"/>
      <c r="EP97" s="83"/>
      <c r="EQ97" s="83"/>
      <c r="ER97" s="83"/>
      <c r="ES97" s="83"/>
      <c r="ET97" s="83"/>
      <c r="EU97" s="83"/>
      <c r="EV97" s="83"/>
      <c r="EW97" s="83"/>
      <c r="EX97" s="83"/>
      <c r="EY97" s="83"/>
      <c r="EZ97" s="83"/>
      <c r="FA97" s="83"/>
      <c r="FB97" s="83"/>
      <c r="FC97" s="83"/>
      <c r="FD97" s="83"/>
      <c r="FE97" s="83"/>
      <c r="FF97" s="83"/>
      <c r="FG97" s="83"/>
      <c r="FH97" s="83"/>
      <c r="FI97" s="83"/>
      <c r="FJ97" s="83"/>
      <c r="FK97" s="83"/>
      <c r="FL97" s="83"/>
      <c r="FM97" s="83"/>
      <c r="FN97" s="83"/>
      <c r="FO97" s="83"/>
      <c r="FP97" s="83"/>
      <c r="FQ97" s="83"/>
      <c r="FR97" s="83"/>
      <c r="FS97" s="83"/>
      <c r="FT97" s="83"/>
      <c r="FU97" s="83"/>
      <c r="FV97" s="83"/>
      <c r="FW97" s="83"/>
      <c r="FX97" s="83"/>
      <c r="FY97" s="83"/>
      <c r="FZ97" s="83"/>
      <c r="GA97" s="83"/>
      <c r="GB97" s="83"/>
      <c r="GC97" s="83"/>
      <c r="GD97" s="83"/>
      <c r="GE97" s="83"/>
      <c r="GF97" s="83"/>
      <c r="GG97" s="83"/>
      <c r="GH97" s="83"/>
      <c r="GI97" s="83"/>
      <c r="GJ97" s="83"/>
      <c r="GK97" s="83"/>
      <c r="GL97" s="83"/>
      <c r="GM97" s="83"/>
      <c r="GN97" s="83"/>
      <c r="GO97" s="83"/>
      <c r="GP97" s="83"/>
      <c r="GQ97" s="83"/>
      <c r="GR97" s="83"/>
      <c r="GS97" s="83"/>
      <c r="GT97" s="83"/>
      <c r="GU97" s="83"/>
      <c r="GV97" s="83"/>
      <c r="GW97" s="83"/>
      <c r="GX97" s="83"/>
      <c r="GY97" s="83"/>
      <c r="GZ97" s="83"/>
      <c r="HA97" s="83"/>
      <c r="HB97" s="83"/>
      <c r="HC97" s="83"/>
      <c r="HD97" s="83"/>
      <c r="HE97" s="83"/>
      <c r="HF97" s="83"/>
      <c r="HG97" s="83"/>
      <c r="HH97" s="83"/>
      <c r="HI97" s="83"/>
      <c r="HJ97" s="83"/>
      <c r="HK97" s="83"/>
      <c r="HL97" s="83"/>
      <c r="HM97" s="83"/>
      <c r="HN97" s="83"/>
      <c r="HO97" s="83"/>
    </row>
    <row r="98" s="16" customFormat="1" spans="1:223">
      <c r="A98" s="55"/>
      <c r="B98" s="19" t="s">
        <v>252</v>
      </c>
      <c r="C98" s="56"/>
      <c r="D98" s="59"/>
      <c r="E98" s="53" t="s">
        <v>253</v>
      </c>
      <c r="H98" s="54"/>
      <c r="I98" s="50"/>
      <c r="J98" s="50"/>
      <c r="K98" s="50"/>
      <c r="L98" s="50"/>
      <c r="M98" s="82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83"/>
      <c r="BG98" s="83"/>
      <c r="BH98" s="83"/>
      <c r="BI98" s="83"/>
      <c r="BJ98" s="83"/>
      <c r="BK98" s="83"/>
      <c r="BL98" s="83"/>
      <c r="BM98" s="83"/>
      <c r="BN98" s="83"/>
      <c r="BO98" s="83"/>
      <c r="BP98" s="83"/>
      <c r="BQ98" s="83"/>
      <c r="BR98" s="83"/>
      <c r="BS98" s="83"/>
      <c r="BT98" s="83"/>
      <c r="BU98" s="83"/>
      <c r="BV98" s="83"/>
      <c r="BW98" s="83"/>
      <c r="BX98" s="83"/>
      <c r="BY98" s="83"/>
      <c r="BZ98" s="83"/>
      <c r="CA98" s="83"/>
      <c r="CB98" s="83"/>
      <c r="CC98" s="83"/>
      <c r="CD98" s="83"/>
      <c r="CE98" s="83"/>
      <c r="CF98" s="83"/>
      <c r="CG98" s="83"/>
      <c r="CH98" s="83"/>
      <c r="CI98" s="83"/>
      <c r="CJ98" s="83"/>
      <c r="CK98" s="83"/>
      <c r="CL98" s="83"/>
      <c r="CM98" s="83"/>
      <c r="CN98" s="83"/>
      <c r="CO98" s="83"/>
      <c r="CP98" s="83"/>
      <c r="CQ98" s="83"/>
      <c r="CR98" s="83"/>
      <c r="CS98" s="83"/>
      <c r="CT98" s="83"/>
      <c r="CU98" s="83"/>
      <c r="CV98" s="83"/>
      <c r="CW98" s="83"/>
      <c r="CX98" s="83"/>
      <c r="CY98" s="83"/>
      <c r="CZ98" s="83"/>
      <c r="DA98" s="83"/>
      <c r="DB98" s="83"/>
      <c r="DC98" s="83"/>
      <c r="DD98" s="83"/>
      <c r="DE98" s="83"/>
      <c r="DF98" s="83"/>
      <c r="DG98" s="83"/>
      <c r="DH98" s="83"/>
      <c r="DI98" s="83"/>
      <c r="DJ98" s="83"/>
      <c r="DK98" s="83"/>
      <c r="DL98" s="83"/>
      <c r="DM98" s="83"/>
      <c r="DN98" s="83"/>
      <c r="DO98" s="83"/>
      <c r="DP98" s="83"/>
      <c r="DQ98" s="83"/>
      <c r="DR98" s="83"/>
      <c r="DS98" s="83"/>
      <c r="DT98" s="83"/>
      <c r="DU98" s="83"/>
      <c r="DV98" s="83"/>
      <c r="DW98" s="83"/>
      <c r="DX98" s="83"/>
      <c r="DY98" s="83"/>
      <c r="DZ98" s="83"/>
      <c r="EA98" s="83"/>
      <c r="EB98" s="83"/>
      <c r="EC98" s="83"/>
      <c r="ED98" s="83"/>
      <c r="EE98" s="83"/>
      <c r="EF98" s="83"/>
      <c r="EG98" s="83"/>
      <c r="EH98" s="83"/>
      <c r="EI98" s="83"/>
      <c r="EJ98" s="83"/>
      <c r="EK98" s="83"/>
      <c r="EL98" s="83"/>
      <c r="EM98" s="83"/>
      <c r="EN98" s="83"/>
      <c r="EO98" s="83"/>
      <c r="EP98" s="83"/>
      <c r="EQ98" s="83"/>
      <c r="ER98" s="83"/>
      <c r="ES98" s="83"/>
      <c r="ET98" s="83"/>
      <c r="EU98" s="83"/>
      <c r="EV98" s="83"/>
      <c r="EW98" s="83"/>
      <c r="EX98" s="83"/>
      <c r="EY98" s="83"/>
      <c r="EZ98" s="83"/>
      <c r="FA98" s="83"/>
      <c r="FB98" s="83"/>
      <c r="FC98" s="83"/>
      <c r="FD98" s="83"/>
      <c r="FE98" s="83"/>
      <c r="FF98" s="83"/>
      <c r="FG98" s="83"/>
      <c r="FH98" s="83"/>
      <c r="FI98" s="83"/>
      <c r="FJ98" s="83"/>
      <c r="FK98" s="83"/>
      <c r="FL98" s="83"/>
      <c r="FM98" s="83"/>
      <c r="FN98" s="83"/>
      <c r="FO98" s="83"/>
      <c r="FP98" s="83"/>
      <c r="FQ98" s="83"/>
      <c r="FR98" s="83"/>
      <c r="FS98" s="83"/>
      <c r="FT98" s="83"/>
      <c r="FU98" s="83"/>
      <c r="FV98" s="83"/>
      <c r="FW98" s="83"/>
      <c r="FX98" s="83"/>
      <c r="FY98" s="83"/>
      <c r="FZ98" s="83"/>
      <c r="GA98" s="83"/>
      <c r="GB98" s="83"/>
      <c r="GC98" s="83"/>
      <c r="GD98" s="83"/>
      <c r="GE98" s="83"/>
      <c r="GF98" s="83"/>
      <c r="GG98" s="83"/>
      <c r="GH98" s="83"/>
      <c r="GI98" s="83"/>
      <c r="GJ98" s="83"/>
      <c r="GK98" s="83"/>
      <c r="GL98" s="83"/>
      <c r="GM98" s="83"/>
      <c r="GN98" s="83"/>
      <c r="GO98" s="83"/>
      <c r="GP98" s="83"/>
      <c r="GQ98" s="83"/>
      <c r="GR98" s="83"/>
      <c r="GS98" s="83"/>
      <c r="GT98" s="83"/>
      <c r="GU98" s="83"/>
      <c r="GV98" s="83"/>
      <c r="GW98" s="83"/>
      <c r="GX98" s="83"/>
      <c r="GY98" s="83"/>
      <c r="GZ98" s="83"/>
      <c r="HA98" s="83"/>
      <c r="HB98" s="83"/>
      <c r="HC98" s="83"/>
      <c r="HD98" s="83"/>
      <c r="HE98" s="83"/>
      <c r="HF98" s="83"/>
      <c r="HG98" s="83"/>
      <c r="HH98" s="83"/>
      <c r="HI98" s="83"/>
      <c r="HJ98" s="83"/>
      <c r="HK98" s="83"/>
      <c r="HL98" s="83"/>
      <c r="HM98" s="83"/>
      <c r="HN98" s="83"/>
      <c r="HO98" s="83"/>
    </row>
    <row r="99" s="16" customFormat="1" spans="1:223">
      <c r="A99" s="55"/>
      <c r="B99" s="19" t="s">
        <v>254</v>
      </c>
      <c r="C99" s="86" t="s">
        <v>255</v>
      </c>
      <c r="D99" s="85" t="s">
        <v>256</v>
      </c>
      <c r="E99" s="53" t="s">
        <v>257</v>
      </c>
      <c r="H99" s="54"/>
      <c r="I99" s="50"/>
      <c r="J99" s="50"/>
      <c r="K99" s="50"/>
      <c r="L99" s="50"/>
      <c r="M99" s="82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/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83"/>
      <c r="BG99" s="83"/>
      <c r="BH99" s="83"/>
      <c r="BI99" s="83"/>
      <c r="BJ99" s="83"/>
      <c r="BK99" s="83"/>
      <c r="BL99" s="83"/>
      <c r="BM99" s="83"/>
      <c r="BN99" s="83"/>
      <c r="BO99" s="83"/>
      <c r="BP99" s="83"/>
      <c r="BQ99" s="83"/>
      <c r="BR99" s="83"/>
      <c r="BS99" s="83"/>
      <c r="BT99" s="83"/>
      <c r="BU99" s="83"/>
      <c r="BV99" s="83"/>
      <c r="BW99" s="83"/>
      <c r="BX99" s="83"/>
      <c r="BY99" s="83"/>
      <c r="BZ99" s="83"/>
      <c r="CA99" s="83"/>
      <c r="CB99" s="83"/>
      <c r="CC99" s="83"/>
      <c r="CD99" s="83"/>
      <c r="CE99" s="83"/>
      <c r="CF99" s="83"/>
      <c r="CG99" s="83"/>
      <c r="CH99" s="83"/>
      <c r="CI99" s="83"/>
      <c r="CJ99" s="83"/>
      <c r="CK99" s="83"/>
      <c r="CL99" s="83"/>
      <c r="CM99" s="83"/>
      <c r="CN99" s="83"/>
      <c r="CO99" s="83"/>
      <c r="CP99" s="83"/>
      <c r="CQ99" s="83"/>
      <c r="CR99" s="83"/>
      <c r="CS99" s="83"/>
      <c r="CT99" s="83"/>
      <c r="CU99" s="83"/>
      <c r="CV99" s="83"/>
      <c r="CW99" s="83"/>
      <c r="CX99" s="83"/>
      <c r="CY99" s="83"/>
      <c r="CZ99" s="83"/>
      <c r="DA99" s="83"/>
      <c r="DB99" s="83"/>
      <c r="DC99" s="83"/>
      <c r="DD99" s="83"/>
      <c r="DE99" s="83"/>
      <c r="DF99" s="83"/>
      <c r="DG99" s="83"/>
      <c r="DH99" s="83"/>
      <c r="DI99" s="83"/>
      <c r="DJ99" s="83"/>
      <c r="DK99" s="83"/>
      <c r="DL99" s="83"/>
      <c r="DM99" s="83"/>
      <c r="DN99" s="83"/>
      <c r="DO99" s="83"/>
      <c r="DP99" s="83"/>
      <c r="DQ99" s="83"/>
      <c r="DR99" s="83"/>
      <c r="DS99" s="83"/>
      <c r="DT99" s="83"/>
      <c r="DU99" s="83"/>
      <c r="DV99" s="83"/>
      <c r="DW99" s="83"/>
      <c r="DX99" s="83"/>
      <c r="DY99" s="83"/>
      <c r="DZ99" s="83"/>
      <c r="EA99" s="83"/>
      <c r="EB99" s="83"/>
      <c r="EC99" s="83"/>
      <c r="ED99" s="83"/>
      <c r="EE99" s="83"/>
      <c r="EF99" s="83"/>
      <c r="EG99" s="83"/>
      <c r="EH99" s="83"/>
      <c r="EI99" s="83"/>
      <c r="EJ99" s="83"/>
      <c r="EK99" s="83"/>
      <c r="EL99" s="83"/>
      <c r="EM99" s="83"/>
      <c r="EN99" s="83"/>
      <c r="EO99" s="83"/>
      <c r="EP99" s="83"/>
      <c r="EQ99" s="83"/>
      <c r="ER99" s="83"/>
      <c r="ES99" s="83"/>
      <c r="ET99" s="83"/>
      <c r="EU99" s="83"/>
      <c r="EV99" s="83"/>
      <c r="EW99" s="83"/>
      <c r="EX99" s="83"/>
      <c r="EY99" s="83"/>
      <c r="EZ99" s="83"/>
      <c r="FA99" s="83"/>
      <c r="FB99" s="83"/>
      <c r="FC99" s="83"/>
      <c r="FD99" s="83"/>
      <c r="FE99" s="83"/>
      <c r="FF99" s="83"/>
      <c r="FG99" s="83"/>
      <c r="FH99" s="83"/>
      <c r="FI99" s="83"/>
      <c r="FJ99" s="83"/>
      <c r="FK99" s="83"/>
      <c r="FL99" s="83"/>
      <c r="FM99" s="83"/>
      <c r="FN99" s="83"/>
      <c r="FO99" s="83"/>
      <c r="FP99" s="83"/>
      <c r="FQ99" s="83"/>
      <c r="FR99" s="83"/>
      <c r="FS99" s="83"/>
      <c r="FT99" s="83"/>
      <c r="FU99" s="83"/>
      <c r="FV99" s="83"/>
      <c r="FW99" s="83"/>
      <c r="FX99" s="83"/>
      <c r="FY99" s="83"/>
      <c r="FZ99" s="83"/>
      <c r="GA99" s="83"/>
      <c r="GB99" s="83"/>
      <c r="GC99" s="83"/>
      <c r="GD99" s="83"/>
      <c r="GE99" s="83"/>
      <c r="GF99" s="83"/>
      <c r="GG99" s="83"/>
      <c r="GH99" s="83"/>
      <c r="GI99" s="83"/>
      <c r="GJ99" s="83"/>
      <c r="GK99" s="83"/>
      <c r="GL99" s="83"/>
      <c r="GM99" s="83"/>
      <c r="GN99" s="83"/>
      <c r="GO99" s="83"/>
      <c r="GP99" s="83"/>
      <c r="GQ99" s="83"/>
      <c r="GR99" s="83"/>
      <c r="GS99" s="83"/>
      <c r="GT99" s="83"/>
      <c r="GU99" s="83"/>
      <c r="GV99" s="83"/>
      <c r="GW99" s="83"/>
      <c r="GX99" s="83"/>
      <c r="GY99" s="83"/>
      <c r="GZ99" s="83"/>
      <c r="HA99" s="83"/>
      <c r="HB99" s="83"/>
      <c r="HC99" s="83"/>
      <c r="HD99" s="83"/>
      <c r="HE99" s="83"/>
      <c r="HF99" s="83"/>
      <c r="HG99" s="83"/>
      <c r="HH99" s="83"/>
      <c r="HI99" s="83"/>
      <c r="HJ99" s="83"/>
      <c r="HK99" s="83"/>
      <c r="HL99" s="83"/>
      <c r="HM99" s="83"/>
      <c r="HN99" s="83"/>
      <c r="HO99" s="83"/>
    </row>
    <row r="100" s="16" customFormat="1" spans="1:223">
      <c r="A100" s="55"/>
      <c r="B100" s="19" t="s">
        <v>258</v>
      </c>
      <c r="C100" s="86"/>
      <c r="D100" s="59"/>
      <c r="E100" s="58" t="s">
        <v>107</v>
      </c>
      <c r="H100" s="54"/>
      <c r="I100" s="50"/>
      <c r="J100" s="50"/>
      <c r="K100" s="50"/>
      <c r="L100" s="50"/>
      <c r="M100" s="82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83"/>
      <c r="BG100" s="83"/>
      <c r="BH100" s="83"/>
      <c r="BI100" s="83"/>
      <c r="BJ100" s="83"/>
      <c r="BK100" s="83"/>
      <c r="BL100" s="83"/>
      <c r="BM100" s="83"/>
      <c r="BN100" s="83"/>
      <c r="BO100" s="83"/>
      <c r="BP100" s="83"/>
      <c r="BQ100" s="83"/>
      <c r="BR100" s="83"/>
      <c r="BS100" s="83"/>
      <c r="BT100" s="83"/>
      <c r="BU100" s="83"/>
      <c r="BV100" s="83"/>
      <c r="BW100" s="83"/>
      <c r="BX100" s="83"/>
      <c r="BY100" s="83"/>
      <c r="BZ100" s="83"/>
      <c r="CA100" s="83"/>
      <c r="CB100" s="83"/>
      <c r="CC100" s="83"/>
      <c r="CD100" s="83"/>
      <c r="CE100" s="83"/>
      <c r="CF100" s="83"/>
      <c r="CG100" s="83"/>
      <c r="CH100" s="83"/>
      <c r="CI100" s="83"/>
      <c r="CJ100" s="83"/>
      <c r="CK100" s="83"/>
      <c r="CL100" s="83"/>
      <c r="CM100" s="83"/>
      <c r="CN100" s="83"/>
      <c r="CO100" s="83"/>
      <c r="CP100" s="83"/>
      <c r="CQ100" s="83"/>
      <c r="CR100" s="83"/>
      <c r="CS100" s="83"/>
      <c r="CT100" s="83"/>
      <c r="CU100" s="83"/>
      <c r="CV100" s="83"/>
      <c r="CW100" s="83"/>
      <c r="CX100" s="83"/>
      <c r="CY100" s="83"/>
      <c r="CZ100" s="83"/>
      <c r="DA100" s="83"/>
      <c r="DB100" s="83"/>
      <c r="DC100" s="83"/>
      <c r="DD100" s="83"/>
      <c r="DE100" s="83"/>
      <c r="DF100" s="83"/>
      <c r="DG100" s="83"/>
      <c r="DH100" s="83"/>
      <c r="DI100" s="83"/>
      <c r="DJ100" s="83"/>
      <c r="DK100" s="83"/>
      <c r="DL100" s="83"/>
      <c r="DM100" s="83"/>
      <c r="DN100" s="83"/>
      <c r="DO100" s="83"/>
      <c r="DP100" s="83"/>
      <c r="DQ100" s="83"/>
      <c r="DR100" s="83"/>
      <c r="DS100" s="83"/>
      <c r="DT100" s="83"/>
      <c r="DU100" s="83"/>
      <c r="DV100" s="83"/>
      <c r="DW100" s="83"/>
      <c r="DX100" s="83"/>
      <c r="DY100" s="83"/>
      <c r="DZ100" s="83"/>
      <c r="EA100" s="83"/>
      <c r="EB100" s="83"/>
      <c r="EC100" s="83"/>
      <c r="ED100" s="83"/>
      <c r="EE100" s="83"/>
      <c r="EF100" s="83"/>
      <c r="EG100" s="83"/>
      <c r="EH100" s="83"/>
      <c r="EI100" s="83"/>
      <c r="EJ100" s="83"/>
      <c r="EK100" s="83"/>
      <c r="EL100" s="83"/>
      <c r="EM100" s="83"/>
      <c r="EN100" s="83"/>
      <c r="EO100" s="83"/>
      <c r="EP100" s="83"/>
      <c r="EQ100" s="83"/>
      <c r="ER100" s="83"/>
      <c r="ES100" s="83"/>
      <c r="ET100" s="83"/>
      <c r="EU100" s="83"/>
      <c r="EV100" s="83"/>
      <c r="EW100" s="83"/>
      <c r="EX100" s="83"/>
      <c r="EY100" s="83"/>
      <c r="EZ100" s="83"/>
      <c r="FA100" s="83"/>
      <c r="FB100" s="83"/>
      <c r="FC100" s="83"/>
      <c r="FD100" s="83"/>
      <c r="FE100" s="83"/>
      <c r="FF100" s="83"/>
      <c r="FG100" s="83"/>
      <c r="FH100" s="83"/>
      <c r="FI100" s="83"/>
      <c r="FJ100" s="83"/>
      <c r="FK100" s="83"/>
      <c r="FL100" s="83"/>
      <c r="FM100" s="83"/>
      <c r="FN100" s="83"/>
      <c r="FO100" s="83"/>
      <c r="FP100" s="83"/>
      <c r="FQ100" s="83"/>
      <c r="FR100" s="83"/>
      <c r="FS100" s="83"/>
      <c r="FT100" s="83"/>
      <c r="FU100" s="83"/>
      <c r="FV100" s="83"/>
      <c r="FW100" s="83"/>
      <c r="FX100" s="83"/>
      <c r="FY100" s="83"/>
      <c r="FZ100" s="83"/>
      <c r="GA100" s="83"/>
      <c r="GB100" s="83"/>
      <c r="GC100" s="83"/>
      <c r="GD100" s="83"/>
      <c r="GE100" s="83"/>
      <c r="GF100" s="83"/>
      <c r="GG100" s="83"/>
      <c r="GH100" s="83"/>
      <c r="GI100" s="83"/>
      <c r="GJ100" s="83"/>
      <c r="GK100" s="83"/>
      <c r="GL100" s="83"/>
      <c r="GM100" s="83"/>
      <c r="GN100" s="83"/>
      <c r="GO100" s="83"/>
      <c r="GP100" s="83"/>
      <c r="GQ100" s="83"/>
      <c r="GR100" s="83"/>
      <c r="GS100" s="83"/>
      <c r="GT100" s="83"/>
      <c r="GU100" s="83"/>
      <c r="GV100" s="83"/>
      <c r="GW100" s="83"/>
      <c r="GX100" s="83"/>
      <c r="GY100" s="83"/>
      <c r="GZ100" s="83"/>
      <c r="HA100" s="83"/>
      <c r="HB100" s="83"/>
      <c r="HC100" s="83"/>
      <c r="HD100" s="83"/>
      <c r="HE100" s="83"/>
      <c r="HF100" s="83"/>
      <c r="HG100" s="83"/>
      <c r="HH100" s="83"/>
      <c r="HI100" s="83"/>
      <c r="HJ100" s="83"/>
      <c r="HK100" s="83"/>
      <c r="HL100" s="83"/>
      <c r="HM100" s="83"/>
      <c r="HN100" s="83"/>
      <c r="HO100" s="83"/>
    </row>
    <row r="101" s="16" customFormat="1" spans="1:223">
      <c r="A101" s="55"/>
      <c r="B101" s="19" t="s">
        <v>259</v>
      </c>
      <c r="C101" s="86"/>
      <c r="D101" s="59"/>
      <c r="E101" s="58" t="s">
        <v>109</v>
      </c>
      <c r="H101" s="54"/>
      <c r="I101" s="50"/>
      <c r="J101" s="50"/>
      <c r="K101" s="50"/>
      <c r="L101" s="50"/>
      <c r="M101" s="82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83"/>
      <c r="BG101" s="83"/>
      <c r="BH101" s="83"/>
      <c r="BI101" s="83"/>
      <c r="BJ101" s="83"/>
      <c r="BK101" s="83"/>
      <c r="BL101" s="83"/>
      <c r="BM101" s="83"/>
      <c r="BN101" s="83"/>
      <c r="BO101" s="83"/>
      <c r="BP101" s="83"/>
      <c r="BQ101" s="83"/>
      <c r="BR101" s="83"/>
      <c r="BS101" s="83"/>
      <c r="BT101" s="83"/>
      <c r="BU101" s="83"/>
      <c r="BV101" s="83"/>
      <c r="BW101" s="83"/>
      <c r="BX101" s="83"/>
      <c r="BY101" s="83"/>
      <c r="BZ101" s="83"/>
      <c r="CA101" s="83"/>
      <c r="CB101" s="83"/>
      <c r="CC101" s="83"/>
      <c r="CD101" s="83"/>
      <c r="CE101" s="83"/>
      <c r="CF101" s="83"/>
      <c r="CG101" s="83"/>
      <c r="CH101" s="83"/>
      <c r="CI101" s="83"/>
      <c r="CJ101" s="83"/>
      <c r="CK101" s="83"/>
      <c r="CL101" s="83"/>
      <c r="CM101" s="83"/>
      <c r="CN101" s="83"/>
      <c r="CO101" s="83"/>
      <c r="CP101" s="83"/>
      <c r="CQ101" s="83"/>
      <c r="CR101" s="83"/>
      <c r="CS101" s="83"/>
      <c r="CT101" s="83"/>
      <c r="CU101" s="83"/>
      <c r="CV101" s="83"/>
      <c r="CW101" s="83"/>
      <c r="CX101" s="83"/>
      <c r="CY101" s="83"/>
      <c r="CZ101" s="83"/>
      <c r="DA101" s="83"/>
      <c r="DB101" s="83"/>
      <c r="DC101" s="83"/>
      <c r="DD101" s="83"/>
      <c r="DE101" s="83"/>
      <c r="DF101" s="83"/>
      <c r="DG101" s="83"/>
      <c r="DH101" s="83"/>
      <c r="DI101" s="83"/>
      <c r="DJ101" s="83"/>
      <c r="DK101" s="83"/>
      <c r="DL101" s="83"/>
      <c r="DM101" s="83"/>
      <c r="DN101" s="83"/>
      <c r="DO101" s="83"/>
      <c r="DP101" s="83"/>
      <c r="DQ101" s="83"/>
      <c r="DR101" s="83"/>
      <c r="DS101" s="83"/>
      <c r="DT101" s="83"/>
      <c r="DU101" s="83"/>
      <c r="DV101" s="83"/>
      <c r="DW101" s="83"/>
      <c r="DX101" s="83"/>
      <c r="DY101" s="83"/>
      <c r="DZ101" s="83"/>
      <c r="EA101" s="83"/>
      <c r="EB101" s="83"/>
      <c r="EC101" s="83"/>
      <c r="ED101" s="83"/>
      <c r="EE101" s="83"/>
      <c r="EF101" s="83"/>
      <c r="EG101" s="83"/>
      <c r="EH101" s="83"/>
      <c r="EI101" s="83"/>
      <c r="EJ101" s="83"/>
      <c r="EK101" s="83"/>
      <c r="EL101" s="83"/>
      <c r="EM101" s="83"/>
      <c r="EN101" s="83"/>
      <c r="EO101" s="83"/>
      <c r="EP101" s="83"/>
      <c r="EQ101" s="83"/>
      <c r="ER101" s="83"/>
      <c r="ES101" s="83"/>
      <c r="ET101" s="83"/>
      <c r="EU101" s="83"/>
      <c r="EV101" s="83"/>
      <c r="EW101" s="83"/>
      <c r="EX101" s="83"/>
      <c r="EY101" s="83"/>
      <c r="EZ101" s="83"/>
      <c r="FA101" s="83"/>
      <c r="FB101" s="83"/>
      <c r="FC101" s="83"/>
      <c r="FD101" s="83"/>
      <c r="FE101" s="83"/>
      <c r="FF101" s="83"/>
      <c r="FG101" s="83"/>
      <c r="FH101" s="83"/>
      <c r="FI101" s="83"/>
      <c r="FJ101" s="83"/>
      <c r="FK101" s="83"/>
      <c r="FL101" s="83"/>
      <c r="FM101" s="83"/>
      <c r="FN101" s="83"/>
      <c r="FO101" s="83"/>
      <c r="FP101" s="83"/>
      <c r="FQ101" s="83"/>
      <c r="FR101" s="83"/>
      <c r="FS101" s="83"/>
      <c r="FT101" s="83"/>
      <c r="FU101" s="83"/>
      <c r="FV101" s="83"/>
      <c r="FW101" s="83"/>
      <c r="FX101" s="83"/>
      <c r="FY101" s="83"/>
      <c r="FZ101" s="83"/>
      <c r="GA101" s="83"/>
      <c r="GB101" s="83"/>
      <c r="GC101" s="83"/>
      <c r="GD101" s="83"/>
      <c r="GE101" s="83"/>
      <c r="GF101" s="83"/>
      <c r="GG101" s="83"/>
      <c r="GH101" s="83"/>
      <c r="GI101" s="83"/>
      <c r="GJ101" s="83"/>
      <c r="GK101" s="83"/>
      <c r="GL101" s="83"/>
      <c r="GM101" s="83"/>
      <c r="GN101" s="83"/>
      <c r="GO101" s="83"/>
      <c r="GP101" s="83"/>
      <c r="GQ101" s="83"/>
      <c r="GR101" s="83"/>
      <c r="GS101" s="83"/>
      <c r="GT101" s="83"/>
      <c r="GU101" s="83"/>
      <c r="GV101" s="83"/>
      <c r="GW101" s="83"/>
      <c r="GX101" s="83"/>
      <c r="GY101" s="83"/>
      <c r="GZ101" s="83"/>
      <c r="HA101" s="83"/>
      <c r="HB101" s="83"/>
      <c r="HC101" s="83"/>
      <c r="HD101" s="83"/>
      <c r="HE101" s="83"/>
      <c r="HF101" s="83"/>
      <c r="HG101" s="83"/>
      <c r="HH101" s="83"/>
      <c r="HI101" s="83"/>
      <c r="HJ101" s="83"/>
      <c r="HK101" s="83"/>
      <c r="HL101" s="83"/>
      <c r="HM101" s="83"/>
      <c r="HN101" s="83"/>
      <c r="HO101" s="83"/>
    </row>
    <row r="102" s="16" customFormat="1" spans="1:223">
      <c r="A102" s="55"/>
      <c r="B102" s="19" t="s">
        <v>260</v>
      </c>
      <c r="C102" s="86"/>
      <c r="D102" s="59"/>
      <c r="E102" s="53" t="s">
        <v>261</v>
      </c>
      <c r="H102" s="54"/>
      <c r="I102" s="50"/>
      <c r="J102" s="50"/>
      <c r="K102" s="50"/>
      <c r="L102" s="50"/>
      <c r="M102" s="82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3"/>
      <c r="AW102" s="83"/>
      <c r="AX102" s="83"/>
      <c r="AY102" s="83"/>
      <c r="AZ102" s="83"/>
      <c r="BA102" s="83"/>
      <c r="BB102" s="83"/>
      <c r="BC102" s="83"/>
      <c r="BD102" s="83"/>
      <c r="BE102" s="83"/>
      <c r="BF102" s="83"/>
      <c r="BG102" s="83"/>
      <c r="BH102" s="83"/>
      <c r="BI102" s="83"/>
      <c r="BJ102" s="83"/>
      <c r="BK102" s="83"/>
      <c r="BL102" s="83"/>
      <c r="BM102" s="83"/>
      <c r="BN102" s="83"/>
      <c r="BO102" s="83"/>
      <c r="BP102" s="83"/>
      <c r="BQ102" s="83"/>
      <c r="BR102" s="83"/>
      <c r="BS102" s="83"/>
      <c r="BT102" s="83"/>
      <c r="BU102" s="83"/>
      <c r="BV102" s="83"/>
      <c r="BW102" s="83"/>
      <c r="BX102" s="83"/>
      <c r="BY102" s="83"/>
      <c r="BZ102" s="83"/>
      <c r="CA102" s="83"/>
      <c r="CB102" s="83"/>
      <c r="CC102" s="83"/>
      <c r="CD102" s="83"/>
      <c r="CE102" s="83"/>
      <c r="CF102" s="83"/>
      <c r="CG102" s="83"/>
      <c r="CH102" s="83"/>
      <c r="CI102" s="83"/>
      <c r="CJ102" s="83"/>
      <c r="CK102" s="83"/>
      <c r="CL102" s="83"/>
      <c r="CM102" s="83"/>
      <c r="CN102" s="83"/>
      <c r="CO102" s="83"/>
      <c r="CP102" s="83"/>
      <c r="CQ102" s="83"/>
      <c r="CR102" s="83"/>
      <c r="CS102" s="83"/>
      <c r="CT102" s="83"/>
      <c r="CU102" s="83"/>
      <c r="CV102" s="83"/>
      <c r="CW102" s="83"/>
      <c r="CX102" s="83"/>
      <c r="CY102" s="83"/>
      <c r="CZ102" s="83"/>
      <c r="DA102" s="83"/>
      <c r="DB102" s="83"/>
      <c r="DC102" s="83"/>
      <c r="DD102" s="83"/>
      <c r="DE102" s="83"/>
      <c r="DF102" s="83"/>
      <c r="DG102" s="83"/>
      <c r="DH102" s="83"/>
      <c r="DI102" s="83"/>
      <c r="DJ102" s="83"/>
      <c r="DK102" s="83"/>
      <c r="DL102" s="83"/>
      <c r="DM102" s="83"/>
      <c r="DN102" s="83"/>
      <c r="DO102" s="83"/>
      <c r="DP102" s="83"/>
      <c r="DQ102" s="83"/>
      <c r="DR102" s="83"/>
      <c r="DS102" s="83"/>
      <c r="DT102" s="83"/>
      <c r="DU102" s="83"/>
      <c r="DV102" s="83"/>
      <c r="DW102" s="83"/>
      <c r="DX102" s="83"/>
      <c r="DY102" s="83"/>
      <c r="DZ102" s="83"/>
      <c r="EA102" s="83"/>
      <c r="EB102" s="83"/>
      <c r="EC102" s="83"/>
      <c r="ED102" s="83"/>
      <c r="EE102" s="83"/>
      <c r="EF102" s="83"/>
      <c r="EG102" s="83"/>
      <c r="EH102" s="83"/>
      <c r="EI102" s="83"/>
      <c r="EJ102" s="83"/>
      <c r="EK102" s="83"/>
      <c r="EL102" s="83"/>
      <c r="EM102" s="83"/>
      <c r="EN102" s="83"/>
      <c r="EO102" s="83"/>
      <c r="EP102" s="83"/>
      <c r="EQ102" s="83"/>
      <c r="ER102" s="83"/>
      <c r="ES102" s="83"/>
      <c r="ET102" s="83"/>
      <c r="EU102" s="83"/>
      <c r="EV102" s="83"/>
      <c r="EW102" s="83"/>
      <c r="EX102" s="83"/>
      <c r="EY102" s="83"/>
      <c r="EZ102" s="83"/>
      <c r="FA102" s="83"/>
      <c r="FB102" s="83"/>
      <c r="FC102" s="83"/>
      <c r="FD102" s="83"/>
      <c r="FE102" s="83"/>
      <c r="FF102" s="83"/>
      <c r="FG102" s="83"/>
      <c r="FH102" s="83"/>
      <c r="FI102" s="83"/>
      <c r="FJ102" s="83"/>
      <c r="FK102" s="83"/>
      <c r="FL102" s="83"/>
      <c r="FM102" s="83"/>
      <c r="FN102" s="83"/>
      <c r="FO102" s="83"/>
      <c r="FP102" s="83"/>
      <c r="FQ102" s="83"/>
      <c r="FR102" s="83"/>
      <c r="FS102" s="83"/>
      <c r="FT102" s="83"/>
      <c r="FU102" s="83"/>
      <c r="FV102" s="83"/>
      <c r="FW102" s="83"/>
      <c r="FX102" s="83"/>
      <c r="FY102" s="83"/>
      <c r="FZ102" s="83"/>
      <c r="GA102" s="83"/>
      <c r="GB102" s="83"/>
      <c r="GC102" s="83"/>
      <c r="GD102" s="83"/>
      <c r="GE102" s="83"/>
      <c r="GF102" s="83"/>
      <c r="GG102" s="83"/>
      <c r="GH102" s="83"/>
      <c r="GI102" s="83"/>
      <c r="GJ102" s="83"/>
      <c r="GK102" s="83"/>
      <c r="GL102" s="83"/>
      <c r="GM102" s="83"/>
      <c r="GN102" s="83"/>
      <c r="GO102" s="83"/>
      <c r="GP102" s="83"/>
      <c r="GQ102" s="83"/>
      <c r="GR102" s="83"/>
      <c r="GS102" s="83"/>
      <c r="GT102" s="83"/>
      <c r="GU102" s="83"/>
      <c r="GV102" s="83"/>
      <c r="GW102" s="83"/>
      <c r="GX102" s="83"/>
      <c r="GY102" s="83"/>
      <c r="GZ102" s="83"/>
      <c r="HA102" s="83"/>
      <c r="HB102" s="83"/>
      <c r="HC102" s="83"/>
      <c r="HD102" s="83"/>
      <c r="HE102" s="83"/>
      <c r="HF102" s="83"/>
      <c r="HG102" s="83"/>
      <c r="HH102" s="83"/>
      <c r="HI102" s="83"/>
      <c r="HJ102" s="83"/>
      <c r="HK102" s="83"/>
      <c r="HL102" s="83"/>
      <c r="HM102" s="83"/>
      <c r="HN102" s="83"/>
      <c r="HO102" s="83"/>
    </row>
    <row r="103" s="16" customFormat="1" spans="1:223">
      <c r="A103" s="55"/>
      <c r="B103" s="19" t="s">
        <v>262</v>
      </c>
      <c r="C103" s="86"/>
      <c r="D103" s="59"/>
      <c r="E103" s="53" t="s">
        <v>263</v>
      </c>
      <c r="H103" s="54"/>
      <c r="I103" s="50"/>
      <c r="J103" s="50"/>
      <c r="K103" s="50"/>
      <c r="L103" s="50"/>
      <c r="M103" s="82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  <c r="AT103" s="83"/>
      <c r="AU103" s="83"/>
      <c r="AV103" s="83"/>
      <c r="AW103" s="83"/>
      <c r="AX103" s="83"/>
      <c r="AY103" s="83"/>
      <c r="AZ103" s="83"/>
      <c r="BA103" s="83"/>
      <c r="BB103" s="83"/>
      <c r="BC103" s="83"/>
      <c r="BD103" s="83"/>
      <c r="BE103" s="83"/>
      <c r="BF103" s="83"/>
      <c r="BG103" s="83"/>
      <c r="BH103" s="83"/>
      <c r="BI103" s="83"/>
      <c r="BJ103" s="83"/>
      <c r="BK103" s="83"/>
      <c r="BL103" s="83"/>
      <c r="BM103" s="83"/>
      <c r="BN103" s="83"/>
      <c r="BO103" s="83"/>
      <c r="BP103" s="83"/>
      <c r="BQ103" s="83"/>
      <c r="BR103" s="83"/>
      <c r="BS103" s="83"/>
      <c r="BT103" s="83"/>
      <c r="BU103" s="83"/>
      <c r="BV103" s="83"/>
      <c r="BW103" s="83"/>
      <c r="BX103" s="83"/>
      <c r="BY103" s="83"/>
      <c r="BZ103" s="83"/>
      <c r="CA103" s="83"/>
      <c r="CB103" s="83"/>
      <c r="CC103" s="83"/>
      <c r="CD103" s="83"/>
      <c r="CE103" s="83"/>
      <c r="CF103" s="83"/>
      <c r="CG103" s="83"/>
      <c r="CH103" s="83"/>
      <c r="CI103" s="83"/>
      <c r="CJ103" s="83"/>
      <c r="CK103" s="83"/>
      <c r="CL103" s="83"/>
      <c r="CM103" s="83"/>
      <c r="CN103" s="83"/>
      <c r="CO103" s="83"/>
      <c r="CP103" s="83"/>
      <c r="CQ103" s="83"/>
      <c r="CR103" s="83"/>
      <c r="CS103" s="83"/>
      <c r="CT103" s="83"/>
      <c r="CU103" s="83"/>
      <c r="CV103" s="83"/>
      <c r="CW103" s="83"/>
      <c r="CX103" s="83"/>
      <c r="CY103" s="83"/>
      <c r="CZ103" s="83"/>
      <c r="DA103" s="83"/>
      <c r="DB103" s="83"/>
      <c r="DC103" s="83"/>
      <c r="DD103" s="83"/>
      <c r="DE103" s="83"/>
      <c r="DF103" s="83"/>
      <c r="DG103" s="83"/>
      <c r="DH103" s="83"/>
      <c r="DI103" s="83"/>
      <c r="DJ103" s="83"/>
      <c r="DK103" s="83"/>
      <c r="DL103" s="83"/>
      <c r="DM103" s="83"/>
      <c r="DN103" s="83"/>
      <c r="DO103" s="83"/>
      <c r="DP103" s="83"/>
      <c r="DQ103" s="83"/>
      <c r="DR103" s="83"/>
      <c r="DS103" s="83"/>
      <c r="DT103" s="83"/>
      <c r="DU103" s="83"/>
      <c r="DV103" s="83"/>
      <c r="DW103" s="83"/>
      <c r="DX103" s="83"/>
      <c r="DY103" s="83"/>
      <c r="DZ103" s="83"/>
      <c r="EA103" s="83"/>
      <c r="EB103" s="83"/>
      <c r="EC103" s="83"/>
      <c r="ED103" s="83"/>
      <c r="EE103" s="83"/>
      <c r="EF103" s="83"/>
      <c r="EG103" s="83"/>
      <c r="EH103" s="83"/>
      <c r="EI103" s="83"/>
      <c r="EJ103" s="83"/>
      <c r="EK103" s="83"/>
      <c r="EL103" s="83"/>
      <c r="EM103" s="83"/>
      <c r="EN103" s="83"/>
      <c r="EO103" s="83"/>
      <c r="EP103" s="83"/>
      <c r="EQ103" s="83"/>
      <c r="ER103" s="83"/>
      <c r="ES103" s="83"/>
      <c r="ET103" s="83"/>
      <c r="EU103" s="83"/>
      <c r="EV103" s="83"/>
      <c r="EW103" s="83"/>
      <c r="EX103" s="83"/>
      <c r="EY103" s="83"/>
      <c r="EZ103" s="83"/>
      <c r="FA103" s="83"/>
      <c r="FB103" s="83"/>
      <c r="FC103" s="83"/>
      <c r="FD103" s="83"/>
      <c r="FE103" s="83"/>
      <c r="FF103" s="83"/>
      <c r="FG103" s="83"/>
      <c r="FH103" s="83"/>
      <c r="FI103" s="83"/>
      <c r="FJ103" s="83"/>
      <c r="FK103" s="83"/>
      <c r="FL103" s="83"/>
      <c r="FM103" s="83"/>
      <c r="FN103" s="83"/>
      <c r="FO103" s="83"/>
      <c r="FP103" s="83"/>
      <c r="FQ103" s="83"/>
      <c r="FR103" s="83"/>
      <c r="FS103" s="83"/>
      <c r="FT103" s="83"/>
      <c r="FU103" s="83"/>
      <c r="FV103" s="83"/>
      <c r="FW103" s="83"/>
      <c r="FX103" s="83"/>
      <c r="FY103" s="83"/>
      <c r="FZ103" s="83"/>
      <c r="GA103" s="83"/>
      <c r="GB103" s="83"/>
      <c r="GC103" s="83"/>
      <c r="GD103" s="83"/>
      <c r="GE103" s="83"/>
      <c r="GF103" s="83"/>
      <c r="GG103" s="83"/>
      <c r="GH103" s="83"/>
      <c r="GI103" s="83"/>
      <c r="GJ103" s="83"/>
      <c r="GK103" s="83"/>
      <c r="GL103" s="83"/>
      <c r="GM103" s="83"/>
      <c r="GN103" s="83"/>
      <c r="GO103" s="83"/>
      <c r="GP103" s="83"/>
      <c r="GQ103" s="83"/>
      <c r="GR103" s="83"/>
      <c r="GS103" s="83"/>
      <c r="GT103" s="83"/>
      <c r="GU103" s="83"/>
      <c r="GV103" s="83"/>
      <c r="GW103" s="83"/>
      <c r="GX103" s="83"/>
      <c r="GY103" s="83"/>
      <c r="GZ103" s="83"/>
      <c r="HA103" s="83"/>
      <c r="HB103" s="83"/>
      <c r="HC103" s="83"/>
      <c r="HD103" s="83"/>
      <c r="HE103" s="83"/>
      <c r="HF103" s="83"/>
      <c r="HG103" s="83"/>
      <c r="HH103" s="83"/>
      <c r="HI103" s="83"/>
      <c r="HJ103" s="83"/>
      <c r="HK103" s="83"/>
      <c r="HL103" s="83"/>
      <c r="HM103" s="83"/>
      <c r="HN103" s="83"/>
      <c r="HO103" s="83"/>
    </row>
    <row r="104" s="16" customFormat="1" spans="1:223">
      <c r="A104" s="55"/>
      <c r="B104" s="19" t="s">
        <v>264</v>
      </c>
      <c r="C104" s="86"/>
      <c r="D104" s="59"/>
      <c r="E104" s="53" t="s">
        <v>265</v>
      </c>
      <c r="H104" s="54"/>
      <c r="I104" s="50"/>
      <c r="J104" s="50"/>
      <c r="K104" s="50"/>
      <c r="L104" s="50"/>
      <c r="M104" s="82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83"/>
      <c r="BG104" s="83"/>
      <c r="BH104" s="83"/>
      <c r="BI104" s="83"/>
      <c r="BJ104" s="83"/>
      <c r="BK104" s="83"/>
      <c r="BL104" s="83"/>
      <c r="BM104" s="83"/>
      <c r="BN104" s="83"/>
      <c r="BO104" s="83"/>
      <c r="BP104" s="83"/>
      <c r="BQ104" s="83"/>
      <c r="BR104" s="83"/>
      <c r="BS104" s="83"/>
      <c r="BT104" s="83"/>
      <c r="BU104" s="83"/>
      <c r="BV104" s="83"/>
      <c r="BW104" s="83"/>
      <c r="BX104" s="83"/>
      <c r="BY104" s="83"/>
      <c r="BZ104" s="83"/>
      <c r="CA104" s="83"/>
      <c r="CB104" s="83"/>
      <c r="CC104" s="83"/>
      <c r="CD104" s="83"/>
      <c r="CE104" s="83"/>
      <c r="CF104" s="83"/>
      <c r="CG104" s="83"/>
      <c r="CH104" s="83"/>
      <c r="CI104" s="83"/>
      <c r="CJ104" s="83"/>
      <c r="CK104" s="83"/>
      <c r="CL104" s="83"/>
      <c r="CM104" s="83"/>
      <c r="CN104" s="83"/>
      <c r="CO104" s="83"/>
      <c r="CP104" s="83"/>
      <c r="CQ104" s="83"/>
      <c r="CR104" s="83"/>
      <c r="CS104" s="83"/>
      <c r="CT104" s="83"/>
      <c r="CU104" s="83"/>
      <c r="CV104" s="83"/>
      <c r="CW104" s="83"/>
      <c r="CX104" s="83"/>
      <c r="CY104" s="83"/>
      <c r="CZ104" s="83"/>
      <c r="DA104" s="83"/>
      <c r="DB104" s="83"/>
      <c r="DC104" s="83"/>
      <c r="DD104" s="83"/>
      <c r="DE104" s="83"/>
      <c r="DF104" s="83"/>
      <c r="DG104" s="83"/>
      <c r="DH104" s="83"/>
      <c r="DI104" s="83"/>
      <c r="DJ104" s="83"/>
      <c r="DK104" s="83"/>
      <c r="DL104" s="83"/>
      <c r="DM104" s="83"/>
      <c r="DN104" s="83"/>
      <c r="DO104" s="83"/>
      <c r="DP104" s="83"/>
      <c r="DQ104" s="83"/>
      <c r="DR104" s="83"/>
      <c r="DS104" s="83"/>
      <c r="DT104" s="83"/>
      <c r="DU104" s="83"/>
      <c r="DV104" s="83"/>
      <c r="DW104" s="83"/>
      <c r="DX104" s="83"/>
      <c r="DY104" s="83"/>
      <c r="DZ104" s="83"/>
      <c r="EA104" s="83"/>
      <c r="EB104" s="83"/>
      <c r="EC104" s="83"/>
      <c r="ED104" s="83"/>
      <c r="EE104" s="83"/>
      <c r="EF104" s="83"/>
      <c r="EG104" s="83"/>
      <c r="EH104" s="83"/>
      <c r="EI104" s="83"/>
      <c r="EJ104" s="83"/>
      <c r="EK104" s="83"/>
      <c r="EL104" s="83"/>
      <c r="EM104" s="83"/>
      <c r="EN104" s="83"/>
      <c r="EO104" s="83"/>
      <c r="EP104" s="83"/>
      <c r="EQ104" s="83"/>
      <c r="ER104" s="83"/>
      <c r="ES104" s="83"/>
      <c r="ET104" s="83"/>
      <c r="EU104" s="83"/>
      <c r="EV104" s="83"/>
      <c r="EW104" s="83"/>
      <c r="EX104" s="83"/>
      <c r="EY104" s="83"/>
      <c r="EZ104" s="83"/>
      <c r="FA104" s="83"/>
      <c r="FB104" s="83"/>
      <c r="FC104" s="83"/>
      <c r="FD104" s="83"/>
      <c r="FE104" s="83"/>
      <c r="FF104" s="83"/>
      <c r="FG104" s="83"/>
      <c r="FH104" s="83"/>
      <c r="FI104" s="83"/>
      <c r="FJ104" s="83"/>
      <c r="FK104" s="83"/>
      <c r="FL104" s="83"/>
      <c r="FM104" s="83"/>
      <c r="FN104" s="83"/>
      <c r="FO104" s="83"/>
      <c r="FP104" s="83"/>
      <c r="FQ104" s="83"/>
      <c r="FR104" s="83"/>
      <c r="FS104" s="83"/>
      <c r="FT104" s="83"/>
      <c r="FU104" s="83"/>
      <c r="FV104" s="83"/>
      <c r="FW104" s="83"/>
      <c r="FX104" s="83"/>
      <c r="FY104" s="83"/>
      <c r="FZ104" s="83"/>
      <c r="GA104" s="83"/>
      <c r="GB104" s="83"/>
      <c r="GC104" s="83"/>
      <c r="GD104" s="83"/>
      <c r="GE104" s="83"/>
      <c r="GF104" s="83"/>
      <c r="GG104" s="83"/>
      <c r="GH104" s="83"/>
      <c r="GI104" s="83"/>
      <c r="GJ104" s="83"/>
      <c r="GK104" s="83"/>
      <c r="GL104" s="83"/>
      <c r="GM104" s="83"/>
      <c r="GN104" s="83"/>
      <c r="GO104" s="83"/>
      <c r="GP104" s="83"/>
      <c r="GQ104" s="83"/>
      <c r="GR104" s="83"/>
      <c r="GS104" s="83"/>
      <c r="GT104" s="83"/>
      <c r="GU104" s="83"/>
      <c r="GV104" s="83"/>
      <c r="GW104" s="83"/>
      <c r="GX104" s="83"/>
      <c r="GY104" s="83"/>
      <c r="GZ104" s="83"/>
      <c r="HA104" s="83"/>
      <c r="HB104" s="83"/>
      <c r="HC104" s="83"/>
      <c r="HD104" s="83"/>
      <c r="HE104" s="83"/>
      <c r="HF104" s="83"/>
      <c r="HG104" s="83"/>
      <c r="HH104" s="83"/>
      <c r="HI104" s="83"/>
      <c r="HJ104" s="83"/>
      <c r="HK104" s="83"/>
      <c r="HL104" s="83"/>
      <c r="HM104" s="83"/>
      <c r="HN104" s="83"/>
      <c r="HO104" s="83"/>
    </row>
    <row r="105" s="16" customFormat="1" spans="1:223">
      <c r="A105" s="55"/>
      <c r="B105" s="19" t="s">
        <v>266</v>
      </c>
      <c r="C105" s="86"/>
      <c r="D105" s="59"/>
      <c r="E105" s="53" t="s">
        <v>267</v>
      </c>
      <c r="H105" s="54"/>
      <c r="I105" s="50"/>
      <c r="J105" s="50"/>
      <c r="K105" s="50"/>
      <c r="L105" s="50"/>
      <c r="M105" s="82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83"/>
      <c r="AQ105" s="83"/>
      <c r="AR105" s="83"/>
      <c r="AS105" s="83"/>
      <c r="AT105" s="83"/>
      <c r="AU105" s="83"/>
      <c r="AV105" s="83"/>
      <c r="AW105" s="83"/>
      <c r="AX105" s="83"/>
      <c r="AY105" s="83"/>
      <c r="AZ105" s="83"/>
      <c r="BA105" s="83"/>
      <c r="BB105" s="83"/>
      <c r="BC105" s="83"/>
      <c r="BD105" s="83"/>
      <c r="BE105" s="83"/>
      <c r="BF105" s="83"/>
      <c r="BG105" s="83"/>
      <c r="BH105" s="83"/>
      <c r="BI105" s="83"/>
      <c r="BJ105" s="83"/>
      <c r="BK105" s="83"/>
      <c r="BL105" s="83"/>
      <c r="BM105" s="83"/>
      <c r="BN105" s="83"/>
      <c r="BO105" s="83"/>
      <c r="BP105" s="83"/>
      <c r="BQ105" s="83"/>
      <c r="BR105" s="83"/>
      <c r="BS105" s="83"/>
      <c r="BT105" s="83"/>
      <c r="BU105" s="83"/>
      <c r="BV105" s="83"/>
      <c r="BW105" s="83"/>
      <c r="BX105" s="83"/>
      <c r="BY105" s="83"/>
      <c r="BZ105" s="83"/>
      <c r="CA105" s="83"/>
      <c r="CB105" s="83"/>
      <c r="CC105" s="83"/>
      <c r="CD105" s="83"/>
      <c r="CE105" s="83"/>
      <c r="CF105" s="83"/>
      <c r="CG105" s="83"/>
      <c r="CH105" s="83"/>
      <c r="CI105" s="83"/>
      <c r="CJ105" s="83"/>
      <c r="CK105" s="83"/>
      <c r="CL105" s="83"/>
      <c r="CM105" s="83"/>
      <c r="CN105" s="83"/>
      <c r="CO105" s="83"/>
      <c r="CP105" s="83"/>
      <c r="CQ105" s="83"/>
      <c r="CR105" s="83"/>
      <c r="CS105" s="83"/>
      <c r="CT105" s="83"/>
      <c r="CU105" s="83"/>
      <c r="CV105" s="83"/>
      <c r="CW105" s="83"/>
      <c r="CX105" s="83"/>
      <c r="CY105" s="83"/>
      <c r="CZ105" s="83"/>
      <c r="DA105" s="83"/>
      <c r="DB105" s="83"/>
      <c r="DC105" s="83"/>
      <c r="DD105" s="83"/>
      <c r="DE105" s="83"/>
      <c r="DF105" s="83"/>
      <c r="DG105" s="83"/>
      <c r="DH105" s="83"/>
      <c r="DI105" s="83"/>
      <c r="DJ105" s="83"/>
      <c r="DK105" s="83"/>
      <c r="DL105" s="83"/>
      <c r="DM105" s="83"/>
      <c r="DN105" s="83"/>
      <c r="DO105" s="83"/>
      <c r="DP105" s="83"/>
      <c r="DQ105" s="83"/>
      <c r="DR105" s="83"/>
      <c r="DS105" s="83"/>
      <c r="DT105" s="83"/>
      <c r="DU105" s="83"/>
      <c r="DV105" s="83"/>
      <c r="DW105" s="83"/>
      <c r="DX105" s="83"/>
      <c r="DY105" s="83"/>
      <c r="DZ105" s="83"/>
      <c r="EA105" s="83"/>
      <c r="EB105" s="83"/>
      <c r="EC105" s="83"/>
      <c r="ED105" s="83"/>
      <c r="EE105" s="83"/>
      <c r="EF105" s="83"/>
      <c r="EG105" s="83"/>
      <c r="EH105" s="83"/>
      <c r="EI105" s="83"/>
      <c r="EJ105" s="83"/>
      <c r="EK105" s="83"/>
      <c r="EL105" s="83"/>
      <c r="EM105" s="83"/>
      <c r="EN105" s="83"/>
      <c r="EO105" s="83"/>
      <c r="EP105" s="83"/>
      <c r="EQ105" s="83"/>
      <c r="ER105" s="83"/>
      <c r="ES105" s="83"/>
      <c r="ET105" s="83"/>
      <c r="EU105" s="83"/>
      <c r="EV105" s="83"/>
      <c r="EW105" s="83"/>
      <c r="EX105" s="83"/>
      <c r="EY105" s="83"/>
      <c r="EZ105" s="83"/>
      <c r="FA105" s="83"/>
      <c r="FB105" s="83"/>
      <c r="FC105" s="83"/>
      <c r="FD105" s="83"/>
      <c r="FE105" s="83"/>
      <c r="FF105" s="83"/>
      <c r="FG105" s="83"/>
      <c r="FH105" s="83"/>
      <c r="FI105" s="83"/>
      <c r="FJ105" s="83"/>
      <c r="FK105" s="83"/>
      <c r="FL105" s="83"/>
      <c r="FM105" s="83"/>
      <c r="FN105" s="83"/>
      <c r="FO105" s="83"/>
      <c r="FP105" s="83"/>
      <c r="FQ105" s="83"/>
      <c r="FR105" s="83"/>
      <c r="FS105" s="83"/>
      <c r="FT105" s="83"/>
      <c r="FU105" s="83"/>
      <c r="FV105" s="83"/>
      <c r="FW105" s="83"/>
      <c r="FX105" s="83"/>
      <c r="FY105" s="83"/>
      <c r="FZ105" s="83"/>
      <c r="GA105" s="83"/>
      <c r="GB105" s="83"/>
      <c r="GC105" s="83"/>
      <c r="GD105" s="83"/>
      <c r="GE105" s="83"/>
      <c r="GF105" s="83"/>
      <c r="GG105" s="83"/>
      <c r="GH105" s="83"/>
      <c r="GI105" s="83"/>
      <c r="GJ105" s="83"/>
      <c r="GK105" s="83"/>
      <c r="GL105" s="83"/>
      <c r="GM105" s="83"/>
      <c r="GN105" s="83"/>
      <c r="GO105" s="83"/>
      <c r="GP105" s="83"/>
      <c r="GQ105" s="83"/>
      <c r="GR105" s="83"/>
      <c r="GS105" s="83"/>
      <c r="GT105" s="83"/>
      <c r="GU105" s="83"/>
      <c r="GV105" s="83"/>
      <c r="GW105" s="83"/>
      <c r="GX105" s="83"/>
      <c r="GY105" s="83"/>
      <c r="GZ105" s="83"/>
      <c r="HA105" s="83"/>
      <c r="HB105" s="83"/>
      <c r="HC105" s="83"/>
      <c r="HD105" s="83"/>
      <c r="HE105" s="83"/>
      <c r="HF105" s="83"/>
      <c r="HG105" s="83"/>
      <c r="HH105" s="83"/>
      <c r="HI105" s="83"/>
      <c r="HJ105" s="83"/>
      <c r="HK105" s="83"/>
      <c r="HL105" s="83"/>
      <c r="HM105" s="83"/>
      <c r="HN105" s="83"/>
      <c r="HO105" s="83"/>
    </row>
    <row r="106" s="16" customFormat="1" spans="1:223">
      <c r="A106" s="55"/>
      <c r="B106" s="19" t="s">
        <v>268</v>
      </c>
      <c r="C106" s="86"/>
      <c r="D106" s="59"/>
      <c r="E106" s="53" t="s">
        <v>269</v>
      </c>
      <c r="H106" s="54"/>
      <c r="I106" s="50"/>
      <c r="J106" s="50"/>
      <c r="K106" s="50"/>
      <c r="L106" s="50"/>
      <c r="M106" s="82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83"/>
      <c r="BG106" s="83"/>
      <c r="BH106" s="83"/>
      <c r="BI106" s="83"/>
      <c r="BJ106" s="83"/>
      <c r="BK106" s="83"/>
      <c r="BL106" s="83"/>
      <c r="BM106" s="83"/>
      <c r="BN106" s="83"/>
      <c r="BO106" s="83"/>
      <c r="BP106" s="83"/>
      <c r="BQ106" s="83"/>
      <c r="BR106" s="83"/>
      <c r="BS106" s="83"/>
      <c r="BT106" s="83"/>
      <c r="BU106" s="83"/>
      <c r="BV106" s="83"/>
      <c r="BW106" s="83"/>
      <c r="BX106" s="83"/>
      <c r="BY106" s="83"/>
      <c r="BZ106" s="83"/>
      <c r="CA106" s="83"/>
      <c r="CB106" s="83"/>
      <c r="CC106" s="83"/>
      <c r="CD106" s="83"/>
      <c r="CE106" s="83"/>
      <c r="CF106" s="83"/>
      <c r="CG106" s="83"/>
      <c r="CH106" s="83"/>
      <c r="CI106" s="83"/>
      <c r="CJ106" s="83"/>
      <c r="CK106" s="83"/>
      <c r="CL106" s="83"/>
      <c r="CM106" s="83"/>
      <c r="CN106" s="83"/>
      <c r="CO106" s="83"/>
      <c r="CP106" s="83"/>
      <c r="CQ106" s="83"/>
      <c r="CR106" s="83"/>
      <c r="CS106" s="83"/>
      <c r="CT106" s="83"/>
      <c r="CU106" s="83"/>
      <c r="CV106" s="83"/>
      <c r="CW106" s="83"/>
      <c r="CX106" s="83"/>
      <c r="CY106" s="83"/>
      <c r="CZ106" s="83"/>
      <c r="DA106" s="83"/>
      <c r="DB106" s="83"/>
      <c r="DC106" s="83"/>
      <c r="DD106" s="83"/>
      <c r="DE106" s="83"/>
      <c r="DF106" s="83"/>
      <c r="DG106" s="83"/>
      <c r="DH106" s="83"/>
      <c r="DI106" s="83"/>
      <c r="DJ106" s="83"/>
      <c r="DK106" s="83"/>
      <c r="DL106" s="83"/>
      <c r="DM106" s="83"/>
      <c r="DN106" s="83"/>
      <c r="DO106" s="83"/>
      <c r="DP106" s="83"/>
      <c r="DQ106" s="83"/>
      <c r="DR106" s="83"/>
      <c r="DS106" s="83"/>
      <c r="DT106" s="83"/>
      <c r="DU106" s="83"/>
      <c r="DV106" s="83"/>
      <c r="DW106" s="83"/>
      <c r="DX106" s="83"/>
      <c r="DY106" s="83"/>
      <c r="DZ106" s="83"/>
      <c r="EA106" s="83"/>
      <c r="EB106" s="83"/>
      <c r="EC106" s="83"/>
      <c r="ED106" s="83"/>
      <c r="EE106" s="83"/>
      <c r="EF106" s="83"/>
      <c r="EG106" s="83"/>
      <c r="EH106" s="83"/>
      <c r="EI106" s="83"/>
      <c r="EJ106" s="83"/>
      <c r="EK106" s="83"/>
      <c r="EL106" s="83"/>
      <c r="EM106" s="83"/>
      <c r="EN106" s="83"/>
      <c r="EO106" s="83"/>
      <c r="EP106" s="83"/>
      <c r="EQ106" s="83"/>
      <c r="ER106" s="83"/>
      <c r="ES106" s="83"/>
      <c r="ET106" s="83"/>
      <c r="EU106" s="83"/>
      <c r="EV106" s="83"/>
      <c r="EW106" s="83"/>
      <c r="EX106" s="83"/>
      <c r="EY106" s="83"/>
      <c r="EZ106" s="83"/>
      <c r="FA106" s="83"/>
      <c r="FB106" s="83"/>
      <c r="FC106" s="83"/>
      <c r="FD106" s="83"/>
      <c r="FE106" s="83"/>
      <c r="FF106" s="83"/>
      <c r="FG106" s="83"/>
      <c r="FH106" s="83"/>
      <c r="FI106" s="83"/>
      <c r="FJ106" s="83"/>
      <c r="FK106" s="83"/>
      <c r="FL106" s="83"/>
      <c r="FM106" s="83"/>
      <c r="FN106" s="83"/>
      <c r="FO106" s="83"/>
      <c r="FP106" s="83"/>
      <c r="FQ106" s="83"/>
      <c r="FR106" s="83"/>
      <c r="FS106" s="83"/>
      <c r="FT106" s="83"/>
      <c r="FU106" s="83"/>
      <c r="FV106" s="83"/>
      <c r="FW106" s="83"/>
      <c r="FX106" s="83"/>
      <c r="FY106" s="83"/>
      <c r="FZ106" s="83"/>
      <c r="GA106" s="83"/>
      <c r="GB106" s="83"/>
      <c r="GC106" s="83"/>
      <c r="GD106" s="83"/>
      <c r="GE106" s="83"/>
      <c r="GF106" s="83"/>
      <c r="GG106" s="83"/>
      <c r="GH106" s="83"/>
      <c r="GI106" s="83"/>
      <c r="GJ106" s="83"/>
      <c r="GK106" s="83"/>
      <c r="GL106" s="83"/>
      <c r="GM106" s="83"/>
      <c r="GN106" s="83"/>
      <c r="GO106" s="83"/>
      <c r="GP106" s="83"/>
      <c r="GQ106" s="83"/>
      <c r="GR106" s="83"/>
      <c r="GS106" s="83"/>
      <c r="GT106" s="83"/>
      <c r="GU106" s="83"/>
      <c r="GV106" s="83"/>
      <c r="GW106" s="83"/>
      <c r="GX106" s="83"/>
      <c r="GY106" s="83"/>
      <c r="GZ106" s="83"/>
      <c r="HA106" s="83"/>
      <c r="HB106" s="83"/>
      <c r="HC106" s="83"/>
      <c r="HD106" s="83"/>
      <c r="HE106" s="83"/>
      <c r="HF106" s="83"/>
      <c r="HG106" s="83"/>
      <c r="HH106" s="83"/>
      <c r="HI106" s="83"/>
      <c r="HJ106" s="83"/>
      <c r="HK106" s="83"/>
      <c r="HL106" s="83"/>
      <c r="HM106" s="83"/>
      <c r="HN106" s="83"/>
      <c r="HO106" s="83"/>
    </row>
    <row r="107" s="16" customFormat="1" spans="1:223">
      <c r="A107" s="55"/>
      <c r="B107" s="19" t="s">
        <v>270</v>
      </c>
      <c r="C107" s="86"/>
      <c r="D107" s="59"/>
      <c r="E107" s="53" t="s">
        <v>271</v>
      </c>
      <c r="H107" s="54"/>
      <c r="I107" s="50"/>
      <c r="J107" s="50"/>
      <c r="K107" s="50"/>
      <c r="L107" s="50"/>
      <c r="M107" s="82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3"/>
      <c r="BG107" s="83"/>
      <c r="BH107" s="83"/>
      <c r="BI107" s="83"/>
      <c r="BJ107" s="83"/>
      <c r="BK107" s="83"/>
      <c r="BL107" s="83"/>
      <c r="BM107" s="83"/>
      <c r="BN107" s="83"/>
      <c r="BO107" s="83"/>
      <c r="BP107" s="83"/>
      <c r="BQ107" s="83"/>
      <c r="BR107" s="83"/>
      <c r="BS107" s="83"/>
      <c r="BT107" s="83"/>
      <c r="BU107" s="83"/>
      <c r="BV107" s="83"/>
      <c r="BW107" s="83"/>
      <c r="BX107" s="83"/>
      <c r="BY107" s="83"/>
      <c r="BZ107" s="83"/>
      <c r="CA107" s="83"/>
      <c r="CB107" s="83"/>
      <c r="CC107" s="83"/>
      <c r="CD107" s="83"/>
      <c r="CE107" s="83"/>
      <c r="CF107" s="83"/>
      <c r="CG107" s="83"/>
      <c r="CH107" s="83"/>
      <c r="CI107" s="83"/>
      <c r="CJ107" s="83"/>
      <c r="CK107" s="83"/>
      <c r="CL107" s="83"/>
      <c r="CM107" s="83"/>
      <c r="CN107" s="83"/>
      <c r="CO107" s="83"/>
      <c r="CP107" s="83"/>
      <c r="CQ107" s="83"/>
      <c r="CR107" s="83"/>
      <c r="CS107" s="83"/>
      <c r="CT107" s="83"/>
      <c r="CU107" s="83"/>
      <c r="CV107" s="83"/>
      <c r="CW107" s="83"/>
      <c r="CX107" s="83"/>
      <c r="CY107" s="83"/>
      <c r="CZ107" s="83"/>
      <c r="DA107" s="83"/>
      <c r="DB107" s="83"/>
      <c r="DC107" s="83"/>
      <c r="DD107" s="83"/>
      <c r="DE107" s="83"/>
      <c r="DF107" s="83"/>
      <c r="DG107" s="83"/>
      <c r="DH107" s="83"/>
      <c r="DI107" s="83"/>
      <c r="DJ107" s="83"/>
      <c r="DK107" s="83"/>
      <c r="DL107" s="83"/>
      <c r="DM107" s="83"/>
      <c r="DN107" s="83"/>
      <c r="DO107" s="83"/>
      <c r="DP107" s="83"/>
      <c r="DQ107" s="83"/>
      <c r="DR107" s="83"/>
      <c r="DS107" s="83"/>
      <c r="DT107" s="83"/>
      <c r="DU107" s="83"/>
      <c r="DV107" s="83"/>
      <c r="DW107" s="83"/>
      <c r="DX107" s="83"/>
      <c r="DY107" s="83"/>
      <c r="DZ107" s="83"/>
      <c r="EA107" s="83"/>
      <c r="EB107" s="83"/>
      <c r="EC107" s="83"/>
      <c r="ED107" s="83"/>
      <c r="EE107" s="83"/>
      <c r="EF107" s="83"/>
      <c r="EG107" s="83"/>
      <c r="EH107" s="83"/>
      <c r="EI107" s="83"/>
      <c r="EJ107" s="83"/>
      <c r="EK107" s="83"/>
      <c r="EL107" s="83"/>
      <c r="EM107" s="83"/>
      <c r="EN107" s="83"/>
      <c r="EO107" s="83"/>
      <c r="EP107" s="83"/>
      <c r="EQ107" s="83"/>
      <c r="ER107" s="83"/>
      <c r="ES107" s="83"/>
      <c r="ET107" s="83"/>
      <c r="EU107" s="83"/>
      <c r="EV107" s="83"/>
      <c r="EW107" s="83"/>
      <c r="EX107" s="83"/>
      <c r="EY107" s="83"/>
      <c r="EZ107" s="83"/>
      <c r="FA107" s="83"/>
      <c r="FB107" s="83"/>
      <c r="FC107" s="83"/>
      <c r="FD107" s="83"/>
      <c r="FE107" s="83"/>
      <c r="FF107" s="83"/>
      <c r="FG107" s="83"/>
      <c r="FH107" s="83"/>
      <c r="FI107" s="83"/>
      <c r="FJ107" s="83"/>
      <c r="FK107" s="83"/>
      <c r="FL107" s="83"/>
      <c r="FM107" s="83"/>
      <c r="FN107" s="83"/>
      <c r="FO107" s="83"/>
      <c r="FP107" s="83"/>
      <c r="FQ107" s="83"/>
      <c r="FR107" s="83"/>
      <c r="FS107" s="83"/>
      <c r="FT107" s="83"/>
      <c r="FU107" s="83"/>
      <c r="FV107" s="83"/>
      <c r="FW107" s="83"/>
      <c r="FX107" s="83"/>
      <c r="FY107" s="83"/>
      <c r="FZ107" s="83"/>
      <c r="GA107" s="83"/>
      <c r="GB107" s="83"/>
      <c r="GC107" s="83"/>
      <c r="GD107" s="83"/>
      <c r="GE107" s="83"/>
      <c r="GF107" s="83"/>
      <c r="GG107" s="83"/>
      <c r="GH107" s="83"/>
      <c r="GI107" s="83"/>
      <c r="GJ107" s="83"/>
      <c r="GK107" s="83"/>
      <c r="GL107" s="83"/>
      <c r="GM107" s="83"/>
      <c r="GN107" s="83"/>
      <c r="GO107" s="83"/>
      <c r="GP107" s="83"/>
      <c r="GQ107" s="83"/>
      <c r="GR107" s="83"/>
      <c r="GS107" s="83"/>
      <c r="GT107" s="83"/>
      <c r="GU107" s="83"/>
      <c r="GV107" s="83"/>
      <c r="GW107" s="83"/>
      <c r="GX107" s="83"/>
      <c r="GY107" s="83"/>
      <c r="GZ107" s="83"/>
      <c r="HA107" s="83"/>
      <c r="HB107" s="83"/>
      <c r="HC107" s="83"/>
      <c r="HD107" s="83"/>
      <c r="HE107" s="83"/>
      <c r="HF107" s="83"/>
      <c r="HG107" s="83"/>
      <c r="HH107" s="83"/>
      <c r="HI107" s="83"/>
      <c r="HJ107" s="83"/>
      <c r="HK107" s="83"/>
      <c r="HL107" s="83"/>
      <c r="HM107" s="83"/>
      <c r="HN107" s="83"/>
      <c r="HO107" s="83"/>
    </row>
    <row r="108" s="16" customFormat="1" spans="1:223">
      <c r="A108" s="55"/>
      <c r="B108" s="19" t="s">
        <v>272</v>
      </c>
      <c r="C108" s="86"/>
      <c r="D108" s="59"/>
      <c r="E108" s="53" t="s">
        <v>273</v>
      </c>
      <c r="H108" s="54"/>
      <c r="I108" s="50"/>
      <c r="J108" s="50"/>
      <c r="K108" s="50"/>
      <c r="L108" s="50"/>
      <c r="M108" s="82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P108" s="83"/>
      <c r="AQ108" s="83"/>
      <c r="AR108" s="83"/>
      <c r="AS108" s="83"/>
      <c r="AT108" s="83"/>
      <c r="AU108" s="83"/>
      <c r="AV108" s="83"/>
      <c r="AW108" s="83"/>
      <c r="AX108" s="83"/>
      <c r="AY108" s="83"/>
      <c r="AZ108" s="83"/>
      <c r="BA108" s="83"/>
      <c r="BB108" s="83"/>
      <c r="BC108" s="83"/>
      <c r="BD108" s="83"/>
      <c r="BE108" s="83"/>
      <c r="BF108" s="83"/>
      <c r="BG108" s="83"/>
      <c r="BH108" s="83"/>
      <c r="BI108" s="83"/>
      <c r="BJ108" s="83"/>
      <c r="BK108" s="83"/>
      <c r="BL108" s="83"/>
      <c r="BM108" s="83"/>
      <c r="BN108" s="83"/>
      <c r="BO108" s="83"/>
      <c r="BP108" s="83"/>
      <c r="BQ108" s="83"/>
      <c r="BR108" s="83"/>
      <c r="BS108" s="83"/>
      <c r="BT108" s="83"/>
      <c r="BU108" s="83"/>
      <c r="BV108" s="83"/>
      <c r="BW108" s="83"/>
      <c r="BX108" s="83"/>
      <c r="BY108" s="83"/>
      <c r="BZ108" s="83"/>
      <c r="CA108" s="83"/>
      <c r="CB108" s="83"/>
      <c r="CC108" s="83"/>
      <c r="CD108" s="83"/>
      <c r="CE108" s="83"/>
      <c r="CF108" s="83"/>
      <c r="CG108" s="83"/>
      <c r="CH108" s="83"/>
      <c r="CI108" s="83"/>
      <c r="CJ108" s="83"/>
      <c r="CK108" s="83"/>
      <c r="CL108" s="83"/>
      <c r="CM108" s="83"/>
      <c r="CN108" s="83"/>
      <c r="CO108" s="83"/>
      <c r="CP108" s="83"/>
      <c r="CQ108" s="83"/>
      <c r="CR108" s="83"/>
      <c r="CS108" s="83"/>
      <c r="CT108" s="83"/>
      <c r="CU108" s="83"/>
      <c r="CV108" s="83"/>
      <c r="CW108" s="83"/>
      <c r="CX108" s="83"/>
      <c r="CY108" s="83"/>
      <c r="CZ108" s="83"/>
      <c r="DA108" s="83"/>
      <c r="DB108" s="83"/>
      <c r="DC108" s="83"/>
      <c r="DD108" s="83"/>
      <c r="DE108" s="83"/>
      <c r="DF108" s="83"/>
      <c r="DG108" s="83"/>
      <c r="DH108" s="83"/>
      <c r="DI108" s="83"/>
      <c r="DJ108" s="83"/>
      <c r="DK108" s="83"/>
      <c r="DL108" s="83"/>
      <c r="DM108" s="83"/>
      <c r="DN108" s="83"/>
      <c r="DO108" s="83"/>
      <c r="DP108" s="83"/>
      <c r="DQ108" s="83"/>
      <c r="DR108" s="83"/>
      <c r="DS108" s="83"/>
      <c r="DT108" s="83"/>
      <c r="DU108" s="83"/>
      <c r="DV108" s="83"/>
      <c r="DW108" s="83"/>
      <c r="DX108" s="83"/>
      <c r="DY108" s="83"/>
      <c r="DZ108" s="83"/>
      <c r="EA108" s="83"/>
      <c r="EB108" s="83"/>
      <c r="EC108" s="83"/>
      <c r="ED108" s="83"/>
      <c r="EE108" s="83"/>
      <c r="EF108" s="83"/>
      <c r="EG108" s="83"/>
      <c r="EH108" s="83"/>
      <c r="EI108" s="83"/>
      <c r="EJ108" s="83"/>
      <c r="EK108" s="83"/>
      <c r="EL108" s="83"/>
      <c r="EM108" s="83"/>
      <c r="EN108" s="83"/>
      <c r="EO108" s="83"/>
      <c r="EP108" s="83"/>
      <c r="EQ108" s="83"/>
      <c r="ER108" s="83"/>
      <c r="ES108" s="83"/>
      <c r="ET108" s="83"/>
      <c r="EU108" s="83"/>
      <c r="EV108" s="83"/>
      <c r="EW108" s="83"/>
      <c r="EX108" s="83"/>
      <c r="EY108" s="83"/>
      <c r="EZ108" s="83"/>
      <c r="FA108" s="83"/>
      <c r="FB108" s="83"/>
      <c r="FC108" s="83"/>
      <c r="FD108" s="83"/>
      <c r="FE108" s="83"/>
      <c r="FF108" s="83"/>
      <c r="FG108" s="83"/>
      <c r="FH108" s="83"/>
      <c r="FI108" s="83"/>
      <c r="FJ108" s="83"/>
      <c r="FK108" s="83"/>
      <c r="FL108" s="83"/>
      <c r="FM108" s="83"/>
      <c r="FN108" s="83"/>
      <c r="FO108" s="83"/>
      <c r="FP108" s="83"/>
      <c r="FQ108" s="83"/>
      <c r="FR108" s="83"/>
      <c r="FS108" s="83"/>
      <c r="FT108" s="83"/>
      <c r="FU108" s="83"/>
      <c r="FV108" s="83"/>
      <c r="FW108" s="83"/>
      <c r="FX108" s="83"/>
      <c r="FY108" s="83"/>
      <c r="FZ108" s="83"/>
      <c r="GA108" s="83"/>
      <c r="GB108" s="83"/>
      <c r="GC108" s="83"/>
      <c r="GD108" s="83"/>
      <c r="GE108" s="83"/>
      <c r="GF108" s="83"/>
      <c r="GG108" s="83"/>
      <c r="GH108" s="83"/>
      <c r="GI108" s="83"/>
      <c r="GJ108" s="83"/>
      <c r="GK108" s="83"/>
      <c r="GL108" s="83"/>
      <c r="GM108" s="83"/>
      <c r="GN108" s="83"/>
      <c r="GO108" s="83"/>
      <c r="GP108" s="83"/>
      <c r="GQ108" s="83"/>
      <c r="GR108" s="83"/>
      <c r="GS108" s="83"/>
      <c r="GT108" s="83"/>
      <c r="GU108" s="83"/>
      <c r="GV108" s="83"/>
      <c r="GW108" s="83"/>
      <c r="GX108" s="83"/>
      <c r="GY108" s="83"/>
      <c r="GZ108" s="83"/>
      <c r="HA108" s="83"/>
      <c r="HB108" s="83"/>
      <c r="HC108" s="83"/>
      <c r="HD108" s="83"/>
      <c r="HE108" s="83"/>
      <c r="HF108" s="83"/>
      <c r="HG108" s="83"/>
      <c r="HH108" s="83"/>
      <c r="HI108" s="83"/>
      <c r="HJ108" s="83"/>
      <c r="HK108" s="83"/>
      <c r="HL108" s="83"/>
      <c r="HM108" s="83"/>
      <c r="HN108" s="83"/>
      <c r="HO108" s="83"/>
    </row>
    <row r="109" s="16" customFormat="1" spans="1:223">
      <c r="A109" s="55"/>
      <c r="B109" s="19" t="s">
        <v>274</v>
      </c>
      <c r="C109" s="86"/>
      <c r="D109" s="59"/>
      <c r="E109" s="53" t="s">
        <v>275</v>
      </c>
      <c r="H109" s="54"/>
      <c r="I109" s="50"/>
      <c r="J109" s="50"/>
      <c r="K109" s="50"/>
      <c r="L109" s="50"/>
      <c r="M109" s="82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  <c r="AT109" s="83"/>
      <c r="AU109" s="83"/>
      <c r="AV109" s="83"/>
      <c r="AW109" s="83"/>
      <c r="AX109" s="83"/>
      <c r="AY109" s="83"/>
      <c r="AZ109" s="83"/>
      <c r="BA109" s="83"/>
      <c r="BB109" s="83"/>
      <c r="BC109" s="83"/>
      <c r="BD109" s="83"/>
      <c r="BE109" s="83"/>
      <c r="BF109" s="83"/>
      <c r="BG109" s="83"/>
      <c r="BH109" s="83"/>
      <c r="BI109" s="83"/>
      <c r="BJ109" s="83"/>
      <c r="BK109" s="83"/>
      <c r="BL109" s="83"/>
      <c r="BM109" s="83"/>
      <c r="BN109" s="83"/>
      <c r="BO109" s="83"/>
      <c r="BP109" s="83"/>
      <c r="BQ109" s="83"/>
      <c r="BR109" s="83"/>
      <c r="BS109" s="83"/>
      <c r="BT109" s="83"/>
      <c r="BU109" s="83"/>
      <c r="BV109" s="83"/>
      <c r="BW109" s="83"/>
      <c r="BX109" s="83"/>
      <c r="BY109" s="83"/>
      <c r="BZ109" s="83"/>
      <c r="CA109" s="83"/>
      <c r="CB109" s="83"/>
      <c r="CC109" s="83"/>
      <c r="CD109" s="83"/>
      <c r="CE109" s="83"/>
      <c r="CF109" s="83"/>
      <c r="CG109" s="83"/>
      <c r="CH109" s="83"/>
      <c r="CI109" s="83"/>
      <c r="CJ109" s="83"/>
      <c r="CK109" s="83"/>
      <c r="CL109" s="83"/>
      <c r="CM109" s="83"/>
      <c r="CN109" s="83"/>
      <c r="CO109" s="83"/>
      <c r="CP109" s="83"/>
      <c r="CQ109" s="83"/>
      <c r="CR109" s="83"/>
      <c r="CS109" s="83"/>
      <c r="CT109" s="83"/>
      <c r="CU109" s="83"/>
      <c r="CV109" s="83"/>
      <c r="CW109" s="83"/>
      <c r="CX109" s="83"/>
      <c r="CY109" s="83"/>
      <c r="CZ109" s="83"/>
      <c r="DA109" s="83"/>
      <c r="DB109" s="83"/>
      <c r="DC109" s="83"/>
      <c r="DD109" s="83"/>
      <c r="DE109" s="83"/>
      <c r="DF109" s="83"/>
      <c r="DG109" s="83"/>
      <c r="DH109" s="83"/>
      <c r="DI109" s="83"/>
      <c r="DJ109" s="83"/>
      <c r="DK109" s="83"/>
      <c r="DL109" s="83"/>
      <c r="DM109" s="83"/>
      <c r="DN109" s="83"/>
      <c r="DO109" s="83"/>
      <c r="DP109" s="83"/>
      <c r="DQ109" s="83"/>
      <c r="DR109" s="83"/>
      <c r="DS109" s="83"/>
      <c r="DT109" s="83"/>
      <c r="DU109" s="83"/>
      <c r="DV109" s="83"/>
      <c r="DW109" s="83"/>
      <c r="DX109" s="83"/>
      <c r="DY109" s="83"/>
      <c r="DZ109" s="83"/>
      <c r="EA109" s="83"/>
      <c r="EB109" s="83"/>
      <c r="EC109" s="83"/>
      <c r="ED109" s="83"/>
      <c r="EE109" s="83"/>
      <c r="EF109" s="83"/>
      <c r="EG109" s="83"/>
      <c r="EH109" s="83"/>
      <c r="EI109" s="83"/>
      <c r="EJ109" s="83"/>
      <c r="EK109" s="83"/>
      <c r="EL109" s="83"/>
      <c r="EM109" s="83"/>
      <c r="EN109" s="83"/>
      <c r="EO109" s="83"/>
      <c r="EP109" s="83"/>
      <c r="EQ109" s="83"/>
      <c r="ER109" s="83"/>
      <c r="ES109" s="83"/>
      <c r="ET109" s="83"/>
      <c r="EU109" s="83"/>
      <c r="EV109" s="83"/>
      <c r="EW109" s="83"/>
      <c r="EX109" s="83"/>
      <c r="EY109" s="83"/>
      <c r="EZ109" s="83"/>
      <c r="FA109" s="83"/>
      <c r="FB109" s="83"/>
      <c r="FC109" s="83"/>
      <c r="FD109" s="83"/>
      <c r="FE109" s="83"/>
      <c r="FF109" s="83"/>
      <c r="FG109" s="83"/>
      <c r="FH109" s="83"/>
      <c r="FI109" s="83"/>
      <c r="FJ109" s="83"/>
      <c r="FK109" s="83"/>
      <c r="FL109" s="83"/>
      <c r="FM109" s="83"/>
      <c r="FN109" s="83"/>
      <c r="FO109" s="83"/>
      <c r="FP109" s="83"/>
      <c r="FQ109" s="83"/>
      <c r="FR109" s="83"/>
      <c r="FS109" s="83"/>
      <c r="FT109" s="83"/>
      <c r="FU109" s="83"/>
      <c r="FV109" s="83"/>
      <c r="FW109" s="83"/>
      <c r="FX109" s="83"/>
      <c r="FY109" s="83"/>
      <c r="FZ109" s="83"/>
      <c r="GA109" s="83"/>
      <c r="GB109" s="83"/>
      <c r="GC109" s="83"/>
      <c r="GD109" s="83"/>
      <c r="GE109" s="83"/>
      <c r="GF109" s="83"/>
      <c r="GG109" s="83"/>
      <c r="GH109" s="83"/>
      <c r="GI109" s="83"/>
      <c r="GJ109" s="83"/>
      <c r="GK109" s="83"/>
      <c r="GL109" s="83"/>
      <c r="GM109" s="83"/>
      <c r="GN109" s="83"/>
      <c r="GO109" s="83"/>
      <c r="GP109" s="83"/>
      <c r="GQ109" s="83"/>
      <c r="GR109" s="83"/>
      <c r="GS109" s="83"/>
      <c r="GT109" s="83"/>
      <c r="GU109" s="83"/>
      <c r="GV109" s="83"/>
      <c r="GW109" s="83"/>
      <c r="GX109" s="83"/>
      <c r="GY109" s="83"/>
      <c r="GZ109" s="83"/>
      <c r="HA109" s="83"/>
      <c r="HB109" s="83"/>
      <c r="HC109" s="83"/>
      <c r="HD109" s="83"/>
      <c r="HE109" s="83"/>
      <c r="HF109" s="83"/>
      <c r="HG109" s="83"/>
      <c r="HH109" s="83"/>
      <c r="HI109" s="83"/>
      <c r="HJ109" s="83"/>
      <c r="HK109" s="83"/>
      <c r="HL109" s="83"/>
      <c r="HM109" s="83"/>
      <c r="HN109" s="83"/>
      <c r="HO109" s="83"/>
    </row>
    <row r="110" s="16" customFormat="1" spans="1:223">
      <c r="A110" s="55"/>
      <c r="B110" s="19" t="s">
        <v>276</v>
      </c>
      <c r="C110" s="86"/>
      <c r="D110" s="59"/>
      <c r="E110" s="53" t="s">
        <v>277</v>
      </c>
      <c r="H110" s="54"/>
      <c r="I110" s="50"/>
      <c r="J110" s="50"/>
      <c r="K110" s="50"/>
      <c r="L110" s="50"/>
      <c r="M110" s="82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  <c r="AP110" s="83"/>
      <c r="AQ110" s="83"/>
      <c r="AR110" s="83"/>
      <c r="AS110" s="83"/>
      <c r="AT110" s="83"/>
      <c r="AU110" s="83"/>
      <c r="AV110" s="83"/>
      <c r="AW110" s="83"/>
      <c r="AX110" s="83"/>
      <c r="AY110" s="83"/>
      <c r="AZ110" s="83"/>
      <c r="BA110" s="83"/>
      <c r="BB110" s="83"/>
      <c r="BC110" s="83"/>
      <c r="BD110" s="83"/>
      <c r="BE110" s="83"/>
      <c r="BF110" s="83"/>
      <c r="BG110" s="83"/>
      <c r="BH110" s="83"/>
      <c r="BI110" s="83"/>
      <c r="BJ110" s="83"/>
      <c r="BK110" s="83"/>
      <c r="BL110" s="83"/>
      <c r="BM110" s="83"/>
      <c r="BN110" s="83"/>
      <c r="BO110" s="83"/>
      <c r="BP110" s="83"/>
      <c r="BQ110" s="83"/>
      <c r="BR110" s="83"/>
      <c r="BS110" s="83"/>
      <c r="BT110" s="83"/>
      <c r="BU110" s="83"/>
      <c r="BV110" s="83"/>
      <c r="BW110" s="83"/>
      <c r="BX110" s="83"/>
      <c r="BY110" s="83"/>
      <c r="BZ110" s="83"/>
      <c r="CA110" s="83"/>
      <c r="CB110" s="83"/>
      <c r="CC110" s="83"/>
      <c r="CD110" s="83"/>
      <c r="CE110" s="83"/>
      <c r="CF110" s="83"/>
      <c r="CG110" s="83"/>
      <c r="CH110" s="83"/>
      <c r="CI110" s="83"/>
      <c r="CJ110" s="83"/>
      <c r="CK110" s="83"/>
      <c r="CL110" s="83"/>
      <c r="CM110" s="83"/>
      <c r="CN110" s="83"/>
      <c r="CO110" s="83"/>
      <c r="CP110" s="83"/>
      <c r="CQ110" s="83"/>
      <c r="CR110" s="83"/>
      <c r="CS110" s="83"/>
      <c r="CT110" s="83"/>
      <c r="CU110" s="83"/>
      <c r="CV110" s="83"/>
      <c r="CW110" s="83"/>
      <c r="CX110" s="83"/>
      <c r="CY110" s="83"/>
      <c r="CZ110" s="83"/>
      <c r="DA110" s="83"/>
      <c r="DB110" s="83"/>
      <c r="DC110" s="83"/>
      <c r="DD110" s="83"/>
      <c r="DE110" s="83"/>
      <c r="DF110" s="83"/>
      <c r="DG110" s="83"/>
      <c r="DH110" s="83"/>
      <c r="DI110" s="83"/>
      <c r="DJ110" s="83"/>
      <c r="DK110" s="83"/>
      <c r="DL110" s="83"/>
      <c r="DM110" s="83"/>
      <c r="DN110" s="83"/>
      <c r="DO110" s="83"/>
      <c r="DP110" s="83"/>
      <c r="DQ110" s="83"/>
      <c r="DR110" s="83"/>
      <c r="DS110" s="83"/>
      <c r="DT110" s="83"/>
      <c r="DU110" s="83"/>
      <c r="DV110" s="83"/>
      <c r="DW110" s="83"/>
      <c r="DX110" s="83"/>
      <c r="DY110" s="83"/>
      <c r="DZ110" s="83"/>
      <c r="EA110" s="83"/>
      <c r="EB110" s="83"/>
      <c r="EC110" s="83"/>
      <c r="ED110" s="83"/>
      <c r="EE110" s="83"/>
      <c r="EF110" s="83"/>
      <c r="EG110" s="83"/>
      <c r="EH110" s="83"/>
      <c r="EI110" s="83"/>
      <c r="EJ110" s="83"/>
      <c r="EK110" s="83"/>
      <c r="EL110" s="83"/>
      <c r="EM110" s="83"/>
      <c r="EN110" s="83"/>
      <c r="EO110" s="83"/>
      <c r="EP110" s="83"/>
      <c r="EQ110" s="83"/>
      <c r="ER110" s="83"/>
      <c r="ES110" s="83"/>
      <c r="ET110" s="83"/>
      <c r="EU110" s="83"/>
      <c r="EV110" s="83"/>
      <c r="EW110" s="83"/>
      <c r="EX110" s="83"/>
      <c r="EY110" s="83"/>
      <c r="EZ110" s="83"/>
      <c r="FA110" s="83"/>
      <c r="FB110" s="83"/>
      <c r="FC110" s="83"/>
      <c r="FD110" s="83"/>
      <c r="FE110" s="83"/>
      <c r="FF110" s="83"/>
      <c r="FG110" s="83"/>
      <c r="FH110" s="83"/>
      <c r="FI110" s="83"/>
      <c r="FJ110" s="83"/>
      <c r="FK110" s="83"/>
      <c r="FL110" s="83"/>
      <c r="FM110" s="83"/>
      <c r="FN110" s="83"/>
      <c r="FO110" s="83"/>
      <c r="FP110" s="83"/>
      <c r="FQ110" s="83"/>
      <c r="FR110" s="83"/>
      <c r="FS110" s="83"/>
      <c r="FT110" s="83"/>
      <c r="FU110" s="83"/>
      <c r="FV110" s="83"/>
      <c r="FW110" s="83"/>
      <c r="FX110" s="83"/>
      <c r="FY110" s="83"/>
      <c r="FZ110" s="83"/>
      <c r="GA110" s="83"/>
      <c r="GB110" s="83"/>
      <c r="GC110" s="83"/>
      <c r="GD110" s="83"/>
      <c r="GE110" s="83"/>
      <c r="GF110" s="83"/>
      <c r="GG110" s="83"/>
      <c r="GH110" s="83"/>
      <c r="GI110" s="83"/>
      <c r="GJ110" s="83"/>
      <c r="GK110" s="83"/>
      <c r="GL110" s="83"/>
      <c r="GM110" s="83"/>
      <c r="GN110" s="83"/>
      <c r="GO110" s="83"/>
      <c r="GP110" s="83"/>
      <c r="GQ110" s="83"/>
      <c r="GR110" s="83"/>
      <c r="GS110" s="83"/>
      <c r="GT110" s="83"/>
      <c r="GU110" s="83"/>
      <c r="GV110" s="83"/>
      <c r="GW110" s="83"/>
      <c r="GX110" s="83"/>
      <c r="GY110" s="83"/>
      <c r="GZ110" s="83"/>
      <c r="HA110" s="83"/>
      <c r="HB110" s="83"/>
      <c r="HC110" s="83"/>
      <c r="HD110" s="83"/>
      <c r="HE110" s="83"/>
      <c r="HF110" s="83"/>
      <c r="HG110" s="83"/>
      <c r="HH110" s="83"/>
      <c r="HI110" s="83"/>
      <c r="HJ110" s="83"/>
      <c r="HK110" s="83"/>
      <c r="HL110" s="83"/>
      <c r="HM110" s="83"/>
      <c r="HN110" s="83"/>
      <c r="HO110" s="83"/>
    </row>
    <row r="111" s="16" customFormat="1" spans="1:223">
      <c r="A111" s="55"/>
      <c r="B111" s="19" t="s">
        <v>278</v>
      </c>
      <c r="C111" s="86"/>
      <c r="D111" s="59"/>
      <c r="E111" s="53" t="s">
        <v>279</v>
      </c>
      <c r="H111" s="54"/>
      <c r="I111" s="50"/>
      <c r="J111" s="50"/>
      <c r="K111" s="50"/>
      <c r="L111" s="50"/>
      <c r="M111" s="82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  <c r="AT111" s="83"/>
      <c r="AU111" s="83"/>
      <c r="AV111" s="83"/>
      <c r="AW111" s="83"/>
      <c r="AX111" s="83"/>
      <c r="AY111" s="83"/>
      <c r="AZ111" s="83"/>
      <c r="BA111" s="83"/>
      <c r="BB111" s="83"/>
      <c r="BC111" s="83"/>
      <c r="BD111" s="83"/>
      <c r="BE111" s="83"/>
      <c r="BF111" s="83"/>
      <c r="BG111" s="83"/>
      <c r="BH111" s="83"/>
      <c r="BI111" s="83"/>
      <c r="BJ111" s="83"/>
      <c r="BK111" s="83"/>
      <c r="BL111" s="83"/>
      <c r="BM111" s="83"/>
      <c r="BN111" s="83"/>
      <c r="BO111" s="83"/>
      <c r="BP111" s="83"/>
      <c r="BQ111" s="83"/>
      <c r="BR111" s="83"/>
      <c r="BS111" s="83"/>
      <c r="BT111" s="83"/>
      <c r="BU111" s="83"/>
      <c r="BV111" s="83"/>
      <c r="BW111" s="83"/>
      <c r="BX111" s="83"/>
      <c r="BY111" s="83"/>
      <c r="BZ111" s="83"/>
      <c r="CA111" s="83"/>
      <c r="CB111" s="83"/>
      <c r="CC111" s="83"/>
      <c r="CD111" s="83"/>
      <c r="CE111" s="83"/>
      <c r="CF111" s="83"/>
      <c r="CG111" s="83"/>
      <c r="CH111" s="83"/>
      <c r="CI111" s="83"/>
      <c r="CJ111" s="83"/>
      <c r="CK111" s="83"/>
      <c r="CL111" s="83"/>
      <c r="CM111" s="83"/>
      <c r="CN111" s="83"/>
      <c r="CO111" s="83"/>
      <c r="CP111" s="83"/>
      <c r="CQ111" s="83"/>
      <c r="CR111" s="83"/>
      <c r="CS111" s="83"/>
      <c r="CT111" s="83"/>
      <c r="CU111" s="83"/>
      <c r="CV111" s="83"/>
      <c r="CW111" s="83"/>
      <c r="CX111" s="83"/>
      <c r="CY111" s="83"/>
      <c r="CZ111" s="83"/>
      <c r="DA111" s="83"/>
      <c r="DB111" s="83"/>
      <c r="DC111" s="83"/>
      <c r="DD111" s="83"/>
      <c r="DE111" s="83"/>
      <c r="DF111" s="83"/>
      <c r="DG111" s="83"/>
      <c r="DH111" s="83"/>
      <c r="DI111" s="83"/>
      <c r="DJ111" s="83"/>
      <c r="DK111" s="83"/>
      <c r="DL111" s="83"/>
      <c r="DM111" s="83"/>
      <c r="DN111" s="83"/>
      <c r="DO111" s="83"/>
      <c r="DP111" s="83"/>
      <c r="DQ111" s="83"/>
      <c r="DR111" s="83"/>
      <c r="DS111" s="83"/>
      <c r="DT111" s="83"/>
      <c r="DU111" s="83"/>
      <c r="DV111" s="83"/>
      <c r="DW111" s="83"/>
      <c r="DX111" s="83"/>
      <c r="DY111" s="83"/>
      <c r="DZ111" s="83"/>
      <c r="EA111" s="83"/>
      <c r="EB111" s="83"/>
      <c r="EC111" s="83"/>
      <c r="ED111" s="83"/>
      <c r="EE111" s="83"/>
      <c r="EF111" s="83"/>
      <c r="EG111" s="83"/>
      <c r="EH111" s="83"/>
      <c r="EI111" s="83"/>
      <c r="EJ111" s="83"/>
      <c r="EK111" s="83"/>
      <c r="EL111" s="83"/>
      <c r="EM111" s="83"/>
      <c r="EN111" s="83"/>
      <c r="EO111" s="83"/>
      <c r="EP111" s="83"/>
      <c r="EQ111" s="83"/>
      <c r="ER111" s="83"/>
      <c r="ES111" s="83"/>
      <c r="ET111" s="83"/>
      <c r="EU111" s="83"/>
      <c r="EV111" s="83"/>
      <c r="EW111" s="83"/>
      <c r="EX111" s="83"/>
      <c r="EY111" s="83"/>
      <c r="EZ111" s="83"/>
      <c r="FA111" s="83"/>
      <c r="FB111" s="83"/>
      <c r="FC111" s="83"/>
      <c r="FD111" s="83"/>
      <c r="FE111" s="83"/>
      <c r="FF111" s="83"/>
      <c r="FG111" s="83"/>
      <c r="FH111" s="83"/>
      <c r="FI111" s="83"/>
      <c r="FJ111" s="83"/>
      <c r="FK111" s="83"/>
      <c r="FL111" s="83"/>
      <c r="FM111" s="83"/>
      <c r="FN111" s="83"/>
      <c r="FO111" s="83"/>
      <c r="FP111" s="83"/>
      <c r="FQ111" s="83"/>
      <c r="FR111" s="83"/>
      <c r="FS111" s="83"/>
      <c r="FT111" s="83"/>
      <c r="FU111" s="83"/>
      <c r="FV111" s="83"/>
      <c r="FW111" s="83"/>
      <c r="FX111" s="83"/>
      <c r="FY111" s="83"/>
      <c r="FZ111" s="83"/>
      <c r="GA111" s="83"/>
      <c r="GB111" s="83"/>
      <c r="GC111" s="83"/>
      <c r="GD111" s="83"/>
      <c r="GE111" s="83"/>
      <c r="GF111" s="83"/>
      <c r="GG111" s="83"/>
      <c r="GH111" s="83"/>
      <c r="GI111" s="83"/>
      <c r="GJ111" s="83"/>
      <c r="GK111" s="83"/>
      <c r="GL111" s="83"/>
      <c r="GM111" s="83"/>
      <c r="GN111" s="83"/>
      <c r="GO111" s="83"/>
      <c r="GP111" s="83"/>
      <c r="GQ111" s="83"/>
      <c r="GR111" s="83"/>
      <c r="GS111" s="83"/>
      <c r="GT111" s="83"/>
      <c r="GU111" s="83"/>
      <c r="GV111" s="83"/>
      <c r="GW111" s="83"/>
      <c r="GX111" s="83"/>
      <c r="GY111" s="83"/>
      <c r="GZ111" s="83"/>
      <c r="HA111" s="83"/>
      <c r="HB111" s="83"/>
      <c r="HC111" s="83"/>
      <c r="HD111" s="83"/>
      <c r="HE111" s="83"/>
      <c r="HF111" s="83"/>
      <c r="HG111" s="83"/>
      <c r="HH111" s="83"/>
      <c r="HI111" s="83"/>
      <c r="HJ111" s="83"/>
      <c r="HK111" s="83"/>
      <c r="HL111" s="83"/>
      <c r="HM111" s="83"/>
      <c r="HN111" s="83"/>
      <c r="HO111" s="83"/>
    </row>
    <row r="112" s="16" customFormat="1" spans="1:223">
      <c r="A112" s="55"/>
      <c r="B112" s="19" t="s">
        <v>280</v>
      </c>
      <c r="C112" s="86"/>
      <c r="D112" s="59"/>
      <c r="E112" s="53" t="s">
        <v>281</v>
      </c>
      <c r="H112" s="54"/>
      <c r="I112" s="50"/>
      <c r="J112" s="50"/>
      <c r="K112" s="50"/>
      <c r="L112" s="50"/>
      <c r="M112" s="82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83"/>
      <c r="BG112" s="83"/>
      <c r="BH112" s="83"/>
      <c r="BI112" s="83"/>
      <c r="BJ112" s="83"/>
      <c r="BK112" s="83"/>
      <c r="BL112" s="83"/>
      <c r="BM112" s="83"/>
      <c r="BN112" s="83"/>
      <c r="BO112" s="83"/>
      <c r="BP112" s="83"/>
      <c r="BQ112" s="83"/>
      <c r="BR112" s="83"/>
      <c r="BS112" s="83"/>
      <c r="BT112" s="83"/>
      <c r="BU112" s="83"/>
      <c r="BV112" s="83"/>
      <c r="BW112" s="83"/>
      <c r="BX112" s="83"/>
      <c r="BY112" s="83"/>
      <c r="BZ112" s="83"/>
      <c r="CA112" s="83"/>
      <c r="CB112" s="83"/>
      <c r="CC112" s="83"/>
      <c r="CD112" s="83"/>
      <c r="CE112" s="83"/>
      <c r="CF112" s="83"/>
      <c r="CG112" s="83"/>
      <c r="CH112" s="83"/>
      <c r="CI112" s="83"/>
      <c r="CJ112" s="83"/>
      <c r="CK112" s="83"/>
      <c r="CL112" s="83"/>
      <c r="CM112" s="83"/>
      <c r="CN112" s="83"/>
      <c r="CO112" s="83"/>
      <c r="CP112" s="83"/>
      <c r="CQ112" s="83"/>
      <c r="CR112" s="83"/>
      <c r="CS112" s="83"/>
      <c r="CT112" s="83"/>
      <c r="CU112" s="83"/>
      <c r="CV112" s="83"/>
      <c r="CW112" s="83"/>
      <c r="CX112" s="83"/>
      <c r="CY112" s="83"/>
      <c r="CZ112" s="83"/>
      <c r="DA112" s="83"/>
      <c r="DB112" s="83"/>
      <c r="DC112" s="83"/>
      <c r="DD112" s="83"/>
      <c r="DE112" s="83"/>
      <c r="DF112" s="83"/>
      <c r="DG112" s="83"/>
      <c r="DH112" s="83"/>
      <c r="DI112" s="83"/>
      <c r="DJ112" s="83"/>
      <c r="DK112" s="83"/>
      <c r="DL112" s="83"/>
      <c r="DM112" s="83"/>
      <c r="DN112" s="83"/>
      <c r="DO112" s="83"/>
      <c r="DP112" s="83"/>
      <c r="DQ112" s="83"/>
      <c r="DR112" s="83"/>
      <c r="DS112" s="83"/>
      <c r="DT112" s="83"/>
      <c r="DU112" s="83"/>
      <c r="DV112" s="83"/>
      <c r="DW112" s="83"/>
      <c r="DX112" s="83"/>
      <c r="DY112" s="83"/>
      <c r="DZ112" s="83"/>
      <c r="EA112" s="83"/>
      <c r="EB112" s="83"/>
      <c r="EC112" s="83"/>
      <c r="ED112" s="83"/>
      <c r="EE112" s="83"/>
      <c r="EF112" s="83"/>
      <c r="EG112" s="83"/>
      <c r="EH112" s="83"/>
      <c r="EI112" s="83"/>
      <c r="EJ112" s="83"/>
      <c r="EK112" s="83"/>
      <c r="EL112" s="83"/>
      <c r="EM112" s="83"/>
      <c r="EN112" s="83"/>
      <c r="EO112" s="83"/>
      <c r="EP112" s="83"/>
      <c r="EQ112" s="83"/>
      <c r="ER112" s="83"/>
      <c r="ES112" s="83"/>
      <c r="ET112" s="83"/>
      <c r="EU112" s="83"/>
      <c r="EV112" s="83"/>
      <c r="EW112" s="83"/>
      <c r="EX112" s="83"/>
      <c r="EY112" s="83"/>
      <c r="EZ112" s="83"/>
      <c r="FA112" s="83"/>
      <c r="FB112" s="83"/>
      <c r="FC112" s="83"/>
      <c r="FD112" s="83"/>
      <c r="FE112" s="83"/>
      <c r="FF112" s="83"/>
      <c r="FG112" s="83"/>
      <c r="FH112" s="83"/>
      <c r="FI112" s="83"/>
      <c r="FJ112" s="83"/>
      <c r="FK112" s="83"/>
      <c r="FL112" s="83"/>
      <c r="FM112" s="83"/>
      <c r="FN112" s="83"/>
      <c r="FO112" s="83"/>
      <c r="FP112" s="83"/>
      <c r="FQ112" s="83"/>
      <c r="FR112" s="83"/>
      <c r="FS112" s="83"/>
      <c r="FT112" s="83"/>
      <c r="FU112" s="83"/>
      <c r="FV112" s="83"/>
      <c r="FW112" s="83"/>
      <c r="FX112" s="83"/>
      <c r="FY112" s="83"/>
      <c r="FZ112" s="83"/>
      <c r="GA112" s="83"/>
      <c r="GB112" s="83"/>
      <c r="GC112" s="83"/>
      <c r="GD112" s="83"/>
      <c r="GE112" s="83"/>
      <c r="GF112" s="83"/>
      <c r="GG112" s="83"/>
      <c r="GH112" s="83"/>
      <c r="GI112" s="83"/>
      <c r="GJ112" s="83"/>
      <c r="GK112" s="83"/>
      <c r="GL112" s="83"/>
      <c r="GM112" s="83"/>
      <c r="GN112" s="83"/>
      <c r="GO112" s="83"/>
      <c r="GP112" s="83"/>
      <c r="GQ112" s="83"/>
      <c r="GR112" s="83"/>
      <c r="GS112" s="83"/>
      <c r="GT112" s="83"/>
      <c r="GU112" s="83"/>
      <c r="GV112" s="83"/>
      <c r="GW112" s="83"/>
      <c r="GX112" s="83"/>
      <c r="GY112" s="83"/>
      <c r="GZ112" s="83"/>
      <c r="HA112" s="83"/>
      <c r="HB112" s="83"/>
      <c r="HC112" s="83"/>
      <c r="HD112" s="83"/>
      <c r="HE112" s="83"/>
      <c r="HF112" s="83"/>
      <c r="HG112" s="83"/>
      <c r="HH112" s="83"/>
      <c r="HI112" s="83"/>
      <c r="HJ112" s="83"/>
      <c r="HK112" s="83"/>
      <c r="HL112" s="83"/>
      <c r="HM112" s="83"/>
      <c r="HN112" s="83"/>
      <c r="HO112" s="83"/>
    </row>
    <row r="113" s="16" customFormat="1" spans="1:223">
      <c r="A113" s="55"/>
      <c r="B113" s="19" t="s">
        <v>282</v>
      </c>
      <c r="C113" s="86"/>
      <c r="D113" s="59"/>
      <c r="E113" s="53" t="s">
        <v>283</v>
      </c>
      <c r="H113" s="54"/>
      <c r="I113" s="50"/>
      <c r="J113" s="50"/>
      <c r="K113" s="50"/>
      <c r="L113" s="50"/>
      <c r="M113" s="82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83"/>
      <c r="BG113" s="83"/>
      <c r="BH113" s="83"/>
      <c r="BI113" s="83"/>
      <c r="BJ113" s="83"/>
      <c r="BK113" s="83"/>
      <c r="BL113" s="83"/>
      <c r="BM113" s="83"/>
      <c r="BN113" s="83"/>
      <c r="BO113" s="83"/>
      <c r="BP113" s="83"/>
      <c r="BQ113" s="83"/>
      <c r="BR113" s="83"/>
      <c r="BS113" s="83"/>
      <c r="BT113" s="83"/>
      <c r="BU113" s="83"/>
      <c r="BV113" s="83"/>
      <c r="BW113" s="83"/>
      <c r="BX113" s="83"/>
      <c r="BY113" s="83"/>
      <c r="BZ113" s="83"/>
      <c r="CA113" s="83"/>
      <c r="CB113" s="83"/>
      <c r="CC113" s="83"/>
      <c r="CD113" s="83"/>
      <c r="CE113" s="83"/>
      <c r="CF113" s="83"/>
      <c r="CG113" s="83"/>
      <c r="CH113" s="83"/>
      <c r="CI113" s="83"/>
      <c r="CJ113" s="83"/>
      <c r="CK113" s="83"/>
      <c r="CL113" s="83"/>
      <c r="CM113" s="83"/>
      <c r="CN113" s="83"/>
      <c r="CO113" s="83"/>
      <c r="CP113" s="83"/>
      <c r="CQ113" s="83"/>
      <c r="CR113" s="83"/>
      <c r="CS113" s="83"/>
      <c r="CT113" s="83"/>
      <c r="CU113" s="83"/>
      <c r="CV113" s="83"/>
      <c r="CW113" s="83"/>
      <c r="CX113" s="83"/>
      <c r="CY113" s="83"/>
      <c r="CZ113" s="83"/>
      <c r="DA113" s="83"/>
      <c r="DB113" s="83"/>
      <c r="DC113" s="83"/>
      <c r="DD113" s="83"/>
      <c r="DE113" s="83"/>
      <c r="DF113" s="83"/>
      <c r="DG113" s="83"/>
      <c r="DH113" s="83"/>
      <c r="DI113" s="83"/>
      <c r="DJ113" s="83"/>
      <c r="DK113" s="83"/>
      <c r="DL113" s="83"/>
      <c r="DM113" s="83"/>
      <c r="DN113" s="83"/>
      <c r="DO113" s="83"/>
      <c r="DP113" s="83"/>
      <c r="DQ113" s="83"/>
      <c r="DR113" s="83"/>
      <c r="DS113" s="83"/>
      <c r="DT113" s="83"/>
      <c r="DU113" s="83"/>
      <c r="DV113" s="83"/>
      <c r="DW113" s="83"/>
      <c r="DX113" s="83"/>
      <c r="DY113" s="83"/>
      <c r="DZ113" s="83"/>
      <c r="EA113" s="83"/>
      <c r="EB113" s="83"/>
      <c r="EC113" s="83"/>
      <c r="ED113" s="83"/>
      <c r="EE113" s="83"/>
      <c r="EF113" s="83"/>
      <c r="EG113" s="83"/>
      <c r="EH113" s="83"/>
      <c r="EI113" s="83"/>
      <c r="EJ113" s="83"/>
      <c r="EK113" s="83"/>
      <c r="EL113" s="83"/>
      <c r="EM113" s="83"/>
      <c r="EN113" s="83"/>
      <c r="EO113" s="83"/>
      <c r="EP113" s="83"/>
      <c r="EQ113" s="83"/>
      <c r="ER113" s="83"/>
      <c r="ES113" s="83"/>
      <c r="ET113" s="83"/>
      <c r="EU113" s="83"/>
      <c r="EV113" s="83"/>
      <c r="EW113" s="83"/>
      <c r="EX113" s="83"/>
      <c r="EY113" s="83"/>
      <c r="EZ113" s="83"/>
      <c r="FA113" s="83"/>
      <c r="FB113" s="83"/>
      <c r="FC113" s="83"/>
      <c r="FD113" s="83"/>
      <c r="FE113" s="83"/>
      <c r="FF113" s="83"/>
      <c r="FG113" s="83"/>
      <c r="FH113" s="83"/>
      <c r="FI113" s="83"/>
      <c r="FJ113" s="83"/>
      <c r="FK113" s="83"/>
      <c r="FL113" s="83"/>
      <c r="FM113" s="83"/>
      <c r="FN113" s="83"/>
      <c r="FO113" s="83"/>
      <c r="FP113" s="83"/>
      <c r="FQ113" s="83"/>
      <c r="FR113" s="83"/>
      <c r="FS113" s="83"/>
      <c r="FT113" s="83"/>
      <c r="FU113" s="83"/>
      <c r="FV113" s="83"/>
      <c r="FW113" s="83"/>
      <c r="FX113" s="83"/>
      <c r="FY113" s="83"/>
      <c r="FZ113" s="83"/>
      <c r="GA113" s="83"/>
      <c r="GB113" s="83"/>
      <c r="GC113" s="83"/>
      <c r="GD113" s="83"/>
      <c r="GE113" s="83"/>
      <c r="GF113" s="83"/>
      <c r="GG113" s="83"/>
      <c r="GH113" s="83"/>
      <c r="GI113" s="83"/>
      <c r="GJ113" s="83"/>
      <c r="GK113" s="83"/>
      <c r="GL113" s="83"/>
      <c r="GM113" s="83"/>
      <c r="GN113" s="83"/>
      <c r="GO113" s="83"/>
      <c r="GP113" s="83"/>
      <c r="GQ113" s="83"/>
      <c r="GR113" s="83"/>
      <c r="GS113" s="83"/>
      <c r="GT113" s="83"/>
      <c r="GU113" s="83"/>
      <c r="GV113" s="83"/>
      <c r="GW113" s="83"/>
      <c r="GX113" s="83"/>
      <c r="GY113" s="83"/>
      <c r="GZ113" s="83"/>
      <c r="HA113" s="83"/>
      <c r="HB113" s="83"/>
      <c r="HC113" s="83"/>
      <c r="HD113" s="83"/>
      <c r="HE113" s="83"/>
      <c r="HF113" s="83"/>
      <c r="HG113" s="83"/>
      <c r="HH113" s="83"/>
      <c r="HI113" s="83"/>
      <c r="HJ113" s="83"/>
      <c r="HK113" s="83"/>
      <c r="HL113" s="83"/>
      <c r="HM113" s="83"/>
      <c r="HN113" s="83"/>
      <c r="HO113" s="83"/>
    </row>
    <row r="114" s="16" customFormat="1" spans="1:223">
      <c r="A114" s="55"/>
      <c r="B114" s="19" t="s">
        <v>284</v>
      </c>
      <c r="C114" s="86"/>
      <c r="D114" s="59"/>
      <c r="E114" s="53" t="s">
        <v>285</v>
      </c>
      <c r="H114" s="54"/>
      <c r="I114" s="50"/>
      <c r="J114" s="50"/>
      <c r="K114" s="50"/>
      <c r="L114" s="50"/>
      <c r="M114" s="82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/>
      <c r="AQ114" s="83"/>
      <c r="AR114" s="83"/>
      <c r="AS114" s="83"/>
      <c r="AT114" s="83"/>
      <c r="AU114" s="83"/>
      <c r="AV114" s="83"/>
      <c r="AW114" s="83"/>
      <c r="AX114" s="83"/>
      <c r="AY114" s="83"/>
      <c r="AZ114" s="83"/>
      <c r="BA114" s="83"/>
      <c r="BB114" s="83"/>
      <c r="BC114" s="83"/>
      <c r="BD114" s="83"/>
      <c r="BE114" s="83"/>
      <c r="BF114" s="83"/>
      <c r="BG114" s="83"/>
      <c r="BH114" s="83"/>
      <c r="BI114" s="83"/>
      <c r="BJ114" s="83"/>
      <c r="BK114" s="83"/>
      <c r="BL114" s="83"/>
      <c r="BM114" s="83"/>
      <c r="BN114" s="83"/>
      <c r="BO114" s="83"/>
      <c r="BP114" s="83"/>
      <c r="BQ114" s="83"/>
      <c r="BR114" s="83"/>
      <c r="BS114" s="83"/>
      <c r="BT114" s="83"/>
      <c r="BU114" s="83"/>
      <c r="BV114" s="83"/>
      <c r="BW114" s="83"/>
      <c r="BX114" s="83"/>
      <c r="BY114" s="83"/>
      <c r="BZ114" s="83"/>
      <c r="CA114" s="83"/>
      <c r="CB114" s="83"/>
      <c r="CC114" s="83"/>
      <c r="CD114" s="83"/>
      <c r="CE114" s="83"/>
      <c r="CF114" s="83"/>
      <c r="CG114" s="83"/>
      <c r="CH114" s="83"/>
      <c r="CI114" s="83"/>
      <c r="CJ114" s="83"/>
      <c r="CK114" s="83"/>
      <c r="CL114" s="83"/>
      <c r="CM114" s="83"/>
      <c r="CN114" s="83"/>
      <c r="CO114" s="83"/>
      <c r="CP114" s="83"/>
      <c r="CQ114" s="83"/>
      <c r="CR114" s="83"/>
      <c r="CS114" s="83"/>
      <c r="CT114" s="83"/>
      <c r="CU114" s="83"/>
      <c r="CV114" s="83"/>
      <c r="CW114" s="83"/>
      <c r="CX114" s="83"/>
      <c r="CY114" s="83"/>
      <c r="CZ114" s="83"/>
      <c r="DA114" s="83"/>
      <c r="DB114" s="83"/>
      <c r="DC114" s="83"/>
      <c r="DD114" s="83"/>
      <c r="DE114" s="83"/>
      <c r="DF114" s="83"/>
      <c r="DG114" s="83"/>
      <c r="DH114" s="83"/>
      <c r="DI114" s="83"/>
      <c r="DJ114" s="83"/>
      <c r="DK114" s="83"/>
      <c r="DL114" s="83"/>
      <c r="DM114" s="83"/>
      <c r="DN114" s="83"/>
      <c r="DO114" s="83"/>
      <c r="DP114" s="83"/>
      <c r="DQ114" s="83"/>
      <c r="DR114" s="83"/>
      <c r="DS114" s="83"/>
      <c r="DT114" s="83"/>
      <c r="DU114" s="83"/>
      <c r="DV114" s="83"/>
      <c r="DW114" s="83"/>
      <c r="DX114" s="83"/>
      <c r="DY114" s="83"/>
      <c r="DZ114" s="83"/>
      <c r="EA114" s="83"/>
      <c r="EB114" s="83"/>
      <c r="EC114" s="83"/>
      <c r="ED114" s="83"/>
      <c r="EE114" s="83"/>
      <c r="EF114" s="83"/>
      <c r="EG114" s="83"/>
      <c r="EH114" s="83"/>
      <c r="EI114" s="83"/>
      <c r="EJ114" s="83"/>
      <c r="EK114" s="83"/>
      <c r="EL114" s="83"/>
      <c r="EM114" s="83"/>
      <c r="EN114" s="83"/>
      <c r="EO114" s="83"/>
      <c r="EP114" s="83"/>
      <c r="EQ114" s="83"/>
      <c r="ER114" s="83"/>
      <c r="ES114" s="83"/>
      <c r="ET114" s="83"/>
      <c r="EU114" s="83"/>
      <c r="EV114" s="83"/>
      <c r="EW114" s="83"/>
      <c r="EX114" s="83"/>
      <c r="EY114" s="83"/>
      <c r="EZ114" s="83"/>
      <c r="FA114" s="83"/>
      <c r="FB114" s="83"/>
      <c r="FC114" s="83"/>
      <c r="FD114" s="83"/>
      <c r="FE114" s="83"/>
      <c r="FF114" s="83"/>
      <c r="FG114" s="83"/>
      <c r="FH114" s="83"/>
      <c r="FI114" s="83"/>
      <c r="FJ114" s="83"/>
      <c r="FK114" s="83"/>
      <c r="FL114" s="83"/>
      <c r="FM114" s="83"/>
      <c r="FN114" s="83"/>
      <c r="FO114" s="83"/>
      <c r="FP114" s="83"/>
      <c r="FQ114" s="83"/>
      <c r="FR114" s="83"/>
      <c r="FS114" s="83"/>
      <c r="FT114" s="83"/>
      <c r="FU114" s="83"/>
      <c r="FV114" s="83"/>
      <c r="FW114" s="83"/>
      <c r="FX114" s="83"/>
      <c r="FY114" s="83"/>
      <c r="FZ114" s="83"/>
      <c r="GA114" s="83"/>
      <c r="GB114" s="83"/>
      <c r="GC114" s="83"/>
      <c r="GD114" s="83"/>
      <c r="GE114" s="83"/>
      <c r="GF114" s="83"/>
      <c r="GG114" s="83"/>
      <c r="GH114" s="83"/>
      <c r="GI114" s="83"/>
      <c r="GJ114" s="83"/>
      <c r="GK114" s="83"/>
      <c r="GL114" s="83"/>
      <c r="GM114" s="83"/>
      <c r="GN114" s="83"/>
      <c r="GO114" s="83"/>
      <c r="GP114" s="83"/>
      <c r="GQ114" s="83"/>
      <c r="GR114" s="83"/>
      <c r="GS114" s="83"/>
      <c r="GT114" s="83"/>
      <c r="GU114" s="83"/>
      <c r="GV114" s="83"/>
      <c r="GW114" s="83"/>
      <c r="GX114" s="83"/>
      <c r="GY114" s="83"/>
      <c r="GZ114" s="83"/>
      <c r="HA114" s="83"/>
      <c r="HB114" s="83"/>
      <c r="HC114" s="83"/>
      <c r="HD114" s="83"/>
      <c r="HE114" s="83"/>
      <c r="HF114" s="83"/>
      <c r="HG114" s="83"/>
      <c r="HH114" s="83"/>
      <c r="HI114" s="83"/>
      <c r="HJ114" s="83"/>
      <c r="HK114" s="83"/>
      <c r="HL114" s="83"/>
      <c r="HM114" s="83"/>
      <c r="HN114" s="83"/>
      <c r="HO114" s="83"/>
    </row>
    <row r="115" ht="15" spans="1:13">
      <c r="A115" s="87" t="s">
        <v>286</v>
      </c>
      <c r="B115" s="41"/>
      <c r="C115" s="87"/>
      <c r="D115" s="87"/>
      <c r="E115" s="41"/>
      <c r="F115" s="41"/>
      <c r="G115" s="41"/>
      <c r="H115" s="42"/>
      <c r="I115" s="72"/>
      <c r="J115" s="42"/>
      <c r="K115" s="42"/>
      <c r="L115" s="42"/>
      <c r="M115" s="41"/>
    </row>
    <row r="116" spans="1:13">
      <c r="A116" s="43" t="s">
        <v>38</v>
      </c>
      <c r="B116" s="44" t="s">
        <v>39</v>
      </c>
      <c r="C116" s="44" t="s">
        <v>40</v>
      </c>
      <c r="D116" s="45" t="s">
        <v>41</v>
      </c>
      <c r="E116" s="27" t="s">
        <v>42</v>
      </c>
      <c r="F116" s="44" t="s">
        <v>43</v>
      </c>
      <c r="G116" s="46" t="s">
        <v>44</v>
      </c>
      <c r="H116" s="46" t="s">
        <v>45</v>
      </c>
      <c r="I116" s="75"/>
      <c r="J116" s="75"/>
      <c r="K116" s="76"/>
      <c r="L116" s="76"/>
      <c r="M116" s="77" t="s">
        <v>6</v>
      </c>
    </row>
    <row r="117" spans="1:12">
      <c r="A117" s="19" t="s">
        <v>287</v>
      </c>
      <c r="B117" s="19" t="s">
        <v>288</v>
      </c>
      <c r="C117" s="88" t="s">
        <v>289</v>
      </c>
      <c r="D117" s="89" t="s">
        <v>290</v>
      </c>
      <c r="E117" s="90" t="s">
        <v>291</v>
      </c>
      <c r="H117" s="47" t="s">
        <v>292</v>
      </c>
      <c r="I117" s="92" t="s">
        <v>18</v>
      </c>
      <c r="J117" s="92" t="s">
        <v>18</v>
      </c>
      <c r="K117" s="79" t="s">
        <v>18</v>
      </c>
      <c r="L117" s="79" t="s">
        <v>18</v>
      </c>
    </row>
    <row r="118" spans="1:12">
      <c r="A118" s="19"/>
      <c r="B118" s="19" t="s">
        <v>293</v>
      </c>
      <c r="C118" s="88"/>
      <c r="D118" s="89" t="s">
        <v>294</v>
      </c>
      <c r="E118" s="90" t="s">
        <v>291</v>
      </c>
      <c r="H118" s="13" t="s">
        <v>292</v>
      </c>
      <c r="I118" s="79" t="s">
        <v>18</v>
      </c>
      <c r="J118" s="79" t="s">
        <v>18</v>
      </c>
      <c r="K118" s="79" t="s">
        <v>18</v>
      </c>
      <c r="L118" s="79" t="s">
        <v>18</v>
      </c>
    </row>
    <row r="119" spans="1:12">
      <c r="A119" s="19"/>
      <c r="B119" s="19" t="s">
        <v>295</v>
      </c>
      <c r="C119" s="88"/>
      <c r="D119" s="89" t="s">
        <v>296</v>
      </c>
      <c r="E119" s="90" t="s">
        <v>297</v>
      </c>
      <c r="H119" s="13" t="s">
        <v>18</v>
      </c>
      <c r="I119" s="79" t="s">
        <v>18</v>
      </c>
      <c r="J119" s="79" t="s">
        <v>18</v>
      </c>
      <c r="K119" s="79" t="s">
        <v>18</v>
      </c>
      <c r="L119" s="79" t="s">
        <v>18</v>
      </c>
    </row>
    <row r="120" spans="1:12">
      <c r="A120" s="19"/>
      <c r="B120" s="19" t="s">
        <v>298</v>
      </c>
      <c r="C120" s="88"/>
      <c r="D120" s="89" t="s">
        <v>299</v>
      </c>
      <c r="E120" s="90" t="s">
        <v>300</v>
      </c>
      <c r="H120" s="13" t="s">
        <v>18</v>
      </c>
      <c r="I120" s="79" t="s">
        <v>18</v>
      </c>
      <c r="J120" s="79" t="s">
        <v>18</v>
      </c>
      <c r="K120" s="79" t="s">
        <v>18</v>
      </c>
      <c r="L120" s="79" t="s">
        <v>18</v>
      </c>
    </row>
    <row r="121" spans="1:12">
      <c r="A121" s="19"/>
      <c r="B121" s="19" t="s">
        <v>301</v>
      </c>
      <c r="C121" s="19" t="s">
        <v>88</v>
      </c>
      <c r="D121" s="20" t="s">
        <v>302</v>
      </c>
      <c r="E121" s="20" t="s">
        <v>303</v>
      </c>
      <c r="H121" s="13" t="s">
        <v>24</v>
      </c>
      <c r="I121" s="79" t="s">
        <v>18</v>
      </c>
      <c r="J121" s="79" t="s">
        <v>18</v>
      </c>
      <c r="K121" s="79" t="s">
        <v>18</v>
      </c>
      <c r="L121" s="79" t="s">
        <v>18</v>
      </c>
    </row>
    <row r="122" spans="1:12">
      <c r="A122" s="19" t="s">
        <v>304</v>
      </c>
      <c r="B122" s="19" t="s">
        <v>305</v>
      </c>
      <c r="C122" s="19" t="s">
        <v>306</v>
      </c>
      <c r="D122" s="20" t="s">
        <v>307</v>
      </c>
      <c r="E122" s="20" t="s">
        <v>308</v>
      </c>
      <c r="H122" s="13" t="s">
        <v>18</v>
      </c>
      <c r="I122" s="79" t="s">
        <v>18</v>
      </c>
      <c r="J122" s="79" t="s">
        <v>18</v>
      </c>
      <c r="K122" s="79" t="s">
        <v>18</v>
      </c>
      <c r="L122" s="79" t="s">
        <v>18</v>
      </c>
    </row>
    <row r="123" spans="1:12">
      <c r="A123" s="19"/>
      <c r="B123" s="19" t="s">
        <v>309</v>
      </c>
      <c r="D123" s="20" t="s">
        <v>310</v>
      </c>
      <c r="E123" s="20" t="s">
        <v>311</v>
      </c>
      <c r="H123" s="13" t="s">
        <v>18</v>
      </c>
      <c r="I123" s="79" t="s">
        <v>18</v>
      </c>
      <c r="J123" s="79" t="s">
        <v>18</v>
      </c>
      <c r="K123" s="79" t="s">
        <v>18</v>
      </c>
      <c r="L123" s="79" t="s">
        <v>18</v>
      </c>
    </row>
    <row r="124" spans="1:12">
      <c r="A124" s="19"/>
      <c r="B124" s="19" t="s">
        <v>312</v>
      </c>
      <c r="D124" s="20" t="s">
        <v>313</v>
      </c>
      <c r="E124" s="20" t="s">
        <v>314</v>
      </c>
      <c r="H124" s="13" t="s">
        <v>18</v>
      </c>
      <c r="I124" s="79" t="s">
        <v>18</v>
      </c>
      <c r="J124" s="79" t="s">
        <v>18</v>
      </c>
      <c r="K124" s="79" t="s">
        <v>18</v>
      </c>
      <c r="L124" s="79" t="s">
        <v>18</v>
      </c>
    </row>
    <row r="125" ht="33" spans="1:13">
      <c r="A125" s="19"/>
      <c r="B125" s="19" t="s">
        <v>315</v>
      </c>
      <c r="D125" s="20" t="s">
        <v>316</v>
      </c>
      <c r="E125" s="20" t="s">
        <v>317</v>
      </c>
      <c r="H125" s="13" t="s">
        <v>24</v>
      </c>
      <c r="I125" s="80" t="s">
        <v>24</v>
      </c>
      <c r="J125" s="80" t="s">
        <v>24</v>
      </c>
      <c r="K125" s="79" t="s">
        <v>18</v>
      </c>
      <c r="L125" s="79" t="s">
        <v>18</v>
      </c>
      <c r="M125" s="20" t="s">
        <v>318</v>
      </c>
    </row>
    <row r="126" spans="1:12">
      <c r="A126" s="19"/>
      <c r="B126" s="19" t="s">
        <v>319</v>
      </c>
      <c r="D126" s="20" t="s">
        <v>320</v>
      </c>
      <c r="E126" s="20" t="s">
        <v>321</v>
      </c>
      <c r="H126" s="13" t="s">
        <v>18</v>
      </c>
      <c r="I126" s="79" t="s">
        <v>18</v>
      </c>
      <c r="J126" s="79" t="s">
        <v>18</v>
      </c>
      <c r="K126" s="79" t="s">
        <v>18</v>
      </c>
      <c r="L126" s="79" t="s">
        <v>18</v>
      </c>
    </row>
    <row r="127" spans="1:12">
      <c r="A127" s="19"/>
      <c r="B127" s="19" t="s">
        <v>322</v>
      </c>
      <c r="D127" s="91" t="s">
        <v>323</v>
      </c>
      <c r="E127" s="20" t="s">
        <v>324</v>
      </c>
      <c r="H127" s="13" t="s">
        <v>18</v>
      </c>
      <c r="I127" s="79" t="s">
        <v>18</v>
      </c>
      <c r="J127" s="79" t="s">
        <v>18</v>
      </c>
      <c r="K127" s="79" t="s">
        <v>18</v>
      </c>
      <c r="L127" s="79" t="s">
        <v>18</v>
      </c>
    </row>
    <row r="128" ht="33" spans="1:12">
      <c r="A128" s="19"/>
      <c r="B128" s="19" t="s">
        <v>325</v>
      </c>
      <c r="D128" s="91"/>
      <c r="E128" s="20" t="s">
        <v>326</v>
      </c>
      <c r="H128" s="13" t="s">
        <v>18</v>
      </c>
      <c r="I128" s="79" t="s">
        <v>18</v>
      </c>
      <c r="J128" s="79" t="s">
        <v>18</v>
      </c>
      <c r="K128" s="79" t="s">
        <v>18</v>
      </c>
      <c r="L128" s="79" t="s">
        <v>18</v>
      </c>
    </row>
    <row r="129" ht="33" spans="1:13">
      <c r="A129" s="19"/>
      <c r="B129" s="19" t="s">
        <v>327</v>
      </c>
      <c r="C129" s="19" t="s">
        <v>328</v>
      </c>
      <c r="D129" s="20" t="s">
        <v>329</v>
      </c>
      <c r="E129" s="20" t="s">
        <v>317</v>
      </c>
      <c r="H129" s="13" t="s">
        <v>24</v>
      </c>
      <c r="I129" s="79" t="s">
        <v>18</v>
      </c>
      <c r="J129" s="80" t="s">
        <v>24</v>
      </c>
      <c r="K129" s="80" t="s">
        <v>24</v>
      </c>
      <c r="L129" s="80" t="s">
        <v>24</v>
      </c>
      <c r="M129" s="20" t="s">
        <v>330</v>
      </c>
    </row>
    <row r="130" spans="1:12">
      <c r="A130" s="19"/>
      <c r="B130" s="19" t="s">
        <v>331</v>
      </c>
      <c r="D130" s="20" t="s">
        <v>332</v>
      </c>
      <c r="E130" s="20" t="s">
        <v>333</v>
      </c>
      <c r="H130" s="13" t="s">
        <v>18</v>
      </c>
      <c r="I130" s="79" t="s">
        <v>18</v>
      </c>
      <c r="J130" s="79" t="s">
        <v>18</v>
      </c>
      <c r="K130" s="79" t="s">
        <v>18</v>
      </c>
      <c r="L130" s="79" t="s">
        <v>18</v>
      </c>
    </row>
    <row r="131" spans="1:12">
      <c r="A131" s="19"/>
      <c r="B131" s="19" t="s">
        <v>334</v>
      </c>
      <c r="D131" s="20" t="s">
        <v>335</v>
      </c>
      <c r="E131" s="20" t="s">
        <v>336</v>
      </c>
      <c r="H131" s="13" t="s">
        <v>18</v>
      </c>
      <c r="I131" s="79" t="s">
        <v>18</v>
      </c>
      <c r="J131" s="79" t="s">
        <v>18</v>
      </c>
      <c r="K131" s="79" t="s">
        <v>18</v>
      </c>
      <c r="L131" s="79" t="s">
        <v>18</v>
      </c>
    </row>
    <row r="132" spans="1:13">
      <c r="A132" s="19"/>
      <c r="B132" s="19" t="s">
        <v>337</v>
      </c>
      <c r="D132" s="20" t="s">
        <v>338</v>
      </c>
      <c r="E132" s="20" t="s">
        <v>339</v>
      </c>
      <c r="H132" s="13" t="s">
        <v>24</v>
      </c>
      <c r="I132" s="79" t="s">
        <v>18</v>
      </c>
      <c r="J132" s="79" t="s">
        <v>18</v>
      </c>
      <c r="K132" s="79" t="s">
        <v>18</v>
      </c>
      <c r="L132" s="79" t="s">
        <v>18</v>
      </c>
      <c r="M132" s="20" t="s">
        <v>340</v>
      </c>
    </row>
    <row r="133" spans="1:12">
      <c r="A133" s="19"/>
      <c r="B133" s="19" t="s">
        <v>341</v>
      </c>
      <c r="E133" s="20" t="s">
        <v>342</v>
      </c>
      <c r="H133" s="13" t="s">
        <v>18</v>
      </c>
      <c r="I133" s="79" t="s">
        <v>18</v>
      </c>
      <c r="J133" s="79" t="s">
        <v>18</v>
      </c>
      <c r="K133" s="79" t="s">
        <v>18</v>
      </c>
      <c r="L133" s="79" t="s">
        <v>18</v>
      </c>
    </row>
    <row r="134" ht="49.5" spans="1:13">
      <c r="A134" s="19"/>
      <c r="B134" s="19" t="s">
        <v>343</v>
      </c>
      <c r="D134" s="20" t="s">
        <v>344</v>
      </c>
      <c r="E134" s="20" t="s">
        <v>345</v>
      </c>
      <c r="H134" s="13" t="s">
        <v>18</v>
      </c>
      <c r="I134" s="80" t="s">
        <v>24</v>
      </c>
      <c r="J134" s="79" t="s">
        <v>18</v>
      </c>
      <c r="K134" s="79" t="s">
        <v>18</v>
      </c>
      <c r="L134" s="79" t="s">
        <v>18</v>
      </c>
      <c r="M134" s="20" t="s">
        <v>346</v>
      </c>
    </row>
    <row r="135" spans="1:12">
      <c r="A135" s="19"/>
      <c r="B135" s="19" t="s">
        <v>347</v>
      </c>
      <c r="E135" s="20" t="s">
        <v>348</v>
      </c>
      <c r="H135" s="13" t="s">
        <v>18</v>
      </c>
      <c r="I135" s="79" t="s">
        <v>18</v>
      </c>
      <c r="J135" s="79" t="s">
        <v>18</v>
      </c>
      <c r="K135" s="79" t="s">
        <v>18</v>
      </c>
      <c r="L135" s="79" t="s">
        <v>18</v>
      </c>
    </row>
    <row r="136" spans="1:12">
      <c r="A136" s="19"/>
      <c r="B136" s="19" t="s">
        <v>349</v>
      </c>
      <c r="D136" s="20" t="s">
        <v>350</v>
      </c>
      <c r="E136" s="20" t="s">
        <v>351</v>
      </c>
      <c r="H136" s="13" t="s">
        <v>24</v>
      </c>
      <c r="I136" s="79" t="s">
        <v>18</v>
      </c>
      <c r="J136" s="79" t="s">
        <v>18</v>
      </c>
      <c r="K136" s="79" t="s">
        <v>18</v>
      </c>
      <c r="L136" s="79" t="s">
        <v>18</v>
      </c>
    </row>
    <row r="137" ht="33" spans="1:13">
      <c r="A137" s="19"/>
      <c r="B137" s="19" t="s">
        <v>352</v>
      </c>
      <c r="D137" s="20" t="s">
        <v>353</v>
      </c>
      <c r="E137" s="20" t="s">
        <v>354</v>
      </c>
      <c r="H137" s="13" t="s">
        <v>24</v>
      </c>
      <c r="I137" s="79" t="s">
        <v>18</v>
      </c>
      <c r="J137" s="80" t="s">
        <v>24</v>
      </c>
      <c r="K137" s="80" t="s">
        <v>24</v>
      </c>
      <c r="L137" s="80" t="s">
        <v>24</v>
      </c>
      <c r="M137" s="20" t="s">
        <v>355</v>
      </c>
    </row>
    <row r="138" ht="33" spans="1:12">
      <c r="A138" s="19"/>
      <c r="B138" s="19" t="s">
        <v>356</v>
      </c>
      <c r="D138" s="20" t="s">
        <v>357</v>
      </c>
      <c r="E138" s="20" t="s">
        <v>358</v>
      </c>
      <c r="H138" s="13" t="s">
        <v>24</v>
      </c>
      <c r="I138" s="79" t="s">
        <v>18</v>
      </c>
      <c r="J138" s="79" t="s">
        <v>18</v>
      </c>
      <c r="K138" s="79" t="s">
        <v>18</v>
      </c>
      <c r="L138" s="79" t="s">
        <v>18</v>
      </c>
    </row>
    <row r="139" spans="1:12">
      <c r="A139" s="19" t="s">
        <v>359</v>
      </c>
      <c r="B139" s="19" t="s">
        <v>360</v>
      </c>
      <c r="C139" s="19" t="s">
        <v>361</v>
      </c>
      <c r="D139" s="20" t="s">
        <v>362</v>
      </c>
      <c r="E139" s="20" t="s">
        <v>363</v>
      </c>
      <c r="H139" s="13" t="s">
        <v>18</v>
      </c>
      <c r="I139" s="79" t="s">
        <v>18</v>
      </c>
      <c r="J139" s="79" t="s">
        <v>18</v>
      </c>
      <c r="K139" s="79" t="s">
        <v>18</v>
      </c>
      <c r="L139" s="79" t="s">
        <v>18</v>
      </c>
    </row>
    <row r="140" spans="1:12">
      <c r="A140" s="19"/>
      <c r="B140" s="19" t="s">
        <v>364</v>
      </c>
      <c r="D140" s="20" t="s">
        <v>365</v>
      </c>
      <c r="E140" s="20" t="s">
        <v>366</v>
      </c>
      <c r="H140" s="13" t="s">
        <v>24</v>
      </c>
      <c r="I140" s="79" t="s">
        <v>18</v>
      </c>
      <c r="J140" s="79" t="s">
        <v>18</v>
      </c>
      <c r="K140" s="79" t="s">
        <v>18</v>
      </c>
      <c r="L140" s="79" t="s">
        <v>18</v>
      </c>
    </row>
    <row r="141" spans="1:12">
      <c r="A141" s="19"/>
      <c r="B141" s="19" t="s">
        <v>367</v>
      </c>
      <c r="D141" s="20" t="s">
        <v>368</v>
      </c>
      <c r="E141" s="20" t="s">
        <v>369</v>
      </c>
      <c r="H141" s="13" t="s">
        <v>24</v>
      </c>
      <c r="I141" s="79" t="s">
        <v>18</v>
      </c>
      <c r="J141" s="79" t="s">
        <v>18</v>
      </c>
      <c r="K141" s="79" t="s">
        <v>18</v>
      </c>
      <c r="L141" s="79" t="s">
        <v>18</v>
      </c>
    </row>
    <row r="142" spans="1:12">
      <c r="A142" s="19"/>
      <c r="B142" s="19" t="s">
        <v>370</v>
      </c>
      <c r="D142" s="20" t="s">
        <v>371</v>
      </c>
      <c r="E142" s="20" t="s">
        <v>372</v>
      </c>
      <c r="H142" s="13" t="s">
        <v>18</v>
      </c>
      <c r="I142" s="79" t="s">
        <v>18</v>
      </c>
      <c r="J142" s="79" t="s">
        <v>18</v>
      </c>
      <c r="K142" s="79" t="s">
        <v>18</v>
      </c>
      <c r="L142" s="79" t="s">
        <v>18</v>
      </c>
    </row>
    <row r="143" spans="1:12">
      <c r="A143" s="19"/>
      <c r="B143" s="19" t="s">
        <v>373</v>
      </c>
      <c r="E143" s="20" t="s">
        <v>374</v>
      </c>
      <c r="H143" s="13" t="s">
        <v>18</v>
      </c>
      <c r="I143" s="79" t="s">
        <v>18</v>
      </c>
      <c r="J143" s="79" t="s">
        <v>18</v>
      </c>
      <c r="K143" s="79" t="s">
        <v>18</v>
      </c>
      <c r="L143" s="79" t="s">
        <v>18</v>
      </c>
    </row>
    <row r="144" ht="33" spans="1:12">
      <c r="A144" s="19"/>
      <c r="B144" s="19" t="s">
        <v>375</v>
      </c>
      <c r="E144" s="20" t="s">
        <v>376</v>
      </c>
      <c r="H144" s="13" t="s">
        <v>18</v>
      </c>
      <c r="I144" s="79" t="s">
        <v>18</v>
      </c>
      <c r="J144" s="79" t="s">
        <v>18</v>
      </c>
      <c r="K144" s="79" t="s">
        <v>18</v>
      </c>
      <c r="L144" s="79" t="s">
        <v>18</v>
      </c>
    </row>
    <row r="145" ht="33" spans="1:12">
      <c r="A145" s="19"/>
      <c r="B145" s="19" t="s">
        <v>377</v>
      </c>
      <c r="D145" s="20" t="s">
        <v>378</v>
      </c>
      <c r="E145" s="20" t="s">
        <v>379</v>
      </c>
      <c r="H145" s="13" t="s">
        <v>33</v>
      </c>
      <c r="I145" s="19" t="s">
        <v>33</v>
      </c>
      <c r="J145" s="79" t="s">
        <v>18</v>
      </c>
      <c r="K145" s="79" t="s">
        <v>18</v>
      </c>
      <c r="L145" s="79" t="s">
        <v>18</v>
      </c>
    </row>
    <row r="146" spans="1:12">
      <c r="A146" s="19"/>
      <c r="B146" s="19" t="s">
        <v>380</v>
      </c>
      <c r="D146" s="20" t="s">
        <v>381</v>
      </c>
      <c r="E146" s="20" t="s">
        <v>382</v>
      </c>
      <c r="H146" s="13" t="s">
        <v>33</v>
      </c>
      <c r="I146" s="19" t="s">
        <v>33</v>
      </c>
      <c r="J146" s="79" t="s">
        <v>18</v>
      </c>
      <c r="K146" s="79" t="s">
        <v>18</v>
      </c>
      <c r="L146" s="79" t="s">
        <v>18</v>
      </c>
    </row>
    <row r="147" ht="33" spans="1:12">
      <c r="A147" s="19"/>
      <c r="B147" s="19" t="s">
        <v>383</v>
      </c>
      <c r="D147" s="20" t="s">
        <v>384</v>
      </c>
      <c r="E147" s="20" t="s">
        <v>385</v>
      </c>
      <c r="H147" s="13" t="s">
        <v>33</v>
      </c>
      <c r="I147" s="19" t="s">
        <v>33</v>
      </c>
      <c r="J147" s="79" t="s">
        <v>18</v>
      </c>
      <c r="K147" s="79" t="s">
        <v>18</v>
      </c>
      <c r="L147" s="79" t="s">
        <v>18</v>
      </c>
    </row>
    <row r="148" spans="1:12">
      <c r="A148" s="19"/>
      <c r="B148" s="19" t="s">
        <v>386</v>
      </c>
      <c r="D148" s="20" t="s">
        <v>387</v>
      </c>
      <c r="E148" s="20" t="s">
        <v>388</v>
      </c>
      <c r="H148" s="13" t="s">
        <v>33</v>
      </c>
      <c r="I148" s="19" t="s">
        <v>33</v>
      </c>
      <c r="J148" s="79" t="s">
        <v>18</v>
      </c>
      <c r="K148" s="79" t="s">
        <v>18</v>
      </c>
      <c r="L148" s="79" t="s">
        <v>18</v>
      </c>
    </row>
    <row r="149" ht="33" spans="1:12">
      <c r="A149" s="19"/>
      <c r="B149" s="19" t="s">
        <v>389</v>
      </c>
      <c r="D149" s="20" t="s">
        <v>390</v>
      </c>
      <c r="E149" s="20" t="s">
        <v>391</v>
      </c>
      <c r="H149" s="13" t="s">
        <v>33</v>
      </c>
      <c r="I149" s="19" t="s">
        <v>33</v>
      </c>
      <c r="J149" s="19" t="s">
        <v>33</v>
      </c>
      <c r="K149" s="79" t="s">
        <v>18</v>
      </c>
      <c r="L149" s="79" t="s">
        <v>18</v>
      </c>
    </row>
    <row r="150" ht="33" spans="1:12">
      <c r="A150" s="19"/>
      <c r="B150" s="19" t="s">
        <v>392</v>
      </c>
      <c r="E150" s="20" t="s">
        <v>393</v>
      </c>
      <c r="H150" s="13" t="s">
        <v>33</v>
      </c>
      <c r="I150" s="19" t="s">
        <v>33</v>
      </c>
      <c r="J150" s="19" t="s">
        <v>33</v>
      </c>
      <c r="K150" s="79" t="s">
        <v>18</v>
      </c>
      <c r="L150" s="79" t="s">
        <v>18</v>
      </c>
    </row>
    <row r="151" spans="1:12">
      <c r="A151" s="19"/>
      <c r="B151" s="19" t="s">
        <v>394</v>
      </c>
      <c r="C151" s="19" t="s">
        <v>395</v>
      </c>
      <c r="D151" s="20" t="s">
        <v>362</v>
      </c>
      <c r="E151" s="20" t="s">
        <v>363</v>
      </c>
      <c r="H151" s="13" t="s">
        <v>24</v>
      </c>
      <c r="I151" s="79" t="s">
        <v>18</v>
      </c>
      <c r="J151" s="79" t="s">
        <v>18</v>
      </c>
      <c r="K151" s="79" t="s">
        <v>18</v>
      </c>
      <c r="L151" s="79" t="s">
        <v>18</v>
      </c>
    </row>
    <row r="152" spans="1:12">
      <c r="A152" s="19"/>
      <c r="B152" s="19" t="s">
        <v>396</v>
      </c>
      <c r="D152" s="20" t="s">
        <v>365</v>
      </c>
      <c r="E152" s="20" t="s">
        <v>366</v>
      </c>
      <c r="H152" s="13" t="s">
        <v>18</v>
      </c>
      <c r="I152" s="79" t="s">
        <v>18</v>
      </c>
      <c r="J152" s="79" t="s">
        <v>18</v>
      </c>
      <c r="K152" s="79" t="s">
        <v>18</v>
      </c>
      <c r="L152" s="79" t="s">
        <v>18</v>
      </c>
    </row>
    <row r="153" spans="1:12">
      <c r="A153" s="19"/>
      <c r="B153" s="19" t="s">
        <v>397</v>
      </c>
      <c r="D153" s="20" t="s">
        <v>398</v>
      </c>
      <c r="E153" s="20" t="s">
        <v>399</v>
      </c>
      <c r="H153" s="13" t="s">
        <v>18</v>
      </c>
      <c r="I153" s="79" t="s">
        <v>18</v>
      </c>
      <c r="J153" s="79" t="s">
        <v>18</v>
      </c>
      <c r="K153" s="79" t="s">
        <v>18</v>
      </c>
      <c r="L153" s="79" t="s">
        <v>18</v>
      </c>
    </row>
    <row r="154" spans="1:12">
      <c r="A154" s="19"/>
      <c r="B154" s="19" t="s">
        <v>400</v>
      </c>
      <c r="D154" s="20" t="s">
        <v>371</v>
      </c>
      <c r="E154" s="20" t="s">
        <v>372</v>
      </c>
      <c r="H154" s="13" t="s">
        <v>18</v>
      </c>
      <c r="I154" s="79" t="s">
        <v>18</v>
      </c>
      <c r="J154" s="79" t="s">
        <v>18</v>
      </c>
      <c r="K154" s="79" t="s">
        <v>18</v>
      </c>
      <c r="L154" s="79" t="s">
        <v>18</v>
      </c>
    </row>
    <row r="155" spans="1:12">
      <c r="A155" s="19"/>
      <c r="B155" s="19" t="s">
        <v>401</v>
      </c>
      <c r="E155" s="20" t="s">
        <v>374</v>
      </c>
      <c r="H155" s="13" t="s">
        <v>18</v>
      </c>
      <c r="I155" s="79" t="s">
        <v>18</v>
      </c>
      <c r="J155" s="79" t="s">
        <v>18</v>
      </c>
      <c r="K155" s="79" t="s">
        <v>18</v>
      </c>
      <c r="L155" s="79" t="s">
        <v>18</v>
      </c>
    </row>
    <row r="156" ht="33" spans="1:12">
      <c r="A156" s="19"/>
      <c r="B156" s="19" t="s">
        <v>402</v>
      </c>
      <c r="E156" s="20" t="s">
        <v>376</v>
      </c>
      <c r="H156" s="13" t="s">
        <v>18</v>
      </c>
      <c r="I156" s="79" t="s">
        <v>18</v>
      </c>
      <c r="J156" s="79" t="s">
        <v>18</v>
      </c>
      <c r="K156" s="79" t="s">
        <v>18</v>
      </c>
      <c r="L156" s="79" t="s">
        <v>18</v>
      </c>
    </row>
    <row r="157" ht="33" spans="1:12">
      <c r="A157" s="19"/>
      <c r="B157" s="19" t="s">
        <v>403</v>
      </c>
      <c r="D157" s="20" t="s">
        <v>404</v>
      </c>
      <c r="E157" s="20" t="s">
        <v>379</v>
      </c>
      <c r="H157" s="13" t="s">
        <v>33</v>
      </c>
      <c r="I157" s="19" t="s">
        <v>33</v>
      </c>
      <c r="J157" s="79" t="s">
        <v>18</v>
      </c>
      <c r="K157" s="79" t="s">
        <v>18</v>
      </c>
      <c r="L157" s="79" t="s">
        <v>18</v>
      </c>
    </row>
    <row r="158" spans="1:12">
      <c r="A158" s="19"/>
      <c r="B158" s="19" t="s">
        <v>405</v>
      </c>
      <c r="D158" s="20" t="s">
        <v>381</v>
      </c>
      <c r="E158" s="20" t="s">
        <v>382</v>
      </c>
      <c r="H158" s="13" t="s">
        <v>33</v>
      </c>
      <c r="I158" s="19" t="s">
        <v>33</v>
      </c>
      <c r="J158" s="79" t="s">
        <v>18</v>
      </c>
      <c r="K158" s="79" t="s">
        <v>18</v>
      </c>
      <c r="L158" s="79" t="s">
        <v>18</v>
      </c>
    </row>
    <row r="159" ht="33" spans="1:12">
      <c r="A159" s="19"/>
      <c r="B159" s="19" t="s">
        <v>406</v>
      </c>
      <c r="D159" s="20" t="s">
        <v>384</v>
      </c>
      <c r="E159" s="20" t="s">
        <v>385</v>
      </c>
      <c r="H159" s="13" t="s">
        <v>33</v>
      </c>
      <c r="I159" s="19" t="s">
        <v>33</v>
      </c>
      <c r="J159" s="79" t="s">
        <v>18</v>
      </c>
      <c r="K159" s="79" t="s">
        <v>18</v>
      </c>
      <c r="L159" s="79" t="s">
        <v>18</v>
      </c>
    </row>
    <row r="160" spans="1:12">
      <c r="A160" s="19"/>
      <c r="B160" s="19" t="s">
        <v>407</v>
      </c>
      <c r="D160" s="20" t="s">
        <v>387</v>
      </c>
      <c r="E160" s="20" t="s">
        <v>388</v>
      </c>
      <c r="H160" s="13" t="s">
        <v>33</v>
      </c>
      <c r="I160" s="19" t="s">
        <v>33</v>
      </c>
      <c r="J160" s="79" t="s">
        <v>18</v>
      </c>
      <c r="K160" s="79" t="s">
        <v>18</v>
      </c>
      <c r="L160" s="79" t="s">
        <v>18</v>
      </c>
    </row>
    <row r="161" ht="33" spans="1:12">
      <c r="A161" s="19"/>
      <c r="B161" s="19" t="s">
        <v>408</v>
      </c>
      <c r="D161" s="20" t="s">
        <v>390</v>
      </c>
      <c r="E161" s="20" t="s">
        <v>391</v>
      </c>
      <c r="H161" s="13" t="s">
        <v>33</v>
      </c>
      <c r="I161" s="19" t="s">
        <v>33</v>
      </c>
      <c r="J161" s="19" t="s">
        <v>33</v>
      </c>
      <c r="K161" s="79" t="s">
        <v>18</v>
      </c>
      <c r="L161" s="79" t="s">
        <v>18</v>
      </c>
    </row>
    <row r="162" ht="33" spans="1:12">
      <c r="A162" s="19"/>
      <c r="B162" s="19" t="s">
        <v>409</v>
      </c>
      <c r="E162" s="20" t="s">
        <v>393</v>
      </c>
      <c r="H162" s="13" t="s">
        <v>33</v>
      </c>
      <c r="I162" s="19" t="s">
        <v>33</v>
      </c>
      <c r="J162" s="19" t="s">
        <v>33</v>
      </c>
      <c r="K162" s="79" t="s">
        <v>18</v>
      </c>
      <c r="L162" s="79" t="s">
        <v>18</v>
      </c>
    </row>
    <row r="163" spans="1:12">
      <c r="A163" s="19"/>
      <c r="B163" s="19" t="s">
        <v>410</v>
      </c>
      <c r="D163" s="20" t="s">
        <v>411</v>
      </c>
      <c r="E163" s="20" t="s">
        <v>412</v>
      </c>
      <c r="H163" s="13" t="s">
        <v>18</v>
      </c>
      <c r="I163" s="79" t="s">
        <v>18</v>
      </c>
      <c r="J163" s="79" t="s">
        <v>18</v>
      </c>
      <c r="K163" s="79" t="s">
        <v>18</v>
      </c>
      <c r="L163" s="79" t="s">
        <v>18</v>
      </c>
    </row>
    <row r="164" spans="1:12">
      <c r="A164" s="19"/>
      <c r="B164" s="19" t="s">
        <v>413</v>
      </c>
      <c r="D164" s="20" t="s">
        <v>414</v>
      </c>
      <c r="E164" s="20" t="s">
        <v>415</v>
      </c>
      <c r="H164" s="13" t="s">
        <v>18</v>
      </c>
      <c r="I164" s="79" t="s">
        <v>18</v>
      </c>
      <c r="J164" s="79" t="s">
        <v>18</v>
      </c>
      <c r="K164" s="79" t="s">
        <v>18</v>
      </c>
      <c r="L164" s="79" t="s">
        <v>18</v>
      </c>
    </row>
    <row r="165" spans="1:12">
      <c r="A165" s="19" t="s">
        <v>416</v>
      </c>
      <c r="B165" s="19" t="s">
        <v>417</v>
      </c>
      <c r="C165" s="19" t="s">
        <v>418</v>
      </c>
      <c r="D165" s="20" t="s">
        <v>419</v>
      </c>
      <c r="E165" s="20" t="s">
        <v>420</v>
      </c>
      <c r="H165" s="13" t="s">
        <v>18</v>
      </c>
      <c r="I165" s="79" t="s">
        <v>18</v>
      </c>
      <c r="J165" s="79" t="s">
        <v>18</v>
      </c>
      <c r="K165" s="79" t="s">
        <v>18</v>
      </c>
      <c r="L165" s="79" t="s">
        <v>18</v>
      </c>
    </row>
    <row r="166" spans="1:13">
      <c r="A166" s="19"/>
      <c r="B166" s="19" t="s">
        <v>421</v>
      </c>
      <c r="D166" s="20" t="s">
        <v>422</v>
      </c>
      <c r="E166" s="20" t="s">
        <v>423</v>
      </c>
      <c r="H166" s="13" t="s">
        <v>33</v>
      </c>
      <c r="I166" s="79" t="s">
        <v>18</v>
      </c>
      <c r="J166" s="79" t="s">
        <v>18</v>
      </c>
      <c r="K166" s="79" t="s">
        <v>18</v>
      </c>
      <c r="L166" s="79" t="s">
        <v>18</v>
      </c>
      <c r="M166" s="20" t="s">
        <v>424</v>
      </c>
    </row>
    <row r="167" spans="1:12">
      <c r="A167" s="19"/>
      <c r="B167" s="19" t="s">
        <v>425</v>
      </c>
      <c r="E167" s="20" t="s">
        <v>426</v>
      </c>
      <c r="H167" s="13" t="s">
        <v>33</v>
      </c>
      <c r="I167" s="79" t="s">
        <v>18</v>
      </c>
      <c r="J167" s="79" t="s">
        <v>18</v>
      </c>
      <c r="K167" s="79" t="s">
        <v>18</v>
      </c>
      <c r="L167" s="79" t="s">
        <v>18</v>
      </c>
    </row>
    <row r="168" spans="1:12">
      <c r="A168" s="19"/>
      <c r="B168" s="19" t="s">
        <v>427</v>
      </c>
      <c r="C168" s="19" t="s">
        <v>428</v>
      </c>
      <c r="D168" s="20" t="s">
        <v>429</v>
      </c>
      <c r="E168" s="20" t="s">
        <v>430</v>
      </c>
      <c r="H168" s="13" t="s">
        <v>24</v>
      </c>
      <c r="I168" s="79" t="s">
        <v>18</v>
      </c>
      <c r="J168" s="79" t="s">
        <v>18</v>
      </c>
      <c r="K168" s="79" t="s">
        <v>18</v>
      </c>
      <c r="L168" s="79" t="s">
        <v>18</v>
      </c>
    </row>
    <row r="169" ht="33" spans="1:13">
      <c r="A169" s="19"/>
      <c r="B169" s="19" t="s">
        <v>431</v>
      </c>
      <c r="D169" s="20" t="s">
        <v>432</v>
      </c>
      <c r="E169" s="20" t="s">
        <v>433</v>
      </c>
      <c r="H169" s="13" t="s">
        <v>24</v>
      </c>
      <c r="I169" s="79" t="s">
        <v>18</v>
      </c>
      <c r="J169" s="19" t="s">
        <v>33</v>
      </c>
      <c r="K169" s="101" t="s">
        <v>35</v>
      </c>
      <c r="L169" s="101" t="s">
        <v>35</v>
      </c>
      <c r="M169" s="20" t="s">
        <v>434</v>
      </c>
    </row>
    <row r="170" spans="1:13">
      <c r="A170" s="19"/>
      <c r="B170" s="19" t="s">
        <v>435</v>
      </c>
      <c r="E170" s="20" t="s">
        <v>436</v>
      </c>
      <c r="H170" s="13" t="s">
        <v>33</v>
      </c>
      <c r="I170" s="79" t="s">
        <v>18</v>
      </c>
      <c r="J170" s="19" t="s">
        <v>33</v>
      </c>
      <c r="K170" s="101" t="s">
        <v>35</v>
      </c>
      <c r="L170" s="101" t="s">
        <v>35</v>
      </c>
      <c r="M170" s="20" t="s">
        <v>437</v>
      </c>
    </row>
    <row r="171" spans="1:12">
      <c r="A171" s="19"/>
      <c r="B171" s="19" t="s">
        <v>438</v>
      </c>
      <c r="D171" s="20" t="s">
        <v>439</v>
      </c>
      <c r="E171" s="20" t="s">
        <v>440</v>
      </c>
      <c r="H171" s="13" t="s">
        <v>24</v>
      </c>
      <c r="I171" s="79" t="s">
        <v>18</v>
      </c>
      <c r="J171" s="19" t="s">
        <v>33</v>
      </c>
      <c r="K171" s="79" t="s">
        <v>18</v>
      </c>
      <c r="L171" s="79" t="s">
        <v>18</v>
      </c>
    </row>
    <row r="172" ht="33" spans="1:12">
      <c r="A172" s="19"/>
      <c r="B172" s="19" t="s">
        <v>441</v>
      </c>
      <c r="C172" s="19" t="s">
        <v>442</v>
      </c>
      <c r="D172" s="20" t="s">
        <v>443</v>
      </c>
      <c r="E172" s="20" t="s">
        <v>444</v>
      </c>
      <c r="H172" s="13" t="s">
        <v>18</v>
      </c>
      <c r="I172" s="79" t="s">
        <v>18</v>
      </c>
      <c r="J172" s="79" t="s">
        <v>18</v>
      </c>
      <c r="K172" s="79" t="s">
        <v>18</v>
      </c>
      <c r="L172" s="79" t="s">
        <v>18</v>
      </c>
    </row>
    <row r="173" spans="1:12">
      <c r="A173" s="19"/>
      <c r="B173" s="19" t="s">
        <v>445</v>
      </c>
      <c r="D173" s="20" t="s">
        <v>446</v>
      </c>
      <c r="E173" s="20" t="s">
        <v>447</v>
      </c>
      <c r="H173" s="13" t="s">
        <v>24</v>
      </c>
      <c r="I173" s="79" t="s">
        <v>18</v>
      </c>
      <c r="J173" s="79" t="s">
        <v>18</v>
      </c>
      <c r="K173" s="79" t="s">
        <v>18</v>
      </c>
      <c r="L173" s="79" t="s">
        <v>18</v>
      </c>
    </row>
    <row r="174" spans="1:12">
      <c r="A174" s="19"/>
      <c r="B174" s="19" t="s">
        <v>448</v>
      </c>
      <c r="D174" s="20" t="s">
        <v>449</v>
      </c>
      <c r="E174" s="20" t="s">
        <v>450</v>
      </c>
      <c r="H174" s="13" t="s">
        <v>24</v>
      </c>
      <c r="I174" s="79" t="s">
        <v>18</v>
      </c>
      <c r="J174" s="79" t="s">
        <v>18</v>
      </c>
      <c r="K174" s="79" t="s">
        <v>18</v>
      </c>
      <c r="L174" s="79" t="s">
        <v>18</v>
      </c>
    </row>
    <row r="175" spans="1:12">
      <c r="A175" s="19"/>
      <c r="B175" s="19" t="s">
        <v>451</v>
      </c>
      <c r="E175" s="20" t="s">
        <v>452</v>
      </c>
      <c r="H175" s="13" t="s">
        <v>18</v>
      </c>
      <c r="I175" s="79" t="s">
        <v>18</v>
      </c>
      <c r="J175" s="79" t="s">
        <v>18</v>
      </c>
      <c r="K175" s="79" t="s">
        <v>18</v>
      </c>
      <c r="L175" s="79" t="s">
        <v>18</v>
      </c>
    </row>
    <row r="176" ht="33" spans="1:12">
      <c r="A176" s="19"/>
      <c r="B176" s="19" t="s">
        <v>453</v>
      </c>
      <c r="D176" s="20" t="s">
        <v>454</v>
      </c>
      <c r="E176" s="20" t="s">
        <v>455</v>
      </c>
      <c r="H176" s="13" t="s">
        <v>24</v>
      </c>
      <c r="I176" s="79" t="s">
        <v>18</v>
      </c>
      <c r="J176" s="79" t="s">
        <v>18</v>
      </c>
      <c r="K176" s="79" t="s">
        <v>18</v>
      </c>
      <c r="L176" s="79" t="s">
        <v>18</v>
      </c>
    </row>
    <row r="177" spans="1:12">
      <c r="A177" s="19"/>
      <c r="B177" s="19" t="s">
        <v>456</v>
      </c>
      <c r="D177" s="20" t="s">
        <v>457</v>
      </c>
      <c r="E177" s="20" t="s">
        <v>458</v>
      </c>
      <c r="H177" s="13" t="s">
        <v>18</v>
      </c>
      <c r="I177" s="79" t="s">
        <v>18</v>
      </c>
      <c r="J177" s="79" t="s">
        <v>18</v>
      </c>
      <c r="K177" s="79" t="s">
        <v>18</v>
      </c>
      <c r="L177" s="79" t="s">
        <v>18</v>
      </c>
    </row>
    <row r="178" spans="1:12">
      <c r="A178" s="19" t="s">
        <v>459</v>
      </c>
      <c r="B178" s="19" t="s">
        <v>460</v>
      </c>
      <c r="C178" s="19" t="s">
        <v>461</v>
      </c>
      <c r="D178" s="20" t="s">
        <v>462</v>
      </c>
      <c r="E178" s="20" t="s">
        <v>463</v>
      </c>
      <c r="H178" s="13" t="s">
        <v>24</v>
      </c>
      <c r="I178" s="79" t="s">
        <v>18</v>
      </c>
      <c r="J178" s="79" t="s">
        <v>18</v>
      </c>
      <c r="K178" s="79" t="s">
        <v>18</v>
      </c>
      <c r="L178" s="79" t="s">
        <v>18</v>
      </c>
    </row>
    <row r="179" spans="1:12">
      <c r="A179" s="19"/>
      <c r="B179" s="19" t="s">
        <v>464</v>
      </c>
      <c r="C179" s="19" t="s">
        <v>459</v>
      </c>
      <c r="D179" s="20" t="s">
        <v>465</v>
      </c>
      <c r="E179" s="20" t="s">
        <v>466</v>
      </c>
      <c r="H179" s="13" t="s">
        <v>18</v>
      </c>
      <c r="I179" s="79" t="s">
        <v>18</v>
      </c>
      <c r="J179" s="79" t="s">
        <v>18</v>
      </c>
      <c r="K179" s="79" t="s">
        <v>18</v>
      </c>
      <c r="L179" s="79" t="s">
        <v>18</v>
      </c>
    </row>
    <row r="180" spans="1:12">
      <c r="A180" s="19"/>
      <c r="B180" s="19" t="s">
        <v>467</v>
      </c>
      <c r="C180" s="19" t="s">
        <v>468</v>
      </c>
      <c r="D180" s="20" t="s">
        <v>469</v>
      </c>
      <c r="E180" s="20" t="s">
        <v>470</v>
      </c>
      <c r="H180" s="13" t="s">
        <v>18</v>
      </c>
      <c r="I180" s="79" t="s">
        <v>18</v>
      </c>
      <c r="J180" s="79" t="s">
        <v>18</v>
      </c>
      <c r="K180" s="79" t="s">
        <v>18</v>
      </c>
      <c r="L180" s="79" t="s">
        <v>18</v>
      </c>
    </row>
    <row r="181" ht="33" spans="1:13">
      <c r="A181" s="19" t="s">
        <v>471</v>
      </c>
      <c r="B181" s="19" t="s">
        <v>472</v>
      </c>
      <c r="C181" s="19" t="s">
        <v>473</v>
      </c>
      <c r="D181" s="20" t="s">
        <v>474</v>
      </c>
      <c r="E181" s="20" t="s">
        <v>475</v>
      </c>
      <c r="H181" s="13" t="s">
        <v>24</v>
      </c>
      <c r="I181" s="80" t="s">
        <v>24</v>
      </c>
      <c r="J181" s="79" t="s">
        <v>18</v>
      </c>
      <c r="K181" s="79" t="s">
        <v>18</v>
      </c>
      <c r="L181" s="79" t="s">
        <v>18</v>
      </c>
      <c r="M181" s="20" t="s">
        <v>476</v>
      </c>
    </row>
    <row r="182" ht="33" spans="1:13">
      <c r="A182" s="19"/>
      <c r="B182" s="19" t="s">
        <v>477</v>
      </c>
      <c r="D182" s="93" t="s">
        <v>478</v>
      </c>
      <c r="E182" s="94" t="s">
        <v>479</v>
      </c>
      <c r="H182" s="13" t="s">
        <v>24</v>
      </c>
      <c r="I182" s="80" t="s">
        <v>24</v>
      </c>
      <c r="J182" s="79" t="s">
        <v>18</v>
      </c>
      <c r="K182" s="79" t="s">
        <v>18</v>
      </c>
      <c r="L182" s="79" t="s">
        <v>18</v>
      </c>
      <c r="M182" s="20" t="s">
        <v>476</v>
      </c>
    </row>
    <row r="183" ht="33" spans="1:13">
      <c r="A183" s="19"/>
      <c r="B183" s="19" t="s">
        <v>480</v>
      </c>
      <c r="C183" s="21"/>
      <c r="D183" s="93" t="s">
        <v>481</v>
      </c>
      <c r="E183" s="95" t="s">
        <v>482</v>
      </c>
      <c r="H183" s="13" t="s">
        <v>24</v>
      </c>
      <c r="I183" s="80" t="s">
        <v>24</v>
      </c>
      <c r="J183" s="79" t="s">
        <v>18</v>
      </c>
      <c r="K183" s="79" t="s">
        <v>18</v>
      </c>
      <c r="L183" s="79" t="s">
        <v>18</v>
      </c>
      <c r="M183" s="20" t="s">
        <v>476</v>
      </c>
    </row>
    <row r="184" spans="1:12">
      <c r="A184" s="19"/>
      <c r="B184" s="19" t="s">
        <v>483</v>
      </c>
      <c r="C184" s="21"/>
      <c r="D184" s="96"/>
      <c r="E184" s="53" t="s">
        <v>484</v>
      </c>
      <c r="I184" s="80"/>
      <c r="J184" s="79"/>
      <c r="K184" s="79"/>
      <c r="L184" s="79"/>
    </row>
    <row r="185" spans="1:12">
      <c r="A185" s="19"/>
      <c r="B185" s="19" t="s">
        <v>485</v>
      </c>
      <c r="C185" s="21"/>
      <c r="D185" s="96"/>
      <c r="E185" s="53" t="s">
        <v>486</v>
      </c>
      <c r="I185" s="80"/>
      <c r="J185" s="79"/>
      <c r="K185" s="79"/>
      <c r="L185" s="79"/>
    </row>
    <row r="186" spans="1:12">
      <c r="A186" s="19"/>
      <c r="B186" s="19" t="s">
        <v>487</v>
      </c>
      <c r="C186" s="21"/>
      <c r="D186" s="97"/>
      <c r="E186" s="82" t="s">
        <v>488</v>
      </c>
      <c r="I186" s="80"/>
      <c r="J186" s="79"/>
      <c r="K186" s="79"/>
      <c r="L186" s="79"/>
    </row>
    <row r="187" ht="33" spans="1:13">
      <c r="A187" s="19"/>
      <c r="B187" s="19" t="s">
        <v>489</v>
      </c>
      <c r="D187" s="98" t="s">
        <v>490</v>
      </c>
      <c r="E187" s="20" t="s">
        <v>491</v>
      </c>
      <c r="H187" s="13" t="s">
        <v>24</v>
      </c>
      <c r="I187" s="80" t="s">
        <v>24</v>
      </c>
      <c r="J187" s="79" t="s">
        <v>18</v>
      </c>
      <c r="K187" s="79" t="s">
        <v>18</v>
      </c>
      <c r="L187" s="79" t="s">
        <v>18</v>
      </c>
      <c r="M187" s="20" t="s">
        <v>492</v>
      </c>
    </row>
    <row r="188" ht="33" spans="1:12">
      <c r="A188" s="19"/>
      <c r="B188" s="19" t="s">
        <v>493</v>
      </c>
      <c r="D188" s="20" t="s">
        <v>494</v>
      </c>
      <c r="E188" s="20" t="s">
        <v>495</v>
      </c>
      <c r="H188" s="13" t="s">
        <v>24</v>
      </c>
      <c r="I188" s="19" t="s">
        <v>33</v>
      </c>
      <c r="J188" s="79" t="s">
        <v>18</v>
      </c>
      <c r="K188" s="79" t="s">
        <v>18</v>
      </c>
      <c r="L188" s="79" t="s">
        <v>18</v>
      </c>
    </row>
    <row r="189" ht="33" spans="1:12">
      <c r="A189" s="19"/>
      <c r="B189" s="19" t="s">
        <v>496</v>
      </c>
      <c r="D189" s="20" t="s">
        <v>497</v>
      </c>
      <c r="E189" s="20" t="s">
        <v>498</v>
      </c>
      <c r="H189" s="13" t="s">
        <v>18</v>
      </c>
      <c r="I189" s="79" t="s">
        <v>18</v>
      </c>
      <c r="J189" s="79" t="s">
        <v>18</v>
      </c>
      <c r="K189" s="79" t="s">
        <v>18</v>
      </c>
      <c r="L189" s="79" t="s">
        <v>18</v>
      </c>
    </row>
    <row r="190" spans="1:12">
      <c r="A190" s="19"/>
      <c r="B190" s="19" t="s">
        <v>499</v>
      </c>
      <c r="D190" s="20" t="s">
        <v>500</v>
      </c>
      <c r="E190" s="20" t="s">
        <v>501</v>
      </c>
      <c r="H190" s="13" t="s">
        <v>18</v>
      </c>
      <c r="I190" s="79" t="s">
        <v>18</v>
      </c>
      <c r="J190" s="79" t="s">
        <v>18</v>
      </c>
      <c r="K190" s="79" t="s">
        <v>18</v>
      </c>
      <c r="L190" s="79" t="s">
        <v>18</v>
      </c>
    </row>
    <row r="191" ht="33" spans="1:12">
      <c r="A191" s="19"/>
      <c r="B191" s="19" t="s">
        <v>502</v>
      </c>
      <c r="C191" s="19" t="s">
        <v>503</v>
      </c>
      <c r="D191" s="20" t="s">
        <v>504</v>
      </c>
      <c r="E191" s="20" t="s">
        <v>505</v>
      </c>
      <c r="H191" s="13" t="s">
        <v>18</v>
      </c>
      <c r="I191" s="80" t="s">
        <v>24</v>
      </c>
      <c r="J191" s="79" t="s">
        <v>18</v>
      </c>
      <c r="K191" s="79" t="s">
        <v>18</v>
      </c>
      <c r="L191" s="79" t="s">
        <v>18</v>
      </c>
    </row>
    <row r="192" ht="49.5" spans="1:13">
      <c r="A192" s="19"/>
      <c r="B192" s="19" t="s">
        <v>506</v>
      </c>
      <c r="D192" s="99" t="s">
        <v>507</v>
      </c>
      <c r="E192" s="99" t="s">
        <v>508</v>
      </c>
      <c r="F192" s="100"/>
      <c r="G192" s="100"/>
      <c r="H192" s="100" t="s">
        <v>33</v>
      </c>
      <c r="I192" s="102" t="s">
        <v>33</v>
      </c>
      <c r="J192" s="102" t="s">
        <v>33</v>
      </c>
      <c r="K192" s="103" t="s">
        <v>24</v>
      </c>
      <c r="L192" s="102" t="s">
        <v>35</v>
      </c>
      <c r="M192" s="20" t="s">
        <v>509</v>
      </c>
    </row>
    <row r="193" spans="1:12">
      <c r="A193" s="19"/>
      <c r="B193" s="19" t="s">
        <v>510</v>
      </c>
      <c r="C193" s="48"/>
      <c r="D193" s="49" t="s">
        <v>511</v>
      </c>
      <c r="E193" s="20" t="s">
        <v>512</v>
      </c>
      <c r="I193" s="79" t="s">
        <v>18</v>
      </c>
      <c r="J193" s="79" t="s">
        <v>18</v>
      </c>
      <c r="K193" s="79" t="s">
        <v>18</v>
      </c>
      <c r="L193" s="79" t="s">
        <v>18</v>
      </c>
    </row>
    <row r="194" ht="33" spans="1:12">
      <c r="A194" s="19"/>
      <c r="B194" s="19" t="s">
        <v>513</v>
      </c>
      <c r="C194" s="104" t="s">
        <v>514</v>
      </c>
      <c r="D194" s="105" t="s">
        <v>515</v>
      </c>
      <c r="E194" s="106" t="s">
        <v>516</v>
      </c>
      <c r="I194" s="79"/>
      <c r="J194" s="79"/>
      <c r="K194" s="79"/>
      <c r="L194" s="79"/>
    </row>
    <row r="195" spans="1:12">
      <c r="A195" s="19"/>
      <c r="B195" s="19" t="s">
        <v>517</v>
      </c>
      <c r="C195" s="107"/>
      <c r="D195" s="108"/>
      <c r="E195" s="53" t="s">
        <v>518</v>
      </c>
      <c r="H195" s="13" t="s">
        <v>24</v>
      </c>
      <c r="I195" s="79" t="s">
        <v>18</v>
      </c>
      <c r="J195" s="79" t="s">
        <v>18</v>
      </c>
      <c r="K195" s="79" t="s">
        <v>18</v>
      </c>
      <c r="L195" s="79" t="s">
        <v>18</v>
      </c>
    </row>
    <row r="196" spans="1:12">
      <c r="A196" s="19"/>
      <c r="B196" s="19" t="s">
        <v>519</v>
      </c>
      <c r="C196" s="109"/>
      <c r="D196" s="108" t="s">
        <v>520</v>
      </c>
      <c r="E196" s="20" t="s">
        <v>521</v>
      </c>
      <c r="H196" s="110" t="s">
        <v>18</v>
      </c>
      <c r="I196" s="79" t="s">
        <v>18</v>
      </c>
      <c r="J196" s="79" t="s">
        <v>18</v>
      </c>
      <c r="K196" s="79" t="s">
        <v>18</v>
      </c>
      <c r="L196" s="79" t="s">
        <v>18</v>
      </c>
    </row>
    <row r="197" spans="1:12">
      <c r="A197" s="19"/>
      <c r="B197" s="19" t="s">
        <v>522</v>
      </c>
      <c r="C197" s="109"/>
      <c r="D197" s="106" t="s">
        <v>523</v>
      </c>
      <c r="E197" s="20" t="s">
        <v>524</v>
      </c>
      <c r="H197" s="110" t="s">
        <v>24</v>
      </c>
      <c r="I197" s="79" t="s">
        <v>18</v>
      </c>
      <c r="J197" s="79" t="s">
        <v>18</v>
      </c>
      <c r="K197" s="79" t="s">
        <v>18</v>
      </c>
      <c r="L197" s="79" t="s">
        <v>18</v>
      </c>
    </row>
    <row r="198" spans="1:12">
      <c r="A198" s="19"/>
      <c r="B198" s="19" t="s">
        <v>525</v>
      </c>
      <c r="C198" s="109"/>
      <c r="D198" s="106" t="s">
        <v>526</v>
      </c>
      <c r="E198" s="20" t="s">
        <v>527</v>
      </c>
      <c r="H198" s="110"/>
      <c r="I198" s="79" t="s">
        <v>18</v>
      </c>
      <c r="J198" s="79" t="s">
        <v>18</v>
      </c>
      <c r="K198" s="79" t="s">
        <v>18</v>
      </c>
      <c r="L198" s="79" t="s">
        <v>18</v>
      </c>
    </row>
    <row r="199" spans="1:12">
      <c r="A199" s="19"/>
      <c r="B199" s="19" t="s">
        <v>528</v>
      </c>
      <c r="C199" s="78"/>
      <c r="D199" s="106" t="s">
        <v>529</v>
      </c>
      <c r="E199" s="20" t="s">
        <v>530</v>
      </c>
      <c r="H199" s="110"/>
      <c r="I199" s="79" t="s">
        <v>18</v>
      </c>
      <c r="J199" s="79" t="s">
        <v>18</v>
      </c>
      <c r="K199" s="79" t="s">
        <v>18</v>
      </c>
      <c r="L199" s="79" t="s">
        <v>18</v>
      </c>
    </row>
    <row r="200" ht="33" spans="1:13">
      <c r="A200" s="19" t="s">
        <v>531</v>
      </c>
      <c r="B200" s="19" t="s">
        <v>532</v>
      </c>
      <c r="C200" s="78" t="s">
        <v>473</v>
      </c>
      <c r="D200" s="20" t="s">
        <v>474</v>
      </c>
      <c r="E200" s="20" t="s">
        <v>533</v>
      </c>
      <c r="H200" s="13" t="s">
        <v>24</v>
      </c>
      <c r="I200" s="80" t="s">
        <v>24</v>
      </c>
      <c r="J200" s="79" t="s">
        <v>18</v>
      </c>
      <c r="K200" s="79" t="s">
        <v>18</v>
      </c>
      <c r="L200" s="79" t="s">
        <v>18</v>
      </c>
      <c r="M200" s="20" t="s">
        <v>476</v>
      </c>
    </row>
    <row r="201" ht="33" spans="1:13">
      <c r="A201" s="19"/>
      <c r="B201" s="19" t="s">
        <v>534</v>
      </c>
      <c r="D201" s="93" t="s">
        <v>478</v>
      </c>
      <c r="E201" s="94" t="s">
        <v>479</v>
      </c>
      <c r="H201" s="13" t="s">
        <v>24</v>
      </c>
      <c r="I201" s="80" t="s">
        <v>24</v>
      </c>
      <c r="J201" s="79" t="s">
        <v>18</v>
      </c>
      <c r="K201" s="79" t="s">
        <v>18</v>
      </c>
      <c r="L201" s="79" t="s">
        <v>18</v>
      </c>
      <c r="M201" s="20" t="s">
        <v>476</v>
      </c>
    </row>
    <row r="202" ht="33" spans="1:13">
      <c r="A202" s="19"/>
      <c r="B202" s="19" t="s">
        <v>535</v>
      </c>
      <c r="C202" s="21"/>
      <c r="D202" s="93" t="s">
        <v>481</v>
      </c>
      <c r="E202" s="95" t="s">
        <v>482</v>
      </c>
      <c r="H202" s="13" t="s">
        <v>24</v>
      </c>
      <c r="I202" s="80" t="s">
        <v>24</v>
      </c>
      <c r="J202" s="79" t="s">
        <v>18</v>
      </c>
      <c r="K202" s="79" t="s">
        <v>18</v>
      </c>
      <c r="L202" s="79" t="s">
        <v>18</v>
      </c>
      <c r="M202" s="20" t="s">
        <v>476</v>
      </c>
    </row>
    <row r="203" spans="1:12">
      <c r="A203" s="19"/>
      <c r="B203" s="19" t="s">
        <v>536</v>
      </c>
      <c r="C203" s="21"/>
      <c r="D203" s="96"/>
      <c r="E203" s="53" t="s">
        <v>484</v>
      </c>
      <c r="I203" s="80"/>
      <c r="J203" s="79"/>
      <c r="K203" s="79"/>
      <c r="L203" s="79"/>
    </row>
    <row r="204" spans="1:12">
      <c r="A204" s="19"/>
      <c r="B204" s="19" t="s">
        <v>537</v>
      </c>
      <c r="C204" s="21"/>
      <c r="D204" s="96"/>
      <c r="E204" s="53" t="s">
        <v>486</v>
      </c>
      <c r="I204" s="80"/>
      <c r="J204" s="79"/>
      <c r="K204" s="79"/>
      <c r="L204" s="79"/>
    </row>
    <row r="205" spans="1:12">
      <c r="A205" s="19"/>
      <c r="B205" s="19" t="s">
        <v>538</v>
      </c>
      <c r="C205" s="21"/>
      <c r="D205" s="97"/>
      <c r="E205" s="82" t="s">
        <v>488</v>
      </c>
      <c r="I205" s="80"/>
      <c r="J205" s="79"/>
      <c r="K205" s="79"/>
      <c r="L205" s="79"/>
    </row>
    <row r="206" ht="33" spans="1:13">
      <c r="A206" s="19"/>
      <c r="B206" s="19" t="s">
        <v>539</v>
      </c>
      <c r="D206" s="98" t="s">
        <v>540</v>
      </c>
      <c r="E206" s="20" t="s">
        <v>541</v>
      </c>
      <c r="H206" s="13" t="s">
        <v>24</v>
      </c>
      <c r="I206" s="80" t="s">
        <v>24</v>
      </c>
      <c r="J206" s="79" t="s">
        <v>18</v>
      </c>
      <c r="K206" s="79" t="s">
        <v>18</v>
      </c>
      <c r="L206" s="79" t="s">
        <v>18</v>
      </c>
      <c r="M206" s="20" t="s">
        <v>476</v>
      </c>
    </row>
    <row r="207" ht="33" spans="1:13">
      <c r="A207" s="19"/>
      <c r="B207" s="19" t="s">
        <v>542</v>
      </c>
      <c r="D207" s="20" t="s">
        <v>490</v>
      </c>
      <c r="E207" s="20" t="s">
        <v>491</v>
      </c>
      <c r="H207" s="13" t="s">
        <v>18</v>
      </c>
      <c r="I207" s="19" t="s">
        <v>33</v>
      </c>
      <c r="J207" s="79" t="s">
        <v>18</v>
      </c>
      <c r="K207" s="79" t="s">
        <v>18</v>
      </c>
      <c r="L207" s="79" t="s">
        <v>18</v>
      </c>
      <c r="M207" s="20" t="s">
        <v>543</v>
      </c>
    </row>
    <row r="208" ht="33" spans="1:13">
      <c r="A208" s="19"/>
      <c r="B208" s="19" t="s">
        <v>544</v>
      </c>
      <c r="D208" s="20" t="s">
        <v>494</v>
      </c>
      <c r="E208" s="20" t="s">
        <v>495</v>
      </c>
      <c r="H208" s="13" t="s">
        <v>24</v>
      </c>
      <c r="I208" s="19" t="s">
        <v>33</v>
      </c>
      <c r="J208" s="79" t="s">
        <v>18</v>
      </c>
      <c r="K208" s="79" t="s">
        <v>18</v>
      </c>
      <c r="L208" s="79" t="s">
        <v>18</v>
      </c>
      <c r="M208" s="20" t="s">
        <v>545</v>
      </c>
    </row>
    <row r="209" ht="33" spans="1:12">
      <c r="A209" s="19"/>
      <c r="B209" s="19" t="s">
        <v>546</v>
      </c>
      <c r="D209" s="20" t="s">
        <v>497</v>
      </c>
      <c r="E209" s="20" t="s">
        <v>498</v>
      </c>
      <c r="H209" s="13" t="s">
        <v>18</v>
      </c>
      <c r="I209" s="79" t="s">
        <v>18</v>
      </c>
      <c r="J209" s="79" t="s">
        <v>18</v>
      </c>
      <c r="K209" s="79" t="s">
        <v>18</v>
      </c>
      <c r="L209" s="79" t="s">
        <v>18</v>
      </c>
    </row>
    <row r="210" spans="1:12">
      <c r="A210" s="19"/>
      <c r="B210" s="19" t="s">
        <v>547</v>
      </c>
      <c r="D210" s="20" t="s">
        <v>500</v>
      </c>
      <c r="E210" s="20" t="s">
        <v>501</v>
      </c>
      <c r="H210" s="13" t="s">
        <v>18</v>
      </c>
      <c r="I210" s="79" t="s">
        <v>18</v>
      </c>
      <c r="J210" s="79" t="s">
        <v>18</v>
      </c>
      <c r="K210" s="79" t="s">
        <v>18</v>
      </c>
      <c r="L210" s="79" t="s">
        <v>18</v>
      </c>
    </row>
    <row r="211" ht="33" spans="1:12">
      <c r="A211" s="19"/>
      <c r="B211" s="19" t="s">
        <v>548</v>
      </c>
      <c r="C211" s="19" t="s">
        <v>503</v>
      </c>
      <c r="D211" s="20" t="s">
        <v>549</v>
      </c>
      <c r="E211" s="20" t="s">
        <v>505</v>
      </c>
      <c r="H211" s="13" t="s">
        <v>18</v>
      </c>
      <c r="I211" s="79" t="s">
        <v>18</v>
      </c>
      <c r="J211" s="79" t="s">
        <v>18</v>
      </c>
      <c r="K211" s="79" t="s">
        <v>18</v>
      </c>
      <c r="L211" s="79" t="s">
        <v>18</v>
      </c>
    </row>
    <row r="212" ht="49.5" spans="1:13">
      <c r="A212" s="19"/>
      <c r="B212" s="19" t="s">
        <v>550</v>
      </c>
      <c r="D212" s="20" t="s">
        <v>551</v>
      </c>
      <c r="E212" s="20" t="s">
        <v>508</v>
      </c>
      <c r="H212" s="13" t="s">
        <v>33</v>
      </c>
      <c r="I212" s="19" t="s">
        <v>33</v>
      </c>
      <c r="J212" s="19" t="s">
        <v>33</v>
      </c>
      <c r="K212" s="80" t="s">
        <v>24</v>
      </c>
      <c r="L212" s="102" t="s">
        <v>35</v>
      </c>
      <c r="M212" s="20" t="s">
        <v>552</v>
      </c>
    </row>
    <row r="213" spans="1:12">
      <c r="A213" s="19"/>
      <c r="B213" s="19" t="s">
        <v>553</v>
      </c>
      <c r="D213" s="49" t="s">
        <v>511</v>
      </c>
      <c r="E213" s="20" t="s">
        <v>512</v>
      </c>
      <c r="I213" s="79" t="s">
        <v>18</v>
      </c>
      <c r="J213" s="79" t="s">
        <v>18</v>
      </c>
      <c r="K213" s="79" t="s">
        <v>18</v>
      </c>
      <c r="L213" s="79" t="s">
        <v>18</v>
      </c>
    </row>
    <row r="214" ht="33" spans="1:12">
      <c r="A214" s="19"/>
      <c r="B214" s="19" t="s">
        <v>554</v>
      </c>
      <c r="C214" s="21" t="s">
        <v>514</v>
      </c>
      <c r="D214" s="93" t="s">
        <v>555</v>
      </c>
      <c r="E214" s="106" t="s">
        <v>516</v>
      </c>
      <c r="H214" s="13" t="s">
        <v>24</v>
      </c>
      <c r="I214" s="79" t="s">
        <v>18</v>
      </c>
      <c r="J214" s="79" t="s">
        <v>18</v>
      </c>
      <c r="K214" s="79" t="s">
        <v>18</v>
      </c>
      <c r="L214" s="79" t="s">
        <v>18</v>
      </c>
    </row>
    <row r="215" spans="1:12">
      <c r="A215" s="19"/>
      <c r="B215" s="19" t="s">
        <v>556</v>
      </c>
      <c r="C215" s="21"/>
      <c r="D215" s="97"/>
      <c r="E215" s="53" t="s">
        <v>557</v>
      </c>
      <c r="I215" s="79"/>
      <c r="J215" s="79"/>
      <c r="K215" s="79"/>
      <c r="L215" s="79"/>
    </row>
    <row r="216" ht="33" spans="1:12">
      <c r="A216" s="19"/>
      <c r="B216" s="19" t="s">
        <v>558</v>
      </c>
      <c r="D216" s="97" t="s">
        <v>559</v>
      </c>
      <c r="E216" s="20" t="s">
        <v>521</v>
      </c>
      <c r="H216" s="110" t="s">
        <v>18</v>
      </c>
      <c r="I216" s="79" t="s">
        <v>18</v>
      </c>
      <c r="J216" s="79" t="s">
        <v>18</v>
      </c>
      <c r="K216" s="79" t="s">
        <v>18</v>
      </c>
      <c r="L216" s="79" t="s">
        <v>18</v>
      </c>
    </row>
    <row r="217" ht="33" spans="1:12">
      <c r="A217" s="19"/>
      <c r="B217" s="19" t="s">
        <v>560</v>
      </c>
      <c r="D217" s="94" t="s">
        <v>561</v>
      </c>
      <c r="E217" s="20" t="s">
        <v>524</v>
      </c>
      <c r="H217" s="110"/>
      <c r="I217" s="79" t="s">
        <v>18</v>
      </c>
      <c r="J217" s="79" t="s">
        <v>18</v>
      </c>
      <c r="K217" s="79" t="s">
        <v>18</v>
      </c>
      <c r="L217" s="79" t="s">
        <v>18</v>
      </c>
    </row>
    <row r="218" ht="33" spans="1:12">
      <c r="A218" s="19"/>
      <c r="B218" s="19" t="s">
        <v>562</v>
      </c>
      <c r="D218" s="94" t="s">
        <v>563</v>
      </c>
      <c r="E218" s="20" t="s">
        <v>527</v>
      </c>
      <c r="I218" s="79" t="s">
        <v>18</v>
      </c>
      <c r="J218" s="79" t="s">
        <v>18</v>
      </c>
      <c r="K218" s="79" t="s">
        <v>18</v>
      </c>
      <c r="L218" s="79" t="s">
        <v>18</v>
      </c>
    </row>
    <row r="219" ht="33" spans="1:12">
      <c r="A219" s="19"/>
      <c r="B219" s="19" t="s">
        <v>564</v>
      </c>
      <c r="D219" s="94" t="s">
        <v>565</v>
      </c>
      <c r="E219" s="20" t="s">
        <v>530</v>
      </c>
      <c r="I219" s="79" t="s">
        <v>18</v>
      </c>
      <c r="J219" s="79" t="s">
        <v>18</v>
      </c>
      <c r="K219" s="79" t="s">
        <v>18</v>
      </c>
      <c r="L219" s="79" t="s">
        <v>18</v>
      </c>
    </row>
    <row r="220" ht="15" spans="1:13">
      <c r="A220" s="41" t="s">
        <v>566</v>
      </c>
      <c r="B220" s="41"/>
      <c r="C220" s="41"/>
      <c r="D220" s="41"/>
      <c r="E220" s="41"/>
      <c r="F220" s="41"/>
      <c r="G220" s="41"/>
      <c r="H220" s="42"/>
      <c r="I220" s="72"/>
      <c r="J220" s="42"/>
      <c r="K220" s="42"/>
      <c r="L220" s="42"/>
      <c r="M220" s="41"/>
    </row>
    <row r="221" spans="1:13">
      <c r="A221" s="43" t="s">
        <v>38</v>
      </c>
      <c r="B221" s="44" t="s">
        <v>39</v>
      </c>
      <c r="C221" s="44" t="s">
        <v>40</v>
      </c>
      <c r="D221" s="45" t="s">
        <v>41</v>
      </c>
      <c r="E221" s="27" t="s">
        <v>42</v>
      </c>
      <c r="F221" s="44" t="s">
        <v>43</v>
      </c>
      <c r="G221" s="46" t="s">
        <v>44</v>
      </c>
      <c r="H221" s="46" t="s">
        <v>45</v>
      </c>
      <c r="I221" s="75"/>
      <c r="J221" s="75"/>
      <c r="K221" s="76"/>
      <c r="L221" s="76"/>
      <c r="M221" s="77" t="s">
        <v>6</v>
      </c>
    </row>
    <row r="222" spans="1:12">
      <c r="A222" s="19" t="s">
        <v>567</v>
      </c>
      <c r="B222" s="19" t="s">
        <v>568</v>
      </c>
      <c r="C222" s="88" t="s">
        <v>289</v>
      </c>
      <c r="D222" s="89" t="s">
        <v>569</v>
      </c>
      <c r="E222" s="90" t="s">
        <v>570</v>
      </c>
      <c r="H222" s="47" t="s">
        <v>18</v>
      </c>
      <c r="I222" s="92" t="s">
        <v>18</v>
      </c>
      <c r="J222" s="92" t="s">
        <v>18</v>
      </c>
      <c r="K222" s="79" t="s">
        <v>18</v>
      </c>
      <c r="L222" s="79" t="s">
        <v>18</v>
      </c>
    </row>
    <row r="223" spans="1:12">
      <c r="A223" s="19"/>
      <c r="B223" s="19" t="s">
        <v>571</v>
      </c>
      <c r="C223" s="88"/>
      <c r="D223" s="89" t="s">
        <v>572</v>
      </c>
      <c r="E223" s="90" t="s">
        <v>297</v>
      </c>
      <c r="H223" s="13" t="s">
        <v>18</v>
      </c>
      <c r="I223" s="79" t="s">
        <v>18</v>
      </c>
      <c r="J223" s="79" t="s">
        <v>18</v>
      </c>
      <c r="K223" s="79" t="s">
        <v>18</v>
      </c>
      <c r="L223" s="79" t="s">
        <v>18</v>
      </c>
    </row>
    <row r="224" spans="1:12">
      <c r="A224" s="19"/>
      <c r="B224" s="19" t="s">
        <v>573</v>
      </c>
      <c r="C224" s="88"/>
      <c r="D224" s="89" t="s">
        <v>574</v>
      </c>
      <c r="E224" s="90" t="s">
        <v>300</v>
      </c>
      <c r="H224" s="13" t="s">
        <v>18</v>
      </c>
      <c r="I224" s="79" t="s">
        <v>18</v>
      </c>
      <c r="J224" s="79" t="s">
        <v>18</v>
      </c>
      <c r="K224" s="79" t="s">
        <v>18</v>
      </c>
      <c r="L224" s="79" t="s">
        <v>18</v>
      </c>
    </row>
    <row r="225" ht="33" spans="1:12">
      <c r="A225" s="19"/>
      <c r="B225" s="19" t="s">
        <v>575</v>
      </c>
      <c r="C225" s="19" t="s">
        <v>88</v>
      </c>
      <c r="D225" s="20" t="s">
        <v>576</v>
      </c>
      <c r="E225" s="20" t="s">
        <v>303</v>
      </c>
      <c r="H225" s="13" t="s">
        <v>18</v>
      </c>
      <c r="I225" s="79" t="s">
        <v>18</v>
      </c>
      <c r="J225" s="79" t="s">
        <v>18</v>
      </c>
      <c r="K225" s="79" t="s">
        <v>18</v>
      </c>
      <c r="L225" s="79" t="s">
        <v>18</v>
      </c>
    </row>
    <row r="226" ht="33" spans="1:12">
      <c r="A226" s="19" t="s">
        <v>328</v>
      </c>
      <c r="B226" s="19" t="s">
        <v>577</v>
      </c>
      <c r="C226" s="19" t="s">
        <v>328</v>
      </c>
      <c r="D226" s="20" t="s">
        <v>329</v>
      </c>
      <c r="E226" s="20" t="s">
        <v>317</v>
      </c>
      <c r="H226" s="13" t="s">
        <v>18</v>
      </c>
      <c r="I226" s="79" t="s">
        <v>18</v>
      </c>
      <c r="J226" s="79" t="s">
        <v>18</v>
      </c>
      <c r="K226" s="79" t="s">
        <v>18</v>
      </c>
      <c r="L226" s="79" t="s">
        <v>18</v>
      </c>
    </row>
    <row r="227" spans="1:12">
      <c r="A227" s="19"/>
      <c r="B227" s="19" t="s">
        <v>578</v>
      </c>
      <c r="D227" s="20" t="s">
        <v>579</v>
      </c>
      <c r="E227" s="20" t="s">
        <v>580</v>
      </c>
      <c r="H227" s="13" t="s">
        <v>18</v>
      </c>
      <c r="I227" s="79" t="s">
        <v>18</v>
      </c>
      <c r="J227" s="79" t="s">
        <v>18</v>
      </c>
      <c r="K227" s="79" t="s">
        <v>18</v>
      </c>
      <c r="L227" s="79" t="s">
        <v>18</v>
      </c>
    </row>
    <row r="228" spans="1:12">
      <c r="A228" s="19"/>
      <c r="B228" s="19" t="s">
        <v>581</v>
      </c>
      <c r="E228" s="20" t="s">
        <v>582</v>
      </c>
      <c r="H228" s="13" t="s">
        <v>18</v>
      </c>
      <c r="I228" s="79" t="s">
        <v>18</v>
      </c>
      <c r="J228" s="79" t="s">
        <v>18</v>
      </c>
      <c r="K228" s="79" t="s">
        <v>18</v>
      </c>
      <c r="L228" s="79" t="s">
        <v>18</v>
      </c>
    </row>
    <row r="229" spans="1:12">
      <c r="A229" s="19"/>
      <c r="B229" s="19" t="s">
        <v>583</v>
      </c>
      <c r="E229" s="20" t="s">
        <v>584</v>
      </c>
      <c r="H229" s="13" t="s">
        <v>18</v>
      </c>
      <c r="I229" s="79" t="s">
        <v>18</v>
      </c>
      <c r="J229" s="79" t="s">
        <v>18</v>
      </c>
      <c r="K229" s="79" t="s">
        <v>18</v>
      </c>
      <c r="L229" s="79" t="s">
        <v>18</v>
      </c>
    </row>
    <row r="230" spans="1:12">
      <c r="A230" s="19"/>
      <c r="B230" s="19" t="s">
        <v>585</v>
      </c>
      <c r="D230" s="20" t="s">
        <v>586</v>
      </c>
      <c r="E230" s="20" t="s">
        <v>587</v>
      </c>
      <c r="H230" s="13" t="s">
        <v>18</v>
      </c>
      <c r="I230" s="79" t="s">
        <v>18</v>
      </c>
      <c r="J230" s="79" t="s">
        <v>18</v>
      </c>
      <c r="K230" s="79" t="s">
        <v>18</v>
      </c>
      <c r="L230" s="79" t="s">
        <v>18</v>
      </c>
    </row>
    <row r="231" spans="1:12">
      <c r="A231" s="19"/>
      <c r="B231" s="19" t="s">
        <v>588</v>
      </c>
      <c r="E231" s="20" t="s">
        <v>589</v>
      </c>
      <c r="H231" s="13" t="s">
        <v>18</v>
      </c>
      <c r="I231" s="79" t="s">
        <v>18</v>
      </c>
      <c r="J231" s="79" t="s">
        <v>18</v>
      </c>
      <c r="K231" s="79" t="s">
        <v>18</v>
      </c>
      <c r="L231" s="79" t="s">
        <v>18</v>
      </c>
    </row>
    <row r="232" spans="1:12">
      <c r="A232" s="19"/>
      <c r="B232" s="19" t="s">
        <v>590</v>
      </c>
      <c r="E232" s="20" t="s">
        <v>591</v>
      </c>
      <c r="H232" s="13" t="s">
        <v>18</v>
      </c>
      <c r="I232" s="79" t="s">
        <v>18</v>
      </c>
      <c r="J232" s="79" t="s">
        <v>18</v>
      </c>
      <c r="K232" s="79" t="s">
        <v>18</v>
      </c>
      <c r="L232" s="79" t="s">
        <v>18</v>
      </c>
    </row>
    <row r="233" ht="33" spans="1:12">
      <c r="A233" s="19"/>
      <c r="B233" s="19" t="s">
        <v>592</v>
      </c>
      <c r="D233" s="20" t="s">
        <v>593</v>
      </c>
      <c r="E233" s="20" t="s">
        <v>594</v>
      </c>
      <c r="H233" s="13" t="s">
        <v>18</v>
      </c>
      <c r="I233" s="79" t="s">
        <v>18</v>
      </c>
      <c r="J233" s="79" t="s">
        <v>18</v>
      </c>
      <c r="K233" s="79" t="s">
        <v>18</v>
      </c>
      <c r="L233" s="79" t="s">
        <v>18</v>
      </c>
    </row>
    <row r="234" spans="1:12">
      <c r="A234" s="19"/>
      <c r="B234" s="19" t="s">
        <v>595</v>
      </c>
      <c r="E234" s="111" t="s">
        <v>596</v>
      </c>
      <c r="F234" s="112"/>
      <c r="G234" s="112"/>
      <c r="H234" s="112" t="s">
        <v>35</v>
      </c>
      <c r="I234" s="101" t="s">
        <v>35</v>
      </c>
      <c r="J234" s="101" t="s">
        <v>35</v>
      </c>
      <c r="K234" s="101" t="s">
        <v>35</v>
      </c>
      <c r="L234" s="101" t="s">
        <v>35</v>
      </c>
    </row>
    <row r="235" spans="1:12">
      <c r="A235" s="19"/>
      <c r="B235" s="19" t="s">
        <v>597</v>
      </c>
      <c r="D235" s="20" t="s">
        <v>598</v>
      </c>
      <c r="E235" s="20" t="s">
        <v>351</v>
      </c>
      <c r="H235" s="13" t="s">
        <v>18</v>
      </c>
      <c r="I235" s="79" t="s">
        <v>18</v>
      </c>
      <c r="J235" s="79" t="s">
        <v>18</v>
      </c>
      <c r="K235" s="79" t="s">
        <v>18</v>
      </c>
      <c r="L235" s="79" t="s">
        <v>18</v>
      </c>
    </row>
    <row r="236" ht="33" spans="1:13">
      <c r="A236" s="19"/>
      <c r="B236" s="19" t="s">
        <v>599</v>
      </c>
      <c r="D236" s="20" t="s">
        <v>600</v>
      </c>
      <c r="E236" s="20" t="s">
        <v>354</v>
      </c>
      <c r="H236" s="13" t="s">
        <v>18</v>
      </c>
      <c r="I236" s="79" t="s">
        <v>18</v>
      </c>
      <c r="J236" s="80" t="s">
        <v>24</v>
      </c>
      <c r="K236" s="79" t="s">
        <v>18</v>
      </c>
      <c r="L236" s="79" t="s">
        <v>18</v>
      </c>
      <c r="M236" s="20" t="s">
        <v>601</v>
      </c>
    </row>
    <row r="237" spans="1:12">
      <c r="A237" s="19"/>
      <c r="B237" s="19" t="s">
        <v>602</v>
      </c>
      <c r="E237" s="20" t="s">
        <v>603</v>
      </c>
      <c r="H237" s="13" t="s">
        <v>35</v>
      </c>
      <c r="I237" s="80" t="s">
        <v>24</v>
      </c>
      <c r="J237" s="80" t="s">
        <v>24</v>
      </c>
      <c r="K237" s="19" t="s">
        <v>35</v>
      </c>
      <c r="L237" s="19" t="s">
        <v>35</v>
      </c>
    </row>
    <row r="238" ht="33" spans="1:12">
      <c r="A238" s="19"/>
      <c r="B238" s="19" t="s">
        <v>604</v>
      </c>
      <c r="D238" s="20" t="s">
        <v>605</v>
      </c>
      <c r="E238" s="20" t="s">
        <v>606</v>
      </c>
      <c r="H238" s="13" t="s">
        <v>18</v>
      </c>
      <c r="I238" s="79" t="s">
        <v>18</v>
      </c>
      <c r="J238" s="79" t="s">
        <v>18</v>
      </c>
      <c r="K238" s="79" t="s">
        <v>18</v>
      </c>
      <c r="L238" s="79" t="s">
        <v>18</v>
      </c>
    </row>
    <row r="239" spans="1:12">
      <c r="A239" s="19"/>
      <c r="B239" s="19" t="s">
        <v>607</v>
      </c>
      <c r="D239" s="20" t="s">
        <v>608</v>
      </c>
      <c r="E239" s="20" t="s">
        <v>609</v>
      </c>
      <c r="H239" s="13" t="s">
        <v>35</v>
      </c>
      <c r="I239" s="79" t="s">
        <v>18</v>
      </c>
      <c r="J239" s="79" t="s">
        <v>18</v>
      </c>
      <c r="K239" s="79" t="s">
        <v>18</v>
      </c>
      <c r="L239" s="79" t="s">
        <v>18</v>
      </c>
    </row>
    <row r="240" spans="1:12">
      <c r="A240" s="19" t="s">
        <v>610</v>
      </c>
      <c r="B240" s="19" t="s">
        <v>611</v>
      </c>
      <c r="C240" s="19" t="s">
        <v>612</v>
      </c>
      <c r="D240" s="20" t="s">
        <v>613</v>
      </c>
      <c r="E240" s="20" t="s">
        <v>614</v>
      </c>
      <c r="H240" s="13" t="s">
        <v>18</v>
      </c>
      <c r="I240" s="79" t="s">
        <v>18</v>
      </c>
      <c r="J240" s="79" t="s">
        <v>18</v>
      </c>
      <c r="K240" s="79" t="s">
        <v>18</v>
      </c>
      <c r="L240" s="79" t="s">
        <v>18</v>
      </c>
    </row>
    <row r="241" ht="33" spans="1:12">
      <c r="A241" s="19"/>
      <c r="B241" s="19" t="s">
        <v>615</v>
      </c>
      <c r="C241" s="19" t="s">
        <v>616</v>
      </c>
      <c r="D241" s="20" t="s">
        <v>617</v>
      </c>
      <c r="E241" s="20" t="s">
        <v>618</v>
      </c>
      <c r="H241" s="13" t="s">
        <v>24</v>
      </c>
      <c r="I241" s="79" t="s">
        <v>18</v>
      </c>
      <c r="J241" s="79" t="s">
        <v>18</v>
      </c>
      <c r="K241" s="79" t="s">
        <v>18</v>
      </c>
      <c r="L241" s="79" t="s">
        <v>18</v>
      </c>
    </row>
    <row r="242" spans="1:12">
      <c r="A242" s="19"/>
      <c r="B242" s="19" t="s">
        <v>619</v>
      </c>
      <c r="C242" s="32" t="s">
        <v>620</v>
      </c>
      <c r="D242" s="113" t="s">
        <v>621</v>
      </c>
      <c r="E242" s="113" t="s">
        <v>622</v>
      </c>
      <c r="H242" s="13" t="s">
        <v>18</v>
      </c>
      <c r="I242" s="79" t="s">
        <v>18</v>
      </c>
      <c r="J242" s="19" t="s">
        <v>33</v>
      </c>
      <c r="K242" s="19" t="s">
        <v>35</v>
      </c>
      <c r="L242" s="19" t="s">
        <v>35</v>
      </c>
    </row>
    <row r="243" spans="1:12">
      <c r="A243" s="19"/>
      <c r="B243" s="19" t="s">
        <v>623</v>
      </c>
      <c r="C243" s="32"/>
      <c r="D243" s="114"/>
      <c r="E243" s="113" t="s">
        <v>624</v>
      </c>
      <c r="H243" s="13" t="s">
        <v>35</v>
      </c>
      <c r="I243" s="19" t="s">
        <v>35</v>
      </c>
      <c r="J243" s="19" t="s">
        <v>35</v>
      </c>
      <c r="K243" s="19" t="s">
        <v>35</v>
      </c>
      <c r="L243" s="19" t="s">
        <v>35</v>
      </c>
    </row>
    <row r="244" spans="1:12">
      <c r="A244" s="19"/>
      <c r="B244" s="19" t="s">
        <v>625</v>
      </c>
      <c r="C244" s="115"/>
      <c r="D244" s="114" t="s">
        <v>626</v>
      </c>
      <c r="E244" s="116" t="s">
        <v>627</v>
      </c>
      <c r="I244" s="19"/>
      <c r="J244" s="19"/>
      <c r="K244" s="19"/>
      <c r="L244" s="19"/>
    </row>
    <row r="245" spans="1:12">
      <c r="A245" s="19"/>
      <c r="B245" s="19" t="s">
        <v>628</v>
      </c>
      <c r="C245" s="115"/>
      <c r="D245" s="117"/>
      <c r="E245" s="118" t="s">
        <v>629</v>
      </c>
      <c r="H245" s="13" t="s">
        <v>24</v>
      </c>
      <c r="I245" s="19" t="s">
        <v>24</v>
      </c>
      <c r="J245" s="19" t="s">
        <v>33</v>
      </c>
      <c r="K245" s="19" t="s">
        <v>35</v>
      </c>
      <c r="L245" s="19" t="s">
        <v>35</v>
      </c>
    </row>
    <row r="246" spans="1:12">
      <c r="A246" s="19"/>
      <c r="B246" s="19" t="s">
        <v>630</v>
      </c>
      <c r="C246" s="32"/>
      <c r="D246" s="117" t="s">
        <v>631</v>
      </c>
      <c r="E246" s="113" t="s">
        <v>632</v>
      </c>
      <c r="H246" s="13" t="s">
        <v>35</v>
      </c>
      <c r="I246" s="19" t="s">
        <v>35</v>
      </c>
      <c r="J246" s="19" t="s">
        <v>35</v>
      </c>
      <c r="K246" s="79" t="s">
        <v>18</v>
      </c>
      <c r="L246" s="79" t="s">
        <v>18</v>
      </c>
    </row>
    <row r="247" spans="1:12">
      <c r="A247" s="19" t="s">
        <v>359</v>
      </c>
      <c r="B247" s="19" t="s">
        <v>633</v>
      </c>
      <c r="C247" s="19" t="s">
        <v>634</v>
      </c>
      <c r="D247" s="20" t="s">
        <v>635</v>
      </c>
      <c r="E247" s="20" t="s">
        <v>636</v>
      </c>
      <c r="H247" s="13" t="s">
        <v>18</v>
      </c>
      <c r="I247" s="79" t="s">
        <v>18</v>
      </c>
      <c r="J247" s="79" t="s">
        <v>18</v>
      </c>
      <c r="K247" s="79" t="s">
        <v>18</v>
      </c>
      <c r="L247" s="79" t="s">
        <v>18</v>
      </c>
    </row>
    <row r="248" ht="33" spans="1:12">
      <c r="A248" s="19"/>
      <c r="B248" s="19" t="s">
        <v>637</v>
      </c>
      <c r="C248" s="19" t="s">
        <v>638</v>
      </c>
      <c r="D248" s="20" t="s">
        <v>639</v>
      </c>
      <c r="E248" s="20" t="s">
        <v>640</v>
      </c>
      <c r="H248" s="13" t="s">
        <v>18</v>
      </c>
      <c r="I248" s="79" t="s">
        <v>18</v>
      </c>
      <c r="J248" s="79" t="s">
        <v>18</v>
      </c>
      <c r="K248" s="79" t="s">
        <v>18</v>
      </c>
      <c r="L248" s="79" t="s">
        <v>18</v>
      </c>
    </row>
    <row r="249" spans="1:12">
      <c r="A249" s="19"/>
      <c r="B249" s="19" t="s">
        <v>641</v>
      </c>
      <c r="D249" s="20" t="s">
        <v>642</v>
      </c>
      <c r="E249" s="20" t="s">
        <v>643</v>
      </c>
      <c r="H249" s="13" t="s">
        <v>24</v>
      </c>
      <c r="I249" s="79" t="s">
        <v>18</v>
      </c>
      <c r="J249" s="79" t="s">
        <v>18</v>
      </c>
      <c r="K249" s="79" t="s">
        <v>18</v>
      </c>
      <c r="L249" s="79" t="s">
        <v>18</v>
      </c>
    </row>
    <row r="250" spans="1:12">
      <c r="A250" s="19"/>
      <c r="B250" s="19" t="s">
        <v>644</v>
      </c>
      <c r="D250" s="20" t="s">
        <v>645</v>
      </c>
      <c r="E250" s="20" t="s">
        <v>646</v>
      </c>
      <c r="H250" s="13" t="s">
        <v>18</v>
      </c>
      <c r="I250" s="79" t="s">
        <v>18</v>
      </c>
      <c r="J250" s="79" t="s">
        <v>18</v>
      </c>
      <c r="K250" s="79" t="s">
        <v>18</v>
      </c>
      <c r="L250" s="79" t="s">
        <v>18</v>
      </c>
    </row>
    <row r="251" spans="1:12">
      <c r="A251" s="19"/>
      <c r="B251" s="19" t="s">
        <v>647</v>
      </c>
      <c r="E251" s="20" t="s">
        <v>648</v>
      </c>
      <c r="H251" s="13" t="s">
        <v>18</v>
      </c>
      <c r="I251" s="79" t="s">
        <v>18</v>
      </c>
      <c r="J251" s="79" t="s">
        <v>18</v>
      </c>
      <c r="K251" s="79" t="s">
        <v>18</v>
      </c>
      <c r="L251" s="79" t="s">
        <v>18</v>
      </c>
    </row>
    <row r="252" spans="1:12">
      <c r="A252" s="19"/>
      <c r="B252" s="19" t="s">
        <v>649</v>
      </c>
      <c r="E252" s="20" t="s">
        <v>650</v>
      </c>
      <c r="H252" s="13" t="s">
        <v>18</v>
      </c>
      <c r="I252" s="79" t="s">
        <v>18</v>
      </c>
      <c r="J252" s="79" t="s">
        <v>18</v>
      </c>
      <c r="K252" s="79" t="s">
        <v>18</v>
      </c>
      <c r="L252" s="79" t="s">
        <v>18</v>
      </c>
    </row>
    <row r="253" ht="33" spans="1:12">
      <c r="A253" s="19"/>
      <c r="B253" s="19" t="s">
        <v>651</v>
      </c>
      <c r="C253" s="19" t="s">
        <v>652</v>
      </c>
      <c r="D253" s="20" t="s">
        <v>653</v>
      </c>
      <c r="E253" s="20" t="s">
        <v>654</v>
      </c>
      <c r="H253" s="13" t="s">
        <v>18</v>
      </c>
      <c r="I253" s="79" t="s">
        <v>18</v>
      </c>
      <c r="J253" s="79" t="s">
        <v>18</v>
      </c>
      <c r="K253" s="79" t="s">
        <v>18</v>
      </c>
      <c r="L253" s="79" t="s">
        <v>18</v>
      </c>
    </row>
    <row r="254" spans="1:12">
      <c r="A254" s="19"/>
      <c r="B254" s="19" t="s">
        <v>655</v>
      </c>
      <c r="D254" s="20" t="s">
        <v>656</v>
      </c>
      <c r="E254" s="20" t="s">
        <v>657</v>
      </c>
      <c r="H254" s="13" t="s">
        <v>24</v>
      </c>
      <c r="I254" s="79" t="s">
        <v>18</v>
      </c>
      <c r="J254" s="79" t="s">
        <v>18</v>
      </c>
      <c r="K254" s="79" t="s">
        <v>18</v>
      </c>
      <c r="L254" s="79" t="s">
        <v>18</v>
      </c>
    </row>
    <row r="255" spans="1:12">
      <c r="A255" s="19"/>
      <c r="B255" s="19" t="s">
        <v>658</v>
      </c>
      <c r="D255" s="20" t="s">
        <v>645</v>
      </c>
      <c r="E255" s="20" t="s">
        <v>646</v>
      </c>
      <c r="H255" s="13" t="s">
        <v>18</v>
      </c>
      <c r="I255" s="79" t="s">
        <v>18</v>
      </c>
      <c r="J255" s="79" t="s">
        <v>18</v>
      </c>
      <c r="K255" s="79" t="s">
        <v>18</v>
      </c>
      <c r="L255" s="79" t="s">
        <v>18</v>
      </c>
    </row>
    <row r="256" spans="1:12">
      <c r="A256" s="19"/>
      <c r="B256" s="19" t="s">
        <v>659</v>
      </c>
      <c r="E256" s="20" t="s">
        <v>648</v>
      </c>
      <c r="H256" s="13" t="s">
        <v>18</v>
      </c>
      <c r="I256" s="79" t="s">
        <v>18</v>
      </c>
      <c r="J256" s="79" t="s">
        <v>18</v>
      </c>
      <c r="K256" s="79" t="s">
        <v>18</v>
      </c>
      <c r="L256" s="79" t="s">
        <v>18</v>
      </c>
    </row>
    <row r="257" spans="1:12">
      <c r="A257" s="19"/>
      <c r="B257" s="19" t="s">
        <v>660</v>
      </c>
      <c r="E257" s="20" t="s">
        <v>650</v>
      </c>
      <c r="H257" s="13" t="s">
        <v>18</v>
      </c>
      <c r="I257" s="79" t="s">
        <v>18</v>
      </c>
      <c r="J257" s="79" t="s">
        <v>18</v>
      </c>
      <c r="K257" s="79" t="s">
        <v>18</v>
      </c>
      <c r="L257" s="79" t="s">
        <v>18</v>
      </c>
    </row>
    <row r="258" spans="1:12">
      <c r="A258" s="19"/>
      <c r="B258" s="19" t="s">
        <v>661</v>
      </c>
      <c r="C258" s="19" t="s">
        <v>662</v>
      </c>
      <c r="D258" s="20" t="s">
        <v>398</v>
      </c>
      <c r="E258" s="20" t="s">
        <v>399</v>
      </c>
      <c r="H258" s="13" t="s">
        <v>18</v>
      </c>
      <c r="I258" s="79" t="s">
        <v>18</v>
      </c>
      <c r="J258" s="79" t="s">
        <v>18</v>
      </c>
      <c r="K258" s="79" t="s">
        <v>18</v>
      </c>
      <c r="L258" s="79" t="s">
        <v>18</v>
      </c>
    </row>
    <row r="259" spans="1:12">
      <c r="A259" s="19"/>
      <c r="B259" s="19" t="s">
        <v>663</v>
      </c>
      <c r="D259" s="20" t="s">
        <v>664</v>
      </c>
      <c r="E259" s="20" t="s">
        <v>372</v>
      </c>
      <c r="H259" s="13" t="s">
        <v>18</v>
      </c>
      <c r="I259" s="79" t="s">
        <v>18</v>
      </c>
      <c r="J259" s="79" t="s">
        <v>18</v>
      </c>
      <c r="K259" s="79" t="s">
        <v>18</v>
      </c>
      <c r="L259" s="79" t="s">
        <v>18</v>
      </c>
    </row>
    <row r="260" spans="1:12">
      <c r="A260" s="19"/>
      <c r="B260" s="19" t="s">
        <v>665</v>
      </c>
      <c r="E260" s="20" t="s">
        <v>666</v>
      </c>
      <c r="H260" s="13" t="s">
        <v>18</v>
      </c>
      <c r="I260" s="79" t="s">
        <v>18</v>
      </c>
      <c r="J260" s="79" t="s">
        <v>18</v>
      </c>
      <c r="K260" s="79" t="s">
        <v>18</v>
      </c>
      <c r="L260" s="79" t="s">
        <v>18</v>
      </c>
    </row>
    <row r="261" spans="1:12">
      <c r="A261" s="19"/>
      <c r="B261" s="19" t="s">
        <v>667</v>
      </c>
      <c r="E261" s="20" t="s">
        <v>668</v>
      </c>
      <c r="H261" s="13" t="s">
        <v>18</v>
      </c>
      <c r="I261" s="79" t="s">
        <v>18</v>
      </c>
      <c r="J261" s="79" t="s">
        <v>18</v>
      </c>
      <c r="K261" s="79" t="s">
        <v>18</v>
      </c>
      <c r="L261" s="79" t="s">
        <v>18</v>
      </c>
    </row>
    <row r="262" ht="33" spans="1:12">
      <c r="A262" s="19"/>
      <c r="B262" s="19" t="s">
        <v>669</v>
      </c>
      <c r="D262" s="20" t="s">
        <v>378</v>
      </c>
      <c r="E262" s="20" t="s">
        <v>670</v>
      </c>
      <c r="H262" s="13" t="s">
        <v>33</v>
      </c>
      <c r="I262" s="19" t="s">
        <v>33</v>
      </c>
      <c r="J262" s="79" t="s">
        <v>18</v>
      </c>
      <c r="K262" s="79" t="s">
        <v>18</v>
      </c>
      <c r="L262" s="79" t="s">
        <v>18</v>
      </c>
    </row>
    <row r="263" spans="1:12">
      <c r="A263" s="19"/>
      <c r="B263" s="19" t="s">
        <v>671</v>
      </c>
      <c r="D263" s="20" t="s">
        <v>381</v>
      </c>
      <c r="E263" s="20" t="s">
        <v>382</v>
      </c>
      <c r="H263" s="13" t="s">
        <v>33</v>
      </c>
      <c r="I263" s="19" t="s">
        <v>33</v>
      </c>
      <c r="J263" s="79" t="s">
        <v>18</v>
      </c>
      <c r="K263" s="79" t="s">
        <v>18</v>
      </c>
      <c r="L263" s="79" t="s">
        <v>18</v>
      </c>
    </row>
    <row r="264" ht="33" spans="1:12">
      <c r="A264" s="19"/>
      <c r="B264" s="19" t="s">
        <v>672</v>
      </c>
      <c r="D264" s="20" t="s">
        <v>384</v>
      </c>
      <c r="E264" s="20" t="s">
        <v>385</v>
      </c>
      <c r="H264" s="13" t="s">
        <v>33</v>
      </c>
      <c r="I264" s="19" t="s">
        <v>33</v>
      </c>
      <c r="J264" s="79" t="s">
        <v>18</v>
      </c>
      <c r="K264" s="79" t="s">
        <v>18</v>
      </c>
      <c r="L264" s="79" t="s">
        <v>18</v>
      </c>
    </row>
    <row r="265" spans="1:12">
      <c r="A265" s="19"/>
      <c r="B265" s="19" t="s">
        <v>673</v>
      </c>
      <c r="D265" s="20" t="s">
        <v>387</v>
      </c>
      <c r="E265" s="20" t="s">
        <v>388</v>
      </c>
      <c r="H265" s="13" t="s">
        <v>33</v>
      </c>
      <c r="I265" s="19" t="s">
        <v>33</v>
      </c>
      <c r="J265" s="79" t="s">
        <v>18</v>
      </c>
      <c r="K265" s="79" t="s">
        <v>18</v>
      </c>
      <c r="L265" s="79" t="s">
        <v>18</v>
      </c>
    </row>
    <row r="266" ht="33" spans="1:12">
      <c r="A266" s="19"/>
      <c r="B266" s="19" t="s">
        <v>674</v>
      </c>
      <c r="D266" s="20" t="s">
        <v>390</v>
      </c>
      <c r="E266" s="20" t="s">
        <v>391</v>
      </c>
      <c r="H266" s="13" t="s">
        <v>33</v>
      </c>
      <c r="I266" s="19" t="s">
        <v>33</v>
      </c>
      <c r="J266" s="19" t="s">
        <v>33</v>
      </c>
      <c r="K266" s="79" t="s">
        <v>18</v>
      </c>
      <c r="L266" s="79" t="s">
        <v>18</v>
      </c>
    </row>
    <row r="267" ht="33" spans="1:12">
      <c r="A267" s="19"/>
      <c r="B267" s="19" t="s">
        <v>675</v>
      </c>
      <c r="E267" s="20" t="s">
        <v>393</v>
      </c>
      <c r="H267" s="13" t="s">
        <v>33</v>
      </c>
      <c r="I267" s="19" t="s">
        <v>33</v>
      </c>
      <c r="J267" s="19" t="s">
        <v>33</v>
      </c>
      <c r="K267" s="79" t="s">
        <v>18</v>
      </c>
      <c r="L267" s="79" t="s">
        <v>18</v>
      </c>
    </row>
    <row r="268" spans="1:12">
      <c r="A268" s="19" t="s">
        <v>676</v>
      </c>
      <c r="B268" s="19" t="s">
        <v>677</v>
      </c>
      <c r="C268" s="19" t="s">
        <v>461</v>
      </c>
      <c r="D268" s="20" t="s">
        <v>462</v>
      </c>
      <c r="E268" s="20" t="s">
        <v>463</v>
      </c>
      <c r="H268" s="13" t="s">
        <v>24</v>
      </c>
      <c r="I268" s="79" t="s">
        <v>18</v>
      </c>
      <c r="J268" s="79" t="s">
        <v>18</v>
      </c>
      <c r="K268" s="79" t="s">
        <v>18</v>
      </c>
      <c r="L268" s="79" t="s">
        <v>18</v>
      </c>
    </row>
    <row r="269" ht="33" spans="1:12">
      <c r="A269" s="19"/>
      <c r="B269" s="19" t="s">
        <v>678</v>
      </c>
      <c r="C269" s="19" t="s">
        <v>459</v>
      </c>
      <c r="D269" s="20" t="s">
        <v>679</v>
      </c>
      <c r="E269" s="20" t="s">
        <v>680</v>
      </c>
      <c r="H269" s="13" t="s">
        <v>18</v>
      </c>
      <c r="I269" s="79" t="s">
        <v>18</v>
      </c>
      <c r="J269" s="79" t="s">
        <v>18</v>
      </c>
      <c r="K269" s="79" t="s">
        <v>18</v>
      </c>
      <c r="L269" s="79" t="s">
        <v>18</v>
      </c>
    </row>
    <row r="270" ht="33" spans="1:12">
      <c r="A270" s="19"/>
      <c r="B270" s="19" t="s">
        <v>681</v>
      </c>
      <c r="C270" s="19" t="s">
        <v>468</v>
      </c>
      <c r="D270" s="20" t="s">
        <v>682</v>
      </c>
      <c r="E270" s="20" t="s">
        <v>683</v>
      </c>
      <c r="H270" s="13" t="s">
        <v>18</v>
      </c>
      <c r="I270" s="79" t="s">
        <v>18</v>
      </c>
      <c r="J270" s="79" t="s">
        <v>18</v>
      </c>
      <c r="K270" s="79" t="s">
        <v>18</v>
      </c>
      <c r="L270" s="79" t="s">
        <v>18</v>
      </c>
    </row>
    <row r="271" spans="1:13">
      <c r="A271" s="19" t="s">
        <v>638</v>
      </c>
      <c r="B271" s="19" t="s">
        <v>684</v>
      </c>
      <c r="C271" s="19" t="s">
        <v>685</v>
      </c>
      <c r="D271" s="94" t="s">
        <v>686</v>
      </c>
      <c r="E271" s="82" t="s">
        <v>687</v>
      </c>
      <c r="H271" s="110" t="s">
        <v>35</v>
      </c>
      <c r="I271" s="19" t="s">
        <v>35</v>
      </c>
      <c r="J271" s="19" t="s">
        <v>35</v>
      </c>
      <c r="K271" s="79" t="s">
        <v>18</v>
      </c>
      <c r="L271" s="79" t="s">
        <v>18</v>
      </c>
      <c r="M271" s="20" t="s">
        <v>688</v>
      </c>
    </row>
    <row r="272" spans="1:12">
      <c r="A272" s="19"/>
      <c r="B272" s="19" t="s">
        <v>689</v>
      </c>
      <c r="D272" s="94"/>
      <c r="E272" s="82" t="s">
        <v>690</v>
      </c>
      <c r="H272" s="110"/>
      <c r="I272" s="19"/>
      <c r="J272" s="19"/>
      <c r="K272" s="79"/>
      <c r="L272" s="79"/>
    </row>
    <row r="273" spans="1:12">
      <c r="A273" s="19"/>
      <c r="B273" s="19" t="s">
        <v>691</v>
      </c>
      <c r="D273" s="94"/>
      <c r="E273" s="82" t="s">
        <v>692</v>
      </c>
      <c r="H273" s="110"/>
      <c r="I273" s="19"/>
      <c r="J273" s="19"/>
      <c r="K273" s="79"/>
      <c r="L273" s="79"/>
    </row>
    <row r="274" spans="1:12">
      <c r="A274" s="19"/>
      <c r="B274" s="19" t="s">
        <v>693</v>
      </c>
      <c r="D274" s="94"/>
      <c r="E274" s="94" t="s">
        <v>694</v>
      </c>
      <c r="H274" s="110"/>
      <c r="I274" s="19"/>
      <c r="J274" s="19"/>
      <c r="K274" s="79"/>
      <c r="L274" s="79"/>
    </row>
    <row r="275" spans="1:12">
      <c r="A275" s="19"/>
      <c r="B275" s="19" t="s">
        <v>695</v>
      </c>
      <c r="E275" s="20" t="s">
        <v>696</v>
      </c>
      <c r="H275" s="110" t="s">
        <v>35</v>
      </c>
      <c r="I275" s="19" t="s">
        <v>35</v>
      </c>
      <c r="J275" s="19" t="s">
        <v>35</v>
      </c>
      <c r="K275" s="79" t="s">
        <v>18</v>
      </c>
      <c r="L275" s="79" t="s">
        <v>18</v>
      </c>
    </row>
    <row r="276" spans="1:12">
      <c r="A276" s="19"/>
      <c r="B276" s="19" t="s">
        <v>697</v>
      </c>
      <c r="D276" s="20" t="s">
        <v>698</v>
      </c>
      <c r="E276" s="20" t="s">
        <v>699</v>
      </c>
      <c r="H276" s="110" t="s">
        <v>35</v>
      </c>
      <c r="I276" s="19" t="s">
        <v>35</v>
      </c>
      <c r="J276" s="19" t="s">
        <v>35</v>
      </c>
      <c r="K276" s="79" t="s">
        <v>18</v>
      </c>
      <c r="L276" s="79" t="s">
        <v>18</v>
      </c>
    </row>
    <row r="277" spans="1:12">
      <c r="A277" s="19"/>
      <c r="B277" s="19" t="s">
        <v>700</v>
      </c>
      <c r="E277" s="20" t="s">
        <v>701</v>
      </c>
      <c r="H277" s="110" t="s">
        <v>35</v>
      </c>
      <c r="I277" s="19" t="s">
        <v>35</v>
      </c>
      <c r="J277" s="19" t="s">
        <v>35</v>
      </c>
      <c r="K277" s="79" t="s">
        <v>18</v>
      </c>
      <c r="L277" s="79" t="s">
        <v>18</v>
      </c>
    </row>
    <row r="278" spans="1:12">
      <c r="A278" s="19"/>
      <c r="B278" s="19" t="s">
        <v>702</v>
      </c>
      <c r="D278" s="20" t="s">
        <v>703</v>
      </c>
      <c r="E278" s="20" t="s">
        <v>704</v>
      </c>
      <c r="H278" s="110" t="s">
        <v>35</v>
      </c>
      <c r="I278" s="19" t="s">
        <v>35</v>
      </c>
      <c r="J278" s="19" t="s">
        <v>35</v>
      </c>
      <c r="K278" s="79" t="s">
        <v>18</v>
      </c>
      <c r="L278" s="79" t="s">
        <v>18</v>
      </c>
    </row>
    <row r="279" spans="1:12">
      <c r="A279" s="19"/>
      <c r="B279" s="19" t="s">
        <v>705</v>
      </c>
      <c r="E279" s="20" t="s">
        <v>706</v>
      </c>
      <c r="H279" s="110" t="s">
        <v>35</v>
      </c>
      <c r="I279" s="19" t="s">
        <v>35</v>
      </c>
      <c r="J279" s="19" t="s">
        <v>35</v>
      </c>
      <c r="K279" s="79" t="s">
        <v>18</v>
      </c>
      <c r="L279" s="79" t="s">
        <v>18</v>
      </c>
    </row>
    <row r="280" spans="1:12">
      <c r="A280" s="19"/>
      <c r="B280" s="19" t="s">
        <v>707</v>
      </c>
      <c r="D280" s="20" t="s">
        <v>500</v>
      </c>
      <c r="E280" s="20" t="s">
        <v>708</v>
      </c>
      <c r="H280" s="110" t="s">
        <v>35</v>
      </c>
      <c r="I280" s="19" t="s">
        <v>35</v>
      </c>
      <c r="J280" s="19" t="s">
        <v>35</v>
      </c>
      <c r="K280" s="79" t="s">
        <v>18</v>
      </c>
      <c r="L280" s="79" t="s">
        <v>18</v>
      </c>
    </row>
    <row r="281" spans="1:12">
      <c r="A281" s="19"/>
      <c r="B281" s="19" t="s">
        <v>709</v>
      </c>
      <c r="E281" s="20" t="s">
        <v>710</v>
      </c>
      <c r="H281" s="110" t="s">
        <v>35</v>
      </c>
      <c r="I281" s="19" t="s">
        <v>35</v>
      </c>
      <c r="J281" s="19" t="s">
        <v>35</v>
      </c>
      <c r="K281" s="79" t="s">
        <v>18</v>
      </c>
      <c r="L281" s="79" t="s">
        <v>18</v>
      </c>
    </row>
    <row r="282" ht="33" spans="1:12">
      <c r="A282" s="19"/>
      <c r="B282" s="19" t="s">
        <v>711</v>
      </c>
      <c r="C282" s="19" t="s">
        <v>712</v>
      </c>
      <c r="D282" s="20" t="s">
        <v>713</v>
      </c>
      <c r="E282" s="20" t="s">
        <v>714</v>
      </c>
      <c r="H282" s="110" t="s">
        <v>35</v>
      </c>
      <c r="I282" s="19" t="s">
        <v>35</v>
      </c>
      <c r="J282" s="19" t="s">
        <v>35</v>
      </c>
      <c r="K282" s="19" t="s">
        <v>35</v>
      </c>
      <c r="L282" s="79" t="s">
        <v>18</v>
      </c>
    </row>
    <row r="283" ht="33" spans="1:12">
      <c r="A283" s="19"/>
      <c r="B283" s="19" t="s">
        <v>715</v>
      </c>
      <c r="D283" s="20" t="s">
        <v>716</v>
      </c>
      <c r="E283" s="20" t="s">
        <v>717</v>
      </c>
      <c r="H283" s="110" t="s">
        <v>35</v>
      </c>
      <c r="I283" s="19" t="s">
        <v>35</v>
      </c>
      <c r="J283" s="19" t="s">
        <v>35</v>
      </c>
      <c r="K283" s="19" t="s">
        <v>35</v>
      </c>
      <c r="L283" s="79" t="s">
        <v>18</v>
      </c>
    </row>
    <row r="284" ht="33" spans="1:12">
      <c r="A284" s="19"/>
      <c r="B284" s="19" t="s">
        <v>718</v>
      </c>
      <c r="E284" s="20" t="s">
        <v>719</v>
      </c>
      <c r="H284" s="110" t="s">
        <v>35</v>
      </c>
      <c r="I284" s="19" t="s">
        <v>35</v>
      </c>
      <c r="J284" s="19" t="s">
        <v>35</v>
      </c>
      <c r="K284" s="19" t="s">
        <v>35</v>
      </c>
      <c r="L284" s="79" t="s">
        <v>18</v>
      </c>
    </row>
    <row r="285" ht="33" spans="1:12">
      <c r="A285" s="19"/>
      <c r="B285" s="19" t="s">
        <v>720</v>
      </c>
      <c r="D285" s="20" t="s">
        <v>721</v>
      </c>
      <c r="E285" s="20" t="s">
        <v>717</v>
      </c>
      <c r="H285" s="110" t="s">
        <v>35</v>
      </c>
      <c r="I285" s="19" t="s">
        <v>35</v>
      </c>
      <c r="J285" s="19" t="s">
        <v>35</v>
      </c>
      <c r="K285" s="19" t="s">
        <v>35</v>
      </c>
      <c r="L285" s="79" t="s">
        <v>18</v>
      </c>
    </row>
    <row r="286" ht="33" spans="1:12">
      <c r="A286" s="19"/>
      <c r="B286" s="19" t="s">
        <v>722</v>
      </c>
      <c r="E286" s="20" t="s">
        <v>723</v>
      </c>
      <c r="H286" s="110" t="s">
        <v>35</v>
      </c>
      <c r="I286" s="19" t="s">
        <v>35</v>
      </c>
      <c r="J286" s="19" t="s">
        <v>35</v>
      </c>
      <c r="K286" s="19" t="s">
        <v>35</v>
      </c>
      <c r="L286" s="79" t="s">
        <v>18</v>
      </c>
    </row>
    <row r="287" ht="33" spans="1:12">
      <c r="A287" s="19"/>
      <c r="B287" s="19" t="s">
        <v>724</v>
      </c>
      <c r="D287" s="20" t="s">
        <v>725</v>
      </c>
      <c r="E287" s="20" t="s">
        <v>726</v>
      </c>
      <c r="H287" s="110" t="s">
        <v>35</v>
      </c>
      <c r="I287" s="19" t="s">
        <v>35</v>
      </c>
      <c r="J287" s="19" t="s">
        <v>35</v>
      </c>
      <c r="K287" s="19" t="s">
        <v>35</v>
      </c>
      <c r="L287" s="79" t="s">
        <v>18</v>
      </c>
    </row>
    <row r="288" ht="33" spans="1:12">
      <c r="A288" s="19"/>
      <c r="B288" s="19" t="s">
        <v>727</v>
      </c>
      <c r="E288" s="20" t="s">
        <v>728</v>
      </c>
      <c r="H288" s="110" t="s">
        <v>35</v>
      </c>
      <c r="I288" s="19" t="s">
        <v>35</v>
      </c>
      <c r="J288" s="19" t="s">
        <v>35</v>
      </c>
      <c r="K288" s="19" t="s">
        <v>35</v>
      </c>
      <c r="L288" s="79" t="s">
        <v>18</v>
      </c>
    </row>
    <row r="289" spans="1:12">
      <c r="A289" s="19" t="s">
        <v>652</v>
      </c>
      <c r="B289" s="19" t="s">
        <v>729</v>
      </c>
      <c r="C289" s="19" t="s">
        <v>685</v>
      </c>
      <c r="D289" s="20" t="s">
        <v>730</v>
      </c>
      <c r="E289" s="82" t="s">
        <v>687</v>
      </c>
      <c r="H289" s="110" t="s">
        <v>35</v>
      </c>
      <c r="I289" s="19" t="s">
        <v>35</v>
      </c>
      <c r="J289" s="19" t="s">
        <v>35</v>
      </c>
      <c r="K289" s="19" t="s">
        <v>35</v>
      </c>
      <c r="L289" s="79" t="s">
        <v>18</v>
      </c>
    </row>
    <row r="290" spans="1:12">
      <c r="A290" s="19"/>
      <c r="B290" s="19" t="s">
        <v>731</v>
      </c>
      <c r="E290" s="82" t="s">
        <v>690</v>
      </c>
      <c r="H290" s="110"/>
      <c r="I290" s="19"/>
      <c r="J290" s="19"/>
      <c r="K290" s="19"/>
      <c r="L290" s="79"/>
    </row>
    <row r="291" spans="1:12">
      <c r="A291" s="19"/>
      <c r="B291" s="19" t="s">
        <v>732</v>
      </c>
      <c r="E291" s="82" t="s">
        <v>692</v>
      </c>
      <c r="H291" s="110"/>
      <c r="I291" s="19"/>
      <c r="J291" s="19"/>
      <c r="K291" s="19"/>
      <c r="L291" s="79"/>
    </row>
    <row r="292" spans="1:12">
      <c r="A292" s="19"/>
      <c r="B292" s="19" t="s">
        <v>733</v>
      </c>
      <c r="E292" s="20" t="s">
        <v>734</v>
      </c>
      <c r="H292" s="110"/>
      <c r="I292" s="19"/>
      <c r="J292" s="19"/>
      <c r="K292" s="19"/>
      <c r="L292" s="79"/>
    </row>
    <row r="293" spans="1:12">
      <c r="A293" s="19"/>
      <c r="B293" s="19" t="s">
        <v>735</v>
      </c>
      <c r="E293" s="20" t="s">
        <v>736</v>
      </c>
      <c r="H293" s="110" t="s">
        <v>35</v>
      </c>
      <c r="I293" s="19" t="s">
        <v>35</v>
      </c>
      <c r="J293" s="19" t="s">
        <v>35</v>
      </c>
      <c r="K293" s="19" t="s">
        <v>35</v>
      </c>
      <c r="L293" s="79" t="s">
        <v>18</v>
      </c>
    </row>
    <row r="294" spans="1:12">
      <c r="A294" s="19"/>
      <c r="B294" s="19" t="s">
        <v>737</v>
      </c>
      <c r="D294" s="94" t="s">
        <v>738</v>
      </c>
      <c r="E294" s="94" t="s">
        <v>739</v>
      </c>
      <c r="H294" s="110" t="s">
        <v>35</v>
      </c>
      <c r="I294" s="19" t="s">
        <v>35</v>
      </c>
      <c r="J294" s="19" t="s">
        <v>35</v>
      </c>
      <c r="K294" s="19" t="s">
        <v>35</v>
      </c>
      <c r="L294" s="79" t="s">
        <v>18</v>
      </c>
    </row>
    <row r="295" spans="1:12">
      <c r="A295" s="19"/>
      <c r="B295" s="19" t="s">
        <v>740</v>
      </c>
      <c r="E295" s="20" t="s">
        <v>741</v>
      </c>
      <c r="H295" s="110" t="s">
        <v>35</v>
      </c>
      <c r="I295" s="19" t="s">
        <v>35</v>
      </c>
      <c r="J295" s="19" t="s">
        <v>35</v>
      </c>
      <c r="K295" s="19" t="s">
        <v>35</v>
      </c>
      <c r="L295" s="79" t="s">
        <v>18</v>
      </c>
    </row>
    <row r="296" spans="1:12">
      <c r="A296" s="19"/>
      <c r="B296" s="19" t="s">
        <v>742</v>
      </c>
      <c r="D296" s="20" t="s">
        <v>500</v>
      </c>
      <c r="E296" s="20" t="s">
        <v>708</v>
      </c>
      <c r="H296" s="110" t="s">
        <v>35</v>
      </c>
      <c r="I296" s="19" t="s">
        <v>35</v>
      </c>
      <c r="J296" s="19" t="s">
        <v>35</v>
      </c>
      <c r="K296" s="19" t="s">
        <v>35</v>
      </c>
      <c r="L296" s="79" t="s">
        <v>18</v>
      </c>
    </row>
    <row r="297" spans="1:12">
      <c r="A297" s="19"/>
      <c r="B297" s="19" t="s">
        <v>743</v>
      </c>
      <c r="E297" s="20" t="s">
        <v>710</v>
      </c>
      <c r="H297" s="110" t="s">
        <v>35</v>
      </c>
      <c r="I297" s="19" t="s">
        <v>35</v>
      </c>
      <c r="J297" s="19" t="s">
        <v>35</v>
      </c>
      <c r="K297" s="19" t="s">
        <v>35</v>
      </c>
      <c r="L297" s="79" t="s">
        <v>18</v>
      </c>
    </row>
    <row r="298" spans="1:12">
      <c r="A298" s="19"/>
      <c r="B298" s="19" t="s">
        <v>744</v>
      </c>
      <c r="C298" s="19" t="s">
        <v>712</v>
      </c>
      <c r="D298" s="20" t="s">
        <v>745</v>
      </c>
      <c r="E298" s="20" t="s">
        <v>746</v>
      </c>
      <c r="H298" s="110" t="s">
        <v>35</v>
      </c>
      <c r="I298" s="19" t="s">
        <v>35</v>
      </c>
      <c r="J298" s="19" t="s">
        <v>35</v>
      </c>
      <c r="K298" s="19" t="s">
        <v>35</v>
      </c>
      <c r="L298" s="19" t="s">
        <v>35</v>
      </c>
    </row>
    <row r="299" spans="1:12">
      <c r="A299" s="19"/>
      <c r="B299" s="19" t="s">
        <v>747</v>
      </c>
      <c r="E299" s="20" t="s">
        <v>748</v>
      </c>
      <c r="H299" s="110" t="s">
        <v>35</v>
      </c>
      <c r="I299" s="19" t="s">
        <v>35</v>
      </c>
      <c r="J299" s="19" t="s">
        <v>35</v>
      </c>
      <c r="K299" s="19" t="s">
        <v>35</v>
      </c>
      <c r="L299" s="19" t="s">
        <v>35</v>
      </c>
    </row>
    <row r="300" spans="1:12">
      <c r="A300" s="19"/>
      <c r="B300" s="19" t="s">
        <v>749</v>
      </c>
      <c r="E300" s="20" t="s">
        <v>750</v>
      </c>
      <c r="H300" s="110" t="s">
        <v>35</v>
      </c>
      <c r="I300" s="19" t="s">
        <v>35</v>
      </c>
      <c r="J300" s="19" t="s">
        <v>35</v>
      </c>
      <c r="K300" s="19" t="s">
        <v>35</v>
      </c>
      <c r="L300" s="19" t="s">
        <v>35</v>
      </c>
    </row>
    <row r="301" ht="33" spans="1:12">
      <c r="A301" s="19"/>
      <c r="B301" s="19" t="s">
        <v>751</v>
      </c>
      <c r="E301" s="20" t="s">
        <v>752</v>
      </c>
      <c r="H301" s="110" t="s">
        <v>35</v>
      </c>
      <c r="I301" s="19" t="s">
        <v>35</v>
      </c>
      <c r="J301" s="19" t="s">
        <v>35</v>
      </c>
      <c r="K301" s="19" t="s">
        <v>35</v>
      </c>
      <c r="L301" s="19" t="s">
        <v>35</v>
      </c>
    </row>
    <row r="302" ht="15" spans="1:13">
      <c r="A302" s="41" t="s">
        <v>753</v>
      </c>
      <c r="B302" s="41"/>
      <c r="C302" s="41"/>
      <c r="D302" s="41"/>
      <c r="E302" s="41"/>
      <c r="F302" s="41"/>
      <c r="G302" s="41"/>
      <c r="H302" s="42"/>
      <c r="I302" s="72"/>
      <c r="J302" s="42"/>
      <c r="K302" s="42"/>
      <c r="L302" s="42"/>
      <c r="M302" s="41"/>
    </row>
    <row r="303" spans="1:13">
      <c r="A303" s="43" t="s">
        <v>38</v>
      </c>
      <c r="B303" s="44" t="s">
        <v>39</v>
      </c>
      <c r="C303" s="44" t="s">
        <v>40</v>
      </c>
      <c r="D303" s="45" t="s">
        <v>41</v>
      </c>
      <c r="E303" s="27" t="s">
        <v>42</v>
      </c>
      <c r="F303" s="44" t="s">
        <v>43</v>
      </c>
      <c r="G303" s="46" t="s">
        <v>44</v>
      </c>
      <c r="H303" s="46" t="s">
        <v>45</v>
      </c>
      <c r="I303" s="75"/>
      <c r="J303" s="75"/>
      <c r="K303" s="76"/>
      <c r="L303" s="76"/>
      <c r="M303" s="77" t="s">
        <v>6</v>
      </c>
    </row>
    <row r="304" spans="1:12">
      <c r="A304" s="19" t="s">
        <v>754</v>
      </c>
      <c r="B304" s="19" t="s">
        <v>755</v>
      </c>
      <c r="C304" s="88" t="s">
        <v>289</v>
      </c>
      <c r="D304" s="89" t="s">
        <v>756</v>
      </c>
      <c r="E304" s="90" t="s">
        <v>757</v>
      </c>
      <c r="H304" s="47" t="s">
        <v>18</v>
      </c>
      <c r="I304" s="92" t="s">
        <v>18</v>
      </c>
      <c r="J304" s="92" t="s">
        <v>18</v>
      </c>
      <c r="K304" s="92" t="s">
        <v>18</v>
      </c>
      <c r="L304" s="79" t="s">
        <v>18</v>
      </c>
    </row>
    <row r="305" spans="1:12">
      <c r="A305" s="19"/>
      <c r="B305" s="19" t="s">
        <v>758</v>
      </c>
      <c r="C305" s="88"/>
      <c r="D305" s="89" t="s">
        <v>759</v>
      </c>
      <c r="E305" s="90" t="s">
        <v>297</v>
      </c>
      <c r="H305" s="13" t="s">
        <v>18</v>
      </c>
      <c r="I305" s="79" t="s">
        <v>18</v>
      </c>
      <c r="J305" s="79" t="s">
        <v>18</v>
      </c>
      <c r="K305" s="92" t="s">
        <v>18</v>
      </c>
      <c r="L305" s="79" t="s">
        <v>18</v>
      </c>
    </row>
    <row r="306" spans="1:12">
      <c r="A306" s="19"/>
      <c r="B306" s="19" t="s">
        <v>760</v>
      </c>
      <c r="C306" s="88"/>
      <c r="D306" s="89" t="s">
        <v>761</v>
      </c>
      <c r="E306" s="90" t="s">
        <v>300</v>
      </c>
      <c r="H306" s="13" t="s">
        <v>18</v>
      </c>
      <c r="I306" s="79" t="s">
        <v>18</v>
      </c>
      <c r="J306" s="79" t="s">
        <v>18</v>
      </c>
      <c r="K306" s="92" t="s">
        <v>18</v>
      </c>
      <c r="L306" s="79" t="s">
        <v>18</v>
      </c>
    </row>
    <row r="307" ht="33" spans="1:12">
      <c r="A307" s="19"/>
      <c r="B307" s="19" t="s">
        <v>762</v>
      </c>
      <c r="C307" s="19" t="s">
        <v>88</v>
      </c>
      <c r="D307" s="20" t="s">
        <v>763</v>
      </c>
      <c r="E307" s="20" t="s">
        <v>303</v>
      </c>
      <c r="H307" s="13" t="s">
        <v>18</v>
      </c>
      <c r="I307" s="79" t="s">
        <v>18</v>
      </c>
      <c r="J307" s="79" t="s">
        <v>18</v>
      </c>
      <c r="K307" s="92" t="s">
        <v>18</v>
      </c>
      <c r="L307" s="79" t="s">
        <v>18</v>
      </c>
    </row>
    <row r="308" ht="33" spans="1:12">
      <c r="A308" s="19" t="s">
        <v>764</v>
      </c>
      <c r="B308" s="19" t="s">
        <v>765</v>
      </c>
      <c r="C308" s="19" t="s">
        <v>764</v>
      </c>
      <c r="D308" s="20" t="s">
        <v>766</v>
      </c>
      <c r="E308" s="20" t="s">
        <v>317</v>
      </c>
      <c r="H308" s="13" t="s">
        <v>18</v>
      </c>
      <c r="I308" s="79" t="s">
        <v>18</v>
      </c>
      <c r="J308" s="79" t="s">
        <v>18</v>
      </c>
      <c r="K308" s="92" t="s">
        <v>18</v>
      </c>
      <c r="L308" s="79" t="s">
        <v>18</v>
      </c>
    </row>
    <row r="309" spans="1:12">
      <c r="A309" s="19"/>
      <c r="B309" s="19" t="s">
        <v>767</v>
      </c>
      <c r="D309" s="20" t="s">
        <v>768</v>
      </c>
      <c r="E309" s="20" t="s">
        <v>769</v>
      </c>
      <c r="H309" s="13" t="s">
        <v>24</v>
      </c>
      <c r="I309" s="79" t="s">
        <v>18</v>
      </c>
      <c r="J309" s="79" t="s">
        <v>18</v>
      </c>
      <c r="K309" s="92" t="s">
        <v>18</v>
      </c>
      <c r="L309" s="79" t="s">
        <v>18</v>
      </c>
    </row>
    <row r="310" spans="1:12">
      <c r="A310" s="19"/>
      <c r="B310" s="19" t="s">
        <v>770</v>
      </c>
      <c r="E310" s="20" t="s">
        <v>771</v>
      </c>
      <c r="H310" s="13" t="s">
        <v>24</v>
      </c>
      <c r="I310" s="79" t="s">
        <v>18</v>
      </c>
      <c r="J310" s="79" t="s">
        <v>18</v>
      </c>
      <c r="K310" s="92" t="s">
        <v>18</v>
      </c>
      <c r="L310" s="79" t="s">
        <v>18</v>
      </c>
    </row>
    <row r="311" spans="1:12">
      <c r="A311" s="19"/>
      <c r="B311" s="19" t="s">
        <v>772</v>
      </c>
      <c r="E311" s="20" t="s">
        <v>773</v>
      </c>
      <c r="H311" s="13" t="s">
        <v>24</v>
      </c>
      <c r="I311" s="79" t="s">
        <v>18</v>
      </c>
      <c r="J311" s="79" t="s">
        <v>18</v>
      </c>
      <c r="K311" s="92" t="s">
        <v>18</v>
      </c>
      <c r="L311" s="79" t="s">
        <v>18</v>
      </c>
    </row>
    <row r="312" spans="1:13">
      <c r="A312" s="19"/>
      <c r="B312" s="19" t="s">
        <v>774</v>
      </c>
      <c r="D312" s="20" t="s">
        <v>775</v>
      </c>
      <c r="E312" s="20" t="s">
        <v>776</v>
      </c>
      <c r="H312" s="13" t="s">
        <v>18</v>
      </c>
      <c r="I312" s="80" t="s">
        <v>24</v>
      </c>
      <c r="J312" s="79" t="s">
        <v>18</v>
      </c>
      <c r="K312" s="92" t="s">
        <v>18</v>
      </c>
      <c r="L312" s="79" t="s">
        <v>18</v>
      </c>
      <c r="M312" s="20" t="s">
        <v>777</v>
      </c>
    </row>
    <row r="313" spans="1:12">
      <c r="A313" s="19"/>
      <c r="B313" s="19" t="s">
        <v>778</v>
      </c>
      <c r="E313" s="20" t="s">
        <v>779</v>
      </c>
      <c r="H313" s="13" t="s">
        <v>18</v>
      </c>
      <c r="I313" s="79" t="s">
        <v>18</v>
      </c>
      <c r="J313" s="79" t="s">
        <v>18</v>
      </c>
      <c r="K313" s="92" t="s">
        <v>18</v>
      </c>
      <c r="L313" s="79" t="s">
        <v>18</v>
      </c>
    </row>
    <row r="314" ht="33" spans="1:12">
      <c r="A314" s="19"/>
      <c r="B314" s="19" t="s">
        <v>780</v>
      </c>
      <c r="D314" s="20" t="s">
        <v>781</v>
      </c>
      <c r="E314" s="20" t="s">
        <v>782</v>
      </c>
      <c r="H314" s="13" t="s">
        <v>24</v>
      </c>
      <c r="I314" s="79" t="s">
        <v>18</v>
      </c>
      <c r="J314" s="79" t="s">
        <v>18</v>
      </c>
      <c r="K314" s="92" t="s">
        <v>18</v>
      </c>
      <c r="L314" s="79" t="s">
        <v>18</v>
      </c>
    </row>
    <row r="315" spans="1:12">
      <c r="A315" s="19"/>
      <c r="B315" s="19" t="s">
        <v>783</v>
      </c>
      <c r="D315" s="20" t="s">
        <v>784</v>
      </c>
      <c r="E315" s="20" t="s">
        <v>785</v>
      </c>
      <c r="H315" s="13" t="s">
        <v>18</v>
      </c>
      <c r="I315" s="79" t="s">
        <v>18</v>
      </c>
      <c r="J315" s="79" t="s">
        <v>18</v>
      </c>
      <c r="K315" s="92" t="s">
        <v>18</v>
      </c>
      <c r="L315" s="79" t="s">
        <v>18</v>
      </c>
    </row>
    <row r="316" spans="1:12">
      <c r="A316" s="19"/>
      <c r="B316" s="19" t="s">
        <v>786</v>
      </c>
      <c r="D316" s="20" t="s">
        <v>787</v>
      </c>
      <c r="E316" s="20" t="s">
        <v>788</v>
      </c>
      <c r="H316" s="13" t="s">
        <v>18</v>
      </c>
      <c r="I316" s="79" t="s">
        <v>18</v>
      </c>
      <c r="J316" s="79" t="s">
        <v>18</v>
      </c>
      <c r="K316" s="92" t="s">
        <v>18</v>
      </c>
      <c r="L316" s="79" t="s">
        <v>18</v>
      </c>
    </row>
    <row r="317" spans="1:12">
      <c r="A317" s="19"/>
      <c r="B317" s="19" t="s">
        <v>789</v>
      </c>
      <c r="E317" s="20" t="s">
        <v>790</v>
      </c>
      <c r="H317" s="13" t="s">
        <v>35</v>
      </c>
      <c r="I317" s="80" t="s">
        <v>24</v>
      </c>
      <c r="J317" s="79" t="s">
        <v>18</v>
      </c>
      <c r="K317" s="92" t="s">
        <v>18</v>
      </c>
      <c r="L317" s="79" t="s">
        <v>18</v>
      </c>
    </row>
    <row r="318" ht="33" spans="1:12">
      <c r="A318" s="19"/>
      <c r="B318" s="19" t="s">
        <v>791</v>
      </c>
      <c r="D318" s="20" t="s">
        <v>792</v>
      </c>
      <c r="E318" s="20" t="s">
        <v>793</v>
      </c>
      <c r="H318" s="13" t="s">
        <v>18</v>
      </c>
      <c r="I318" s="79" t="s">
        <v>18</v>
      </c>
      <c r="J318" s="79" t="s">
        <v>18</v>
      </c>
      <c r="K318" s="92" t="s">
        <v>18</v>
      </c>
      <c r="L318" s="79" t="s">
        <v>18</v>
      </c>
    </row>
    <row r="319" spans="1:12">
      <c r="A319" s="19"/>
      <c r="B319" s="19" t="s">
        <v>794</v>
      </c>
      <c r="D319" s="20" t="s">
        <v>795</v>
      </c>
      <c r="E319" s="20" t="s">
        <v>796</v>
      </c>
      <c r="H319" s="13" t="s">
        <v>24</v>
      </c>
      <c r="I319" s="80" t="s">
        <v>24</v>
      </c>
      <c r="J319" s="80" t="s">
        <v>24</v>
      </c>
      <c r="K319" s="92" t="s">
        <v>18</v>
      </c>
      <c r="L319" s="79" t="s">
        <v>18</v>
      </c>
    </row>
    <row r="320" ht="33" spans="1:12">
      <c r="A320" s="19" t="s">
        <v>797</v>
      </c>
      <c r="B320" s="19" t="s">
        <v>798</v>
      </c>
      <c r="C320" s="19" t="s">
        <v>99</v>
      </c>
      <c r="D320" s="20" t="s">
        <v>362</v>
      </c>
      <c r="E320" s="20" t="s">
        <v>799</v>
      </c>
      <c r="H320" s="13" t="s">
        <v>24</v>
      </c>
      <c r="I320" s="79" t="s">
        <v>18</v>
      </c>
      <c r="J320" s="79" t="s">
        <v>18</v>
      </c>
      <c r="K320" s="92" t="s">
        <v>18</v>
      </c>
      <c r="L320" s="79" t="s">
        <v>18</v>
      </c>
    </row>
    <row r="321" spans="1:12">
      <c r="A321" s="19"/>
      <c r="B321" s="19" t="s">
        <v>800</v>
      </c>
      <c r="C321" s="19" t="s">
        <v>662</v>
      </c>
      <c r="D321" s="20" t="s">
        <v>801</v>
      </c>
      <c r="E321" s="20" t="s">
        <v>802</v>
      </c>
      <c r="H321" s="13" t="s">
        <v>18</v>
      </c>
      <c r="I321" s="79" t="s">
        <v>18</v>
      </c>
      <c r="J321" s="79" t="s">
        <v>18</v>
      </c>
      <c r="K321" s="92" t="s">
        <v>18</v>
      </c>
      <c r="L321" s="79" t="s">
        <v>18</v>
      </c>
    </row>
    <row r="322" spans="1:12">
      <c r="A322" s="19"/>
      <c r="B322" s="19" t="s">
        <v>803</v>
      </c>
      <c r="D322" s="20" t="s">
        <v>804</v>
      </c>
      <c r="E322" s="20" t="s">
        <v>805</v>
      </c>
      <c r="H322" s="13" t="s">
        <v>24</v>
      </c>
      <c r="I322" s="79" t="s">
        <v>18</v>
      </c>
      <c r="J322" s="79" t="s">
        <v>18</v>
      </c>
      <c r="K322" s="92" t="s">
        <v>18</v>
      </c>
      <c r="L322" s="79" t="s">
        <v>18</v>
      </c>
    </row>
    <row r="323" ht="33" spans="1:12">
      <c r="A323" s="19"/>
      <c r="B323" s="19" t="s">
        <v>806</v>
      </c>
      <c r="D323" s="20" t="s">
        <v>378</v>
      </c>
      <c r="E323" s="20" t="s">
        <v>670</v>
      </c>
      <c r="H323" s="13" t="s">
        <v>33</v>
      </c>
      <c r="I323" s="19" t="s">
        <v>33</v>
      </c>
      <c r="J323" s="79" t="s">
        <v>18</v>
      </c>
      <c r="K323" s="92" t="s">
        <v>18</v>
      </c>
      <c r="L323" s="79" t="s">
        <v>18</v>
      </c>
    </row>
    <row r="324" spans="1:12">
      <c r="A324" s="19"/>
      <c r="B324" s="19" t="s">
        <v>807</v>
      </c>
      <c r="D324" s="20" t="s">
        <v>381</v>
      </c>
      <c r="E324" s="20" t="s">
        <v>382</v>
      </c>
      <c r="H324" s="13" t="s">
        <v>33</v>
      </c>
      <c r="I324" s="19" t="s">
        <v>33</v>
      </c>
      <c r="J324" s="79" t="s">
        <v>18</v>
      </c>
      <c r="K324" s="92" t="s">
        <v>18</v>
      </c>
      <c r="L324" s="79" t="s">
        <v>18</v>
      </c>
    </row>
    <row r="325" ht="33" spans="1:12">
      <c r="A325" s="19"/>
      <c r="B325" s="19" t="s">
        <v>808</v>
      </c>
      <c r="D325" s="20" t="s">
        <v>384</v>
      </c>
      <c r="E325" s="20" t="s">
        <v>385</v>
      </c>
      <c r="H325" s="13" t="s">
        <v>33</v>
      </c>
      <c r="I325" s="19" t="s">
        <v>33</v>
      </c>
      <c r="J325" s="79" t="s">
        <v>18</v>
      </c>
      <c r="K325" s="92" t="s">
        <v>18</v>
      </c>
      <c r="L325" s="79" t="s">
        <v>18</v>
      </c>
    </row>
    <row r="326" spans="1:12">
      <c r="A326" s="19"/>
      <c r="B326" s="19" t="s">
        <v>809</v>
      </c>
      <c r="D326" s="20" t="s">
        <v>387</v>
      </c>
      <c r="E326" s="20" t="s">
        <v>388</v>
      </c>
      <c r="H326" s="13" t="s">
        <v>33</v>
      </c>
      <c r="I326" s="19" t="s">
        <v>33</v>
      </c>
      <c r="J326" s="79" t="s">
        <v>18</v>
      </c>
      <c r="K326" s="92" t="s">
        <v>18</v>
      </c>
      <c r="L326" s="79" t="s">
        <v>18</v>
      </c>
    </row>
    <row r="327" ht="33" spans="1:12">
      <c r="A327" s="19"/>
      <c r="B327" s="19" t="s">
        <v>810</v>
      </c>
      <c r="D327" s="20" t="s">
        <v>390</v>
      </c>
      <c r="E327" s="20" t="s">
        <v>391</v>
      </c>
      <c r="H327" s="13" t="s">
        <v>33</v>
      </c>
      <c r="I327" s="19" t="s">
        <v>33</v>
      </c>
      <c r="J327" s="19" t="s">
        <v>33</v>
      </c>
      <c r="K327" s="80" t="s">
        <v>24</v>
      </c>
      <c r="L327" s="79" t="s">
        <v>18</v>
      </c>
    </row>
    <row r="328" ht="33" spans="1:13">
      <c r="A328" s="19"/>
      <c r="B328" s="19" t="s">
        <v>811</v>
      </c>
      <c r="E328" s="20" t="s">
        <v>393</v>
      </c>
      <c r="H328" s="13" t="s">
        <v>33</v>
      </c>
      <c r="I328" s="19" t="s">
        <v>33</v>
      </c>
      <c r="J328" s="19" t="s">
        <v>33</v>
      </c>
      <c r="K328" s="80" t="s">
        <v>24</v>
      </c>
      <c r="L328" s="79" t="s">
        <v>18</v>
      </c>
      <c r="M328" s="119">
        <v>1642</v>
      </c>
    </row>
    <row r="329" spans="1:12">
      <c r="A329" s="19"/>
      <c r="B329" s="19" t="s">
        <v>812</v>
      </c>
      <c r="C329" s="19" t="s">
        <v>813</v>
      </c>
      <c r="D329" s="20" t="s">
        <v>814</v>
      </c>
      <c r="E329" s="20" t="s">
        <v>815</v>
      </c>
      <c r="H329" s="13" t="s">
        <v>18</v>
      </c>
      <c r="I329" s="79" t="s">
        <v>18</v>
      </c>
      <c r="J329" s="79" t="s">
        <v>18</v>
      </c>
      <c r="K329" s="79" t="s">
        <v>18</v>
      </c>
      <c r="L329" s="79" t="s">
        <v>18</v>
      </c>
    </row>
    <row r="330" spans="1:12">
      <c r="A330" s="19"/>
      <c r="B330" s="19" t="s">
        <v>816</v>
      </c>
      <c r="D330" s="20" t="s">
        <v>817</v>
      </c>
      <c r="E330" s="20" t="s">
        <v>818</v>
      </c>
      <c r="H330" s="13" t="s">
        <v>24</v>
      </c>
      <c r="I330" s="79" t="s">
        <v>18</v>
      </c>
      <c r="J330" s="79" t="s">
        <v>18</v>
      </c>
      <c r="K330" s="79" t="s">
        <v>18</v>
      </c>
      <c r="L330" s="79" t="s">
        <v>18</v>
      </c>
    </row>
    <row r="331" spans="1:12">
      <c r="A331" s="19"/>
      <c r="B331" s="19" t="s">
        <v>819</v>
      </c>
      <c r="C331" s="19" t="s">
        <v>820</v>
      </c>
      <c r="D331" s="20" t="s">
        <v>821</v>
      </c>
      <c r="E331" s="20" t="s">
        <v>822</v>
      </c>
      <c r="H331" s="13" t="s">
        <v>18</v>
      </c>
      <c r="I331" s="79" t="s">
        <v>18</v>
      </c>
      <c r="J331" s="79" t="s">
        <v>18</v>
      </c>
      <c r="K331" s="79" t="s">
        <v>18</v>
      </c>
      <c r="L331" s="79" t="s">
        <v>18</v>
      </c>
    </row>
    <row r="332" spans="1:12">
      <c r="A332" s="19"/>
      <c r="B332" s="19" t="s">
        <v>823</v>
      </c>
      <c r="D332" s="20" t="s">
        <v>824</v>
      </c>
      <c r="E332" s="20" t="s">
        <v>825</v>
      </c>
      <c r="H332" s="13" t="s">
        <v>24</v>
      </c>
      <c r="I332" s="79" t="s">
        <v>18</v>
      </c>
      <c r="J332" s="79" t="s">
        <v>18</v>
      </c>
      <c r="K332" s="79" t="s">
        <v>18</v>
      </c>
      <c r="L332" s="79" t="s">
        <v>18</v>
      </c>
    </row>
    <row r="333" spans="1:12">
      <c r="A333" s="19"/>
      <c r="B333" s="19" t="s">
        <v>826</v>
      </c>
      <c r="E333" s="20" t="s">
        <v>827</v>
      </c>
      <c r="H333" s="13" t="s">
        <v>18</v>
      </c>
      <c r="I333" s="79" t="s">
        <v>18</v>
      </c>
      <c r="J333" s="79" t="s">
        <v>18</v>
      </c>
      <c r="K333" s="79" t="s">
        <v>18</v>
      </c>
      <c r="L333" s="79" t="s">
        <v>18</v>
      </c>
    </row>
    <row r="334" spans="1:12">
      <c r="A334" s="19"/>
      <c r="B334" s="19" t="s">
        <v>828</v>
      </c>
      <c r="E334" s="20" t="s">
        <v>829</v>
      </c>
      <c r="H334" s="13" t="s">
        <v>18</v>
      </c>
      <c r="I334" s="79" t="s">
        <v>18</v>
      </c>
      <c r="J334" s="79" t="s">
        <v>18</v>
      </c>
      <c r="K334" s="79" t="s">
        <v>18</v>
      </c>
      <c r="L334" s="79" t="s">
        <v>18</v>
      </c>
    </row>
    <row r="335" ht="33" spans="1:12">
      <c r="A335" s="19" t="s">
        <v>830</v>
      </c>
      <c r="B335" s="19" t="s">
        <v>831</v>
      </c>
      <c r="C335" s="19" t="s">
        <v>99</v>
      </c>
      <c r="D335" s="20" t="s">
        <v>832</v>
      </c>
      <c r="E335" s="20" t="s">
        <v>833</v>
      </c>
      <c r="H335" s="13" t="s">
        <v>18</v>
      </c>
      <c r="I335" s="79" t="s">
        <v>18</v>
      </c>
      <c r="J335" s="79" t="s">
        <v>18</v>
      </c>
      <c r="K335" s="79" t="s">
        <v>18</v>
      </c>
      <c r="L335" s="79" t="s">
        <v>18</v>
      </c>
    </row>
    <row r="336" spans="1:12">
      <c r="A336" s="19"/>
      <c r="B336" s="19" t="s">
        <v>834</v>
      </c>
      <c r="C336" s="19" t="s">
        <v>835</v>
      </c>
      <c r="D336" s="20" t="s">
        <v>836</v>
      </c>
      <c r="E336" s="20" t="s">
        <v>837</v>
      </c>
      <c r="H336" s="13" t="s">
        <v>18</v>
      </c>
      <c r="I336" s="79" t="s">
        <v>18</v>
      </c>
      <c r="J336" s="79" t="s">
        <v>18</v>
      </c>
      <c r="K336" s="79" t="s">
        <v>18</v>
      </c>
      <c r="L336" s="79" t="s">
        <v>18</v>
      </c>
    </row>
    <row r="337" spans="1:12">
      <c r="A337" s="19"/>
      <c r="B337" s="19" t="s">
        <v>838</v>
      </c>
      <c r="C337" s="19" t="s">
        <v>839</v>
      </c>
      <c r="D337" s="20" t="s">
        <v>840</v>
      </c>
      <c r="E337" s="20" t="s">
        <v>841</v>
      </c>
      <c r="H337" s="13" t="s">
        <v>18</v>
      </c>
      <c r="I337" s="79" t="s">
        <v>18</v>
      </c>
      <c r="J337" s="79" t="s">
        <v>18</v>
      </c>
      <c r="K337" s="79" t="s">
        <v>18</v>
      </c>
      <c r="L337" s="79" t="s">
        <v>18</v>
      </c>
    </row>
    <row r="338" spans="1:12">
      <c r="A338" s="19" t="s">
        <v>842</v>
      </c>
      <c r="B338" s="19" t="s">
        <v>843</v>
      </c>
      <c r="C338" s="19" t="s">
        <v>844</v>
      </c>
      <c r="D338" s="20" t="s">
        <v>845</v>
      </c>
      <c r="E338" s="20" t="s">
        <v>846</v>
      </c>
      <c r="H338" s="13" t="s">
        <v>18</v>
      </c>
      <c r="I338" s="79" t="s">
        <v>18</v>
      </c>
      <c r="J338" s="79" t="s">
        <v>18</v>
      </c>
      <c r="K338" s="79" t="s">
        <v>18</v>
      </c>
      <c r="L338" s="79" t="s">
        <v>18</v>
      </c>
    </row>
    <row r="339" spans="1:12">
      <c r="A339" s="19"/>
      <c r="B339" s="19" t="s">
        <v>847</v>
      </c>
      <c r="E339" s="20" t="s">
        <v>848</v>
      </c>
      <c r="H339" s="13" t="s">
        <v>18</v>
      </c>
      <c r="I339" s="79" t="s">
        <v>18</v>
      </c>
      <c r="J339" s="79" t="s">
        <v>18</v>
      </c>
      <c r="K339" s="79" t="s">
        <v>18</v>
      </c>
      <c r="L339" s="79" t="s">
        <v>18</v>
      </c>
    </row>
    <row r="340" spans="1:12">
      <c r="A340" s="19"/>
      <c r="B340" s="19" t="s">
        <v>849</v>
      </c>
      <c r="D340" s="20" t="s">
        <v>497</v>
      </c>
      <c r="E340" s="20" t="s">
        <v>850</v>
      </c>
      <c r="H340" s="13" t="s">
        <v>18</v>
      </c>
      <c r="I340" s="79" t="s">
        <v>18</v>
      </c>
      <c r="J340" s="79" t="s">
        <v>18</v>
      </c>
      <c r="K340" s="79" t="s">
        <v>18</v>
      </c>
      <c r="L340" s="79" t="s">
        <v>18</v>
      </c>
    </row>
    <row r="341" spans="1:12">
      <c r="A341" s="19"/>
      <c r="B341" s="19" t="s">
        <v>851</v>
      </c>
      <c r="E341" s="20" t="s">
        <v>852</v>
      </c>
      <c r="H341" s="13" t="s">
        <v>18</v>
      </c>
      <c r="I341" s="79" t="s">
        <v>18</v>
      </c>
      <c r="J341" s="79" t="s">
        <v>18</v>
      </c>
      <c r="K341" s="79" t="s">
        <v>18</v>
      </c>
      <c r="L341" s="79" t="s">
        <v>18</v>
      </c>
    </row>
    <row r="342" spans="1:12">
      <c r="A342" s="19"/>
      <c r="B342" s="19" t="s">
        <v>853</v>
      </c>
      <c r="D342" s="20" t="s">
        <v>500</v>
      </c>
      <c r="E342" s="20" t="s">
        <v>854</v>
      </c>
      <c r="H342" s="13" t="s">
        <v>18</v>
      </c>
      <c r="I342" s="79" t="s">
        <v>18</v>
      </c>
      <c r="J342" s="79" t="s">
        <v>18</v>
      </c>
      <c r="K342" s="79" t="s">
        <v>18</v>
      </c>
      <c r="L342" s="79" t="s">
        <v>18</v>
      </c>
    </row>
    <row r="343" spans="1:13">
      <c r="A343" s="19"/>
      <c r="B343" s="19" t="s">
        <v>855</v>
      </c>
      <c r="D343" s="111" t="s">
        <v>856</v>
      </c>
      <c r="E343" s="111" t="s">
        <v>857</v>
      </c>
      <c r="H343" s="112" t="s">
        <v>18</v>
      </c>
      <c r="I343" s="120" t="s">
        <v>18</v>
      </c>
      <c r="J343" s="120" t="s">
        <v>18</v>
      </c>
      <c r="K343" s="101" t="s">
        <v>35</v>
      </c>
      <c r="L343" s="101" t="s">
        <v>35</v>
      </c>
      <c r="M343" s="20" t="s">
        <v>858</v>
      </c>
    </row>
    <row r="344" spans="1:12">
      <c r="A344" s="19"/>
      <c r="B344" s="19" t="s">
        <v>859</v>
      </c>
      <c r="D344" s="111"/>
      <c r="E344" s="111" t="s">
        <v>860</v>
      </c>
      <c r="H344" s="112" t="s">
        <v>18</v>
      </c>
      <c r="I344" s="120" t="s">
        <v>18</v>
      </c>
      <c r="J344" s="120" t="s">
        <v>18</v>
      </c>
      <c r="K344" s="101" t="s">
        <v>35</v>
      </c>
      <c r="L344" s="101" t="s">
        <v>35</v>
      </c>
    </row>
    <row r="345" spans="1:12">
      <c r="A345" s="19"/>
      <c r="B345" s="19" t="s">
        <v>861</v>
      </c>
      <c r="D345" s="20" t="s">
        <v>862</v>
      </c>
      <c r="E345" s="20" t="s">
        <v>863</v>
      </c>
      <c r="H345" s="13" t="s">
        <v>18</v>
      </c>
      <c r="I345" s="79" t="s">
        <v>18</v>
      </c>
      <c r="J345" s="79" t="s">
        <v>18</v>
      </c>
      <c r="K345" s="79" t="s">
        <v>18</v>
      </c>
      <c r="L345" s="79" t="s">
        <v>18</v>
      </c>
    </row>
    <row r="346" ht="33" spans="1:13">
      <c r="A346" s="19"/>
      <c r="B346" s="19" t="s">
        <v>864</v>
      </c>
      <c r="E346" s="20" t="s">
        <v>865</v>
      </c>
      <c r="H346" s="13" t="s">
        <v>24</v>
      </c>
      <c r="I346" s="80" t="s">
        <v>24</v>
      </c>
      <c r="J346" s="79" t="s">
        <v>18</v>
      </c>
      <c r="K346" s="79" t="s">
        <v>18</v>
      </c>
      <c r="L346" s="79" t="s">
        <v>18</v>
      </c>
      <c r="M346" s="20" t="s">
        <v>866</v>
      </c>
    </row>
    <row r="347" spans="1:12">
      <c r="A347" s="19"/>
      <c r="B347" s="19" t="s">
        <v>867</v>
      </c>
      <c r="C347" s="19" t="s">
        <v>868</v>
      </c>
      <c r="D347" s="20" t="s">
        <v>869</v>
      </c>
      <c r="E347" s="20" t="s">
        <v>870</v>
      </c>
      <c r="H347" s="13" t="s">
        <v>18</v>
      </c>
      <c r="I347" s="79" t="s">
        <v>18</v>
      </c>
      <c r="J347" s="79" t="s">
        <v>18</v>
      </c>
      <c r="K347" s="79" t="s">
        <v>18</v>
      </c>
      <c r="L347" s="79" t="s">
        <v>18</v>
      </c>
    </row>
    <row r="348" ht="33" spans="1:13">
      <c r="A348" s="19"/>
      <c r="B348" s="19" t="s">
        <v>871</v>
      </c>
      <c r="C348" s="19" t="s">
        <v>872</v>
      </c>
      <c r="D348" s="20" t="s">
        <v>873</v>
      </c>
      <c r="E348" s="20" t="s">
        <v>874</v>
      </c>
      <c r="H348" s="13" t="s">
        <v>24</v>
      </c>
      <c r="I348" s="79" t="s">
        <v>18</v>
      </c>
      <c r="J348" s="79" t="s">
        <v>18</v>
      </c>
      <c r="K348" s="79" t="s">
        <v>18</v>
      </c>
      <c r="L348" s="79" t="s">
        <v>18</v>
      </c>
      <c r="M348" s="20" t="s">
        <v>875</v>
      </c>
    </row>
    <row r="349" spans="1:12">
      <c r="A349" s="19"/>
      <c r="B349" s="19" t="s">
        <v>876</v>
      </c>
      <c r="D349" s="20" t="s">
        <v>877</v>
      </c>
      <c r="E349" s="20" t="s">
        <v>878</v>
      </c>
      <c r="H349" s="13" t="s">
        <v>18</v>
      </c>
      <c r="I349" s="79" t="s">
        <v>18</v>
      </c>
      <c r="J349" s="79" t="s">
        <v>18</v>
      </c>
      <c r="K349" s="79" t="s">
        <v>18</v>
      </c>
      <c r="L349" s="79" t="s">
        <v>18</v>
      </c>
    </row>
    <row r="350" ht="33" spans="1:13">
      <c r="A350" s="19"/>
      <c r="B350" s="19" t="s">
        <v>879</v>
      </c>
      <c r="D350" s="20" t="s">
        <v>880</v>
      </c>
      <c r="E350" s="20" t="s">
        <v>881</v>
      </c>
      <c r="H350" s="13" t="s">
        <v>24</v>
      </c>
      <c r="I350" s="80" t="s">
        <v>24</v>
      </c>
      <c r="J350" s="79" t="s">
        <v>18</v>
      </c>
      <c r="K350" s="79" t="s">
        <v>18</v>
      </c>
      <c r="L350" s="79" t="s">
        <v>18</v>
      </c>
      <c r="M350" s="20" t="s">
        <v>882</v>
      </c>
    </row>
    <row r="351" spans="1:13">
      <c r="A351" s="19"/>
      <c r="B351" s="19" t="s">
        <v>883</v>
      </c>
      <c r="D351" s="20" t="s">
        <v>884</v>
      </c>
      <c r="E351" s="20" t="s">
        <v>885</v>
      </c>
      <c r="H351" s="13" t="s">
        <v>24</v>
      </c>
      <c r="I351" s="80" t="s">
        <v>24</v>
      </c>
      <c r="J351" s="80" t="s">
        <v>24</v>
      </c>
      <c r="K351" s="80" t="s">
        <v>24</v>
      </c>
      <c r="L351" s="79" t="s">
        <v>18</v>
      </c>
      <c r="M351" s="20" t="s">
        <v>886</v>
      </c>
    </row>
    <row r="352" ht="33" spans="1:12">
      <c r="A352" s="19"/>
      <c r="B352" s="19" t="s">
        <v>887</v>
      </c>
      <c r="C352" s="19" t="s">
        <v>888</v>
      </c>
      <c r="D352" s="20" t="s">
        <v>889</v>
      </c>
      <c r="E352" s="20" t="s">
        <v>890</v>
      </c>
      <c r="H352" s="13" t="s">
        <v>18</v>
      </c>
      <c r="I352" s="79" t="s">
        <v>18</v>
      </c>
      <c r="J352" s="79" t="s">
        <v>18</v>
      </c>
      <c r="K352" s="79" t="s">
        <v>18</v>
      </c>
      <c r="L352" s="79" t="s">
        <v>18</v>
      </c>
    </row>
    <row r="353" spans="1:13">
      <c r="A353" s="19"/>
      <c r="B353" s="19" t="s">
        <v>891</v>
      </c>
      <c r="E353" s="20" t="s">
        <v>892</v>
      </c>
      <c r="H353" s="13" t="s">
        <v>24</v>
      </c>
      <c r="I353" s="80" t="s">
        <v>24</v>
      </c>
      <c r="J353" s="19" t="s">
        <v>33</v>
      </c>
      <c r="K353" s="80" t="s">
        <v>24</v>
      </c>
      <c r="L353" s="79" t="s">
        <v>18</v>
      </c>
      <c r="M353" s="20" t="s">
        <v>893</v>
      </c>
    </row>
    <row r="354" spans="1:12">
      <c r="A354" s="19"/>
      <c r="B354" s="19" t="s">
        <v>894</v>
      </c>
      <c r="E354" s="20" t="s">
        <v>895</v>
      </c>
      <c r="H354" s="13" t="s">
        <v>18</v>
      </c>
      <c r="I354" s="79" t="s">
        <v>18</v>
      </c>
      <c r="J354" s="79" t="s">
        <v>18</v>
      </c>
      <c r="K354" s="79" t="s">
        <v>18</v>
      </c>
      <c r="L354" s="79" t="s">
        <v>18</v>
      </c>
    </row>
    <row r="355" ht="15" spans="1:13">
      <c r="A355" s="41" t="s">
        <v>896</v>
      </c>
      <c r="B355" s="41"/>
      <c r="C355" s="41"/>
      <c r="D355" s="41"/>
      <c r="E355" s="41"/>
      <c r="F355" s="41"/>
      <c r="G355" s="41"/>
      <c r="H355" s="42"/>
      <c r="I355" s="72"/>
      <c r="J355" s="42"/>
      <c r="K355" s="42"/>
      <c r="L355" s="42"/>
      <c r="M355" s="41"/>
    </row>
    <row r="356" spans="1:13">
      <c r="A356" s="43" t="s">
        <v>38</v>
      </c>
      <c r="B356" s="44" t="s">
        <v>39</v>
      </c>
      <c r="C356" s="44" t="s">
        <v>40</v>
      </c>
      <c r="D356" s="45" t="s">
        <v>41</v>
      </c>
      <c r="E356" s="27" t="s">
        <v>42</v>
      </c>
      <c r="F356" s="44" t="s">
        <v>43</v>
      </c>
      <c r="G356" s="46" t="s">
        <v>44</v>
      </c>
      <c r="H356" s="46" t="s">
        <v>45</v>
      </c>
      <c r="I356" s="75"/>
      <c r="J356" s="75"/>
      <c r="K356" s="76"/>
      <c r="L356" s="76"/>
      <c r="M356" s="77" t="s">
        <v>6</v>
      </c>
    </row>
    <row r="357" spans="1:12">
      <c r="A357" s="19" t="s">
        <v>897</v>
      </c>
      <c r="B357" s="19" t="s">
        <v>898</v>
      </c>
      <c r="C357" s="88" t="s">
        <v>289</v>
      </c>
      <c r="D357" s="89" t="s">
        <v>899</v>
      </c>
      <c r="E357" s="90" t="s">
        <v>900</v>
      </c>
      <c r="H357" s="47" t="s">
        <v>18</v>
      </c>
      <c r="I357" s="92" t="s">
        <v>18</v>
      </c>
      <c r="J357" s="92" t="s">
        <v>18</v>
      </c>
      <c r="K357" s="92" t="s">
        <v>18</v>
      </c>
      <c r="L357" s="92" t="s">
        <v>18</v>
      </c>
    </row>
    <row r="358" spans="1:12">
      <c r="A358" s="19"/>
      <c r="B358" s="19" t="s">
        <v>901</v>
      </c>
      <c r="C358" s="88"/>
      <c r="D358" s="89" t="s">
        <v>902</v>
      </c>
      <c r="E358" s="90" t="s">
        <v>903</v>
      </c>
      <c r="H358" s="13" t="s">
        <v>33</v>
      </c>
      <c r="I358" s="19" t="s">
        <v>33</v>
      </c>
      <c r="J358" s="19" t="s">
        <v>33</v>
      </c>
      <c r="K358" s="92" t="s">
        <v>18</v>
      </c>
      <c r="L358" s="92" t="s">
        <v>18</v>
      </c>
    </row>
    <row r="359" spans="1:12">
      <c r="A359" s="19"/>
      <c r="B359" s="19" t="s">
        <v>904</v>
      </c>
      <c r="C359" s="88"/>
      <c r="D359" s="89" t="s">
        <v>905</v>
      </c>
      <c r="E359" s="90" t="s">
        <v>900</v>
      </c>
      <c r="H359" s="13" t="s">
        <v>33</v>
      </c>
      <c r="I359" s="79" t="s">
        <v>18</v>
      </c>
      <c r="J359" s="80" t="s">
        <v>24</v>
      </c>
      <c r="K359" s="92" t="s">
        <v>18</v>
      </c>
      <c r="L359" s="92" t="s">
        <v>18</v>
      </c>
    </row>
    <row r="360" spans="1:12">
      <c r="A360" s="19"/>
      <c r="B360" s="19" t="s">
        <v>906</v>
      </c>
      <c r="C360" s="88"/>
      <c r="D360" s="89" t="s">
        <v>907</v>
      </c>
      <c r="E360" s="90" t="s">
        <v>297</v>
      </c>
      <c r="H360" s="13" t="s">
        <v>18</v>
      </c>
      <c r="I360" s="79" t="s">
        <v>18</v>
      </c>
      <c r="J360" s="79" t="s">
        <v>18</v>
      </c>
      <c r="K360" s="92" t="s">
        <v>18</v>
      </c>
      <c r="L360" s="92" t="s">
        <v>18</v>
      </c>
    </row>
    <row r="361" spans="1:12">
      <c r="A361" s="19"/>
      <c r="B361" s="19" t="s">
        <v>908</v>
      </c>
      <c r="C361" s="88"/>
      <c r="D361" s="89" t="s">
        <v>909</v>
      </c>
      <c r="E361" s="90" t="s">
        <v>300</v>
      </c>
      <c r="H361" s="13" t="s">
        <v>18</v>
      </c>
      <c r="I361" s="79" t="s">
        <v>18</v>
      </c>
      <c r="J361" s="79" t="s">
        <v>18</v>
      </c>
      <c r="K361" s="92" t="s">
        <v>18</v>
      </c>
      <c r="L361" s="92" t="s">
        <v>18</v>
      </c>
    </row>
    <row r="362" ht="33" spans="1:12">
      <c r="A362" s="19"/>
      <c r="B362" s="19" t="s">
        <v>910</v>
      </c>
      <c r="C362" s="19" t="s">
        <v>88</v>
      </c>
      <c r="D362" s="20" t="s">
        <v>911</v>
      </c>
      <c r="E362" s="20" t="s">
        <v>303</v>
      </c>
      <c r="H362" s="13" t="s">
        <v>18</v>
      </c>
      <c r="I362" s="79" t="s">
        <v>18</v>
      </c>
      <c r="J362" s="79" t="s">
        <v>18</v>
      </c>
      <c r="K362" s="79" t="s">
        <v>18</v>
      </c>
      <c r="L362" s="92" t="s">
        <v>18</v>
      </c>
    </row>
    <row r="363" ht="33" spans="1:12">
      <c r="A363" s="19"/>
      <c r="B363" s="19" t="s">
        <v>912</v>
      </c>
      <c r="C363" s="19" t="s">
        <v>913</v>
      </c>
      <c r="D363" s="20" t="s">
        <v>914</v>
      </c>
      <c r="E363" s="20" t="s">
        <v>915</v>
      </c>
      <c r="H363" s="13" t="s">
        <v>24</v>
      </c>
      <c r="I363" s="79" t="s">
        <v>18</v>
      </c>
      <c r="J363" s="79" t="s">
        <v>18</v>
      </c>
      <c r="K363" s="79" t="s">
        <v>18</v>
      </c>
      <c r="L363" s="92" t="s">
        <v>18</v>
      </c>
    </row>
    <row r="364" ht="33" spans="1:12">
      <c r="A364" s="19" t="s">
        <v>328</v>
      </c>
      <c r="B364" s="19" t="s">
        <v>916</v>
      </c>
      <c r="C364" s="19" t="s">
        <v>328</v>
      </c>
      <c r="D364" s="20" t="s">
        <v>329</v>
      </c>
      <c r="E364" s="20" t="s">
        <v>317</v>
      </c>
      <c r="H364" s="13" t="s">
        <v>18</v>
      </c>
      <c r="I364" s="79" t="s">
        <v>18</v>
      </c>
      <c r="J364" s="79" t="s">
        <v>18</v>
      </c>
      <c r="K364" s="79" t="s">
        <v>18</v>
      </c>
      <c r="L364" s="92" t="s">
        <v>18</v>
      </c>
    </row>
    <row r="365" spans="1:13">
      <c r="A365" s="19"/>
      <c r="B365" s="19" t="s">
        <v>917</v>
      </c>
      <c r="D365" s="20" t="s">
        <v>918</v>
      </c>
      <c r="E365" s="20" t="s">
        <v>919</v>
      </c>
      <c r="H365" s="13" t="s">
        <v>18</v>
      </c>
      <c r="I365" s="79" t="s">
        <v>18</v>
      </c>
      <c r="J365" s="79" t="s">
        <v>18</v>
      </c>
      <c r="K365" s="79" t="s">
        <v>18</v>
      </c>
      <c r="L365" s="92" t="s">
        <v>18</v>
      </c>
      <c r="M365" s="20" t="s">
        <v>920</v>
      </c>
    </row>
    <row r="366" spans="1:12">
      <c r="A366" s="19"/>
      <c r="B366" s="19" t="s">
        <v>921</v>
      </c>
      <c r="D366" s="20" t="s">
        <v>922</v>
      </c>
      <c r="E366" s="20" t="s">
        <v>587</v>
      </c>
      <c r="H366" s="13" t="s">
        <v>18</v>
      </c>
      <c r="I366" s="79" t="s">
        <v>18</v>
      </c>
      <c r="J366" s="79" t="s">
        <v>18</v>
      </c>
      <c r="K366" s="79" t="s">
        <v>18</v>
      </c>
      <c r="L366" s="92" t="s">
        <v>18</v>
      </c>
    </row>
    <row r="367" spans="1:12">
      <c r="A367" s="19"/>
      <c r="B367" s="19" t="s">
        <v>923</v>
      </c>
      <c r="D367" s="20" t="s">
        <v>924</v>
      </c>
      <c r="E367" s="20" t="s">
        <v>589</v>
      </c>
      <c r="H367" s="13" t="s">
        <v>18</v>
      </c>
      <c r="I367" s="79" t="s">
        <v>18</v>
      </c>
      <c r="J367" s="79" t="s">
        <v>18</v>
      </c>
      <c r="K367" s="79" t="s">
        <v>18</v>
      </c>
      <c r="L367" s="92" t="s">
        <v>18</v>
      </c>
    </row>
    <row r="368" spans="1:12">
      <c r="A368" s="19"/>
      <c r="B368" s="19" t="s">
        <v>925</v>
      </c>
      <c r="D368" s="20" t="s">
        <v>926</v>
      </c>
      <c r="E368" s="20" t="s">
        <v>591</v>
      </c>
      <c r="H368" s="13" t="s">
        <v>18</v>
      </c>
      <c r="I368" s="79" t="s">
        <v>18</v>
      </c>
      <c r="J368" s="79" t="s">
        <v>18</v>
      </c>
      <c r="K368" s="79" t="s">
        <v>18</v>
      </c>
      <c r="L368" s="92" t="s">
        <v>18</v>
      </c>
    </row>
    <row r="369" ht="33" spans="1:12">
      <c r="A369" s="19"/>
      <c r="B369" s="19" t="s">
        <v>927</v>
      </c>
      <c r="D369" s="20" t="s">
        <v>928</v>
      </c>
      <c r="E369" s="20" t="s">
        <v>929</v>
      </c>
      <c r="H369" s="13" t="s">
        <v>18</v>
      </c>
      <c r="I369" s="79" t="s">
        <v>18</v>
      </c>
      <c r="J369" s="79" t="s">
        <v>18</v>
      </c>
      <c r="K369" s="79" t="s">
        <v>18</v>
      </c>
      <c r="L369" s="92" t="s">
        <v>18</v>
      </c>
    </row>
    <row r="370" ht="49.5" spans="1:13">
      <c r="A370" s="19"/>
      <c r="B370" s="19" t="s">
        <v>930</v>
      </c>
      <c r="D370" s="20" t="s">
        <v>931</v>
      </c>
      <c r="E370" s="20" t="s">
        <v>932</v>
      </c>
      <c r="H370" s="13" t="s">
        <v>24</v>
      </c>
      <c r="I370" s="79" t="s">
        <v>18</v>
      </c>
      <c r="J370" s="79" t="s">
        <v>18</v>
      </c>
      <c r="K370" s="79" t="s">
        <v>18</v>
      </c>
      <c r="L370" s="92" t="s">
        <v>18</v>
      </c>
      <c r="M370" s="20" t="s">
        <v>933</v>
      </c>
    </row>
    <row r="371" ht="49.5" spans="1:13">
      <c r="A371" s="19"/>
      <c r="B371" s="19" t="s">
        <v>934</v>
      </c>
      <c r="D371" s="20" t="s">
        <v>935</v>
      </c>
      <c r="E371" s="20" t="s">
        <v>936</v>
      </c>
      <c r="H371" s="13" t="s">
        <v>24</v>
      </c>
      <c r="I371" s="79" t="s">
        <v>18</v>
      </c>
      <c r="J371" s="79" t="s">
        <v>18</v>
      </c>
      <c r="K371" s="79" t="s">
        <v>18</v>
      </c>
      <c r="L371" s="92" t="s">
        <v>18</v>
      </c>
      <c r="M371" s="20" t="s">
        <v>937</v>
      </c>
    </row>
    <row r="372" ht="33" spans="1:12">
      <c r="A372" s="19"/>
      <c r="B372" s="19" t="s">
        <v>938</v>
      </c>
      <c r="D372" s="20" t="s">
        <v>939</v>
      </c>
      <c r="E372" s="20" t="s">
        <v>940</v>
      </c>
      <c r="H372" s="13" t="s">
        <v>24</v>
      </c>
      <c r="I372" s="79" t="s">
        <v>18</v>
      </c>
      <c r="J372" s="79" t="s">
        <v>18</v>
      </c>
      <c r="K372" s="79" t="s">
        <v>18</v>
      </c>
      <c r="L372" s="92" t="s">
        <v>18</v>
      </c>
    </row>
    <row r="373" spans="1:12">
      <c r="A373" s="19"/>
      <c r="B373" s="19" t="s">
        <v>941</v>
      </c>
      <c r="D373" s="20" t="s">
        <v>942</v>
      </c>
      <c r="E373" s="20" t="s">
        <v>351</v>
      </c>
      <c r="H373" s="13" t="s">
        <v>18</v>
      </c>
      <c r="I373" s="79" t="s">
        <v>18</v>
      </c>
      <c r="J373" s="79" t="s">
        <v>18</v>
      </c>
      <c r="K373" s="79" t="s">
        <v>18</v>
      </c>
      <c r="L373" s="92" t="s">
        <v>18</v>
      </c>
    </row>
    <row r="374" ht="33" spans="1:13">
      <c r="A374" s="19"/>
      <c r="B374" s="19" t="s">
        <v>943</v>
      </c>
      <c r="D374" s="20" t="s">
        <v>944</v>
      </c>
      <c r="E374" s="7" t="s">
        <v>354</v>
      </c>
      <c r="H374" s="13" t="s">
        <v>18</v>
      </c>
      <c r="I374" s="79" t="s">
        <v>18</v>
      </c>
      <c r="J374" s="80" t="s">
        <v>24</v>
      </c>
      <c r="K374" s="79" t="s">
        <v>18</v>
      </c>
      <c r="L374" s="92" t="s">
        <v>18</v>
      </c>
      <c r="M374" s="20" t="s">
        <v>945</v>
      </c>
    </row>
    <row r="375" ht="33" spans="1:12">
      <c r="A375" s="19"/>
      <c r="B375" s="19" t="s">
        <v>946</v>
      </c>
      <c r="D375" s="20" t="s">
        <v>947</v>
      </c>
      <c r="E375" s="7" t="s">
        <v>948</v>
      </c>
      <c r="H375" s="13" t="s">
        <v>35</v>
      </c>
      <c r="I375" s="19" t="s">
        <v>33</v>
      </c>
      <c r="J375" s="19" t="s">
        <v>33</v>
      </c>
      <c r="K375" s="79" t="s">
        <v>18</v>
      </c>
      <c r="L375" s="92" t="s">
        <v>18</v>
      </c>
    </row>
    <row r="376" spans="1:12">
      <c r="A376" s="19"/>
      <c r="B376" s="19" t="s">
        <v>949</v>
      </c>
      <c r="D376" s="20" t="s">
        <v>950</v>
      </c>
      <c r="E376" s="20" t="s">
        <v>951</v>
      </c>
      <c r="H376" s="13" t="s">
        <v>18</v>
      </c>
      <c r="I376" s="79" t="s">
        <v>18</v>
      </c>
      <c r="J376" s="79" t="s">
        <v>18</v>
      </c>
      <c r="K376" s="79" t="s">
        <v>18</v>
      </c>
      <c r="L376" s="92" t="s">
        <v>18</v>
      </c>
    </row>
    <row r="377" spans="1:13">
      <c r="A377" s="19"/>
      <c r="B377" s="19" t="s">
        <v>952</v>
      </c>
      <c r="D377" s="20" t="s">
        <v>608</v>
      </c>
      <c r="E377" s="20" t="s">
        <v>953</v>
      </c>
      <c r="H377" s="13" t="s">
        <v>35</v>
      </c>
      <c r="I377" s="80" t="s">
        <v>24</v>
      </c>
      <c r="J377" s="79" t="s">
        <v>18</v>
      </c>
      <c r="K377" s="79" t="s">
        <v>18</v>
      </c>
      <c r="L377" s="92" t="s">
        <v>18</v>
      </c>
      <c r="M377" s="81" t="s">
        <v>954</v>
      </c>
    </row>
    <row r="378" spans="1:12">
      <c r="A378" s="19" t="s">
        <v>610</v>
      </c>
      <c r="B378" s="19" t="s">
        <v>955</v>
      </c>
      <c r="C378" s="19" t="s">
        <v>99</v>
      </c>
      <c r="D378" s="20" t="s">
        <v>362</v>
      </c>
      <c r="E378" s="20" t="s">
        <v>363</v>
      </c>
      <c r="H378" s="13" t="s">
        <v>18</v>
      </c>
      <c r="I378" s="79" t="s">
        <v>18</v>
      </c>
      <c r="J378" s="79" t="s">
        <v>18</v>
      </c>
      <c r="K378" s="79" t="s">
        <v>18</v>
      </c>
      <c r="L378" s="92" t="s">
        <v>18</v>
      </c>
    </row>
    <row r="379" ht="33" spans="1:12">
      <c r="A379" s="19"/>
      <c r="B379" s="19" t="s">
        <v>956</v>
      </c>
      <c r="C379" s="19" t="s">
        <v>610</v>
      </c>
      <c r="D379" s="20" t="s">
        <v>957</v>
      </c>
      <c r="E379" s="20" t="s">
        <v>958</v>
      </c>
      <c r="H379" s="13" t="s">
        <v>18</v>
      </c>
      <c r="I379" s="79" t="s">
        <v>18</v>
      </c>
      <c r="J379" s="79" t="s">
        <v>18</v>
      </c>
      <c r="K379" s="79" t="s">
        <v>18</v>
      </c>
      <c r="L379" s="79" t="s">
        <v>18</v>
      </c>
    </row>
    <row r="380" ht="33" spans="1:12">
      <c r="A380" s="19"/>
      <c r="B380" s="19" t="s">
        <v>959</v>
      </c>
      <c r="D380" s="20" t="s">
        <v>960</v>
      </c>
      <c r="E380" s="20" t="s">
        <v>961</v>
      </c>
      <c r="H380" s="13" t="s">
        <v>18</v>
      </c>
      <c r="I380" s="79" t="s">
        <v>18</v>
      </c>
      <c r="J380" s="79" t="s">
        <v>18</v>
      </c>
      <c r="K380" s="79" t="s">
        <v>18</v>
      </c>
      <c r="L380" s="79" t="s">
        <v>18</v>
      </c>
    </row>
    <row r="381" ht="33" spans="1:12">
      <c r="A381" s="19"/>
      <c r="B381" s="19" t="s">
        <v>962</v>
      </c>
      <c r="D381" s="20" t="s">
        <v>963</v>
      </c>
      <c r="E381" s="20" t="s">
        <v>964</v>
      </c>
      <c r="H381" s="13" t="s">
        <v>18</v>
      </c>
      <c r="I381" s="79" t="s">
        <v>18</v>
      </c>
      <c r="J381" s="79" t="s">
        <v>18</v>
      </c>
      <c r="K381" s="79" t="s">
        <v>18</v>
      </c>
      <c r="L381" s="79" t="s">
        <v>18</v>
      </c>
    </row>
    <row r="382" ht="33" spans="1:12">
      <c r="A382" s="19"/>
      <c r="B382" s="19" t="s">
        <v>965</v>
      </c>
      <c r="D382" s="91" t="s">
        <v>966</v>
      </c>
      <c r="E382" s="20" t="s">
        <v>967</v>
      </c>
      <c r="H382" s="13" t="s">
        <v>24</v>
      </c>
      <c r="I382" s="79" t="s">
        <v>18</v>
      </c>
      <c r="J382" s="79" t="s">
        <v>18</v>
      </c>
      <c r="K382" s="79" t="s">
        <v>18</v>
      </c>
      <c r="L382" s="79" t="s">
        <v>18</v>
      </c>
    </row>
    <row r="383" ht="33" spans="1:13">
      <c r="A383" s="19"/>
      <c r="B383" s="19" t="s">
        <v>968</v>
      </c>
      <c r="D383" s="91"/>
      <c r="E383" s="20" t="s">
        <v>969</v>
      </c>
      <c r="H383" s="13" t="s">
        <v>24</v>
      </c>
      <c r="I383" s="79" t="s">
        <v>18</v>
      </c>
      <c r="J383" s="79" t="s">
        <v>18</v>
      </c>
      <c r="K383" s="79" t="s">
        <v>18</v>
      </c>
      <c r="L383" s="79" t="s">
        <v>18</v>
      </c>
      <c r="M383" s="20" t="s">
        <v>970</v>
      </c>
    </row>
    <row r="384" ht="33" spans="1:13">
      <c r="A384" s="19"/>
      <c r="B384" s="19" t="s">
        <v>971</v>
      </c>
      <c r="D384" s="20" t="s">
        <v>972</v>
      </c>
      <c r="E384" s="20" t="s">
        <v>973</v>
      </c>
      <c r="H384" s="13" t="s">
        <v>24</v>
      </c>
      <c r="I384" s="80" t="s">
        <v>24</v>
      </c>
      <c r="J384" s="19" t="s">
        <v>33</v>
      </c>
      <c r="K384" s="79" t="s">
        <v>18</v>
      </c>
      <c r="L384" s="79" t="s">
        <v>18</v>
      </c>
      <c r="M384" s="20" t="s">
        <v>974</v>
      </c>
    </row>
    <row r="385" ht="33" spans="1:12">
      <c r="A385" s="19"/>
      <c r="B385" s="19" t="s">
        <v>975</v>
      </c>
      <c r="E385" s="20" t="s">
        <v>976</v>
      </c>
      <c r="H385" s="13" t="s">
        <v>24</v>
      </c>
      <c r="I385" s="79" t="s">
        <v>18</v>
      </c>
      <c r="J385" s="19" t="s">
        <v>33</v>
      </c>
      <c r="K385" s="79" t="s">
        <v>18</v>
      </c>
      <c r="L385" s="79" t="s">
        <v>18</v>
      </c>
    </row>
    <row r="386" ht="33" spans="1:13">
      <c r="A386" s="19" t="s">
        <v>977</v>
      </c>
      <c r="B386" s="19" t="s">
        <v>978</v>
      </c>
      <c r="C386" s="19" t="s">
        <v>634</v>
      </c>
      <c r="D386" s="20" t="s">
        <v>979</v>
      </c>
      <c r="E386" s="20" t="s">
        <v>980</v>
      </c>
      <c r="H386" s="13" t="s">
        <v>18</v>
      </c>
      <c r="I386" s="79" t="s">
        <v>18</v>
      </c>
      <c r="J386" s="19" t="s">
        <v>33</v>
      </c>
      <c r="K386" s="79" t="s">
        <v>18</v>
      </c>
      <c r="L386" s="79" t="s">
        <v>18</v>
      </c>
      <c r="M386" s="20" t="s">
        <v>981</v>
      </c>
    </row>
    <row r="387" spans="1:12">
      <c r="A387" s="19"/>
      <c r="B387" s="19" t="s">
        <v>982</v>
      </c>
      <c r="C387" s="19" t="s">
        <v>983</v>
      </c>
      <c r="D387" s="20" t="s">
        <v>984</v>
      </c>
      <c r="E387" s="20" t="s">
        <v>985</v>
      </c>
      <c r="H387" s="13" t="s">
        <v>18</v>
      </c>
      <c r="I387" s="79" t="s">
        <v>18</v>
      </c>
      <c r="J387" s="19" t="s">
        <v>33</v>
      </c>
      <c r="K387" s="79" t="s">
        <v>18</v>
      </c>
      <c r="L387" s="79" t="s">
        <v>18</v>
      </c>
    </row>
    <row r="388" ht="33" spans="1:12">
      <c r="A388" s="19"/>
      <c r="B388" s="19" t="s">
        <v>986</v>
      </c>
      <c r="E388" s="20" t="s">
        <v>987</v>
      </c>
      <c r="H388" s="13" t="s">
        <v>18</v>
      </c>
      <c r="I388" s="79" t="s">
        <v>18</v>
      </c>
      <c r="J388" s="19" t="s">
        <v>33</v>
      </c>
      <c r="K388" s="79" t="s">
        <v>18</v>
      </c>
      <c r="L388" s="79" t="s">
        <v>18</v>
      </c>
    </row>
    <row r="389" spans="1:12">
      <c r="A389" s="19"/>
      <c r="B389" s="19" t="s">
        <v>988</v>
      </c>
      <c r="E389" s="20" t="s">
        <v>989</v>
      </c>
      <c r="H389" s="13" t="s">
        <v>24</v>
      </c>
      <c r="I389" s="79" t="s">
        <v>18</v>
      </c>
      <c r="J389" s="19" t="s">
        <v>33</v>
      </c>
      <c r="K389" s="79" t="s">
        <v>18</v>
      </c>
      <c r="L389" s="79" t="s">
        <v>18</v>
      </c>
    </row>
    <row r="390" spans="1:12">
      <c r="A390" s="19"/>
      <c r="B390" s="19" t="s">
        <v>990</v>
      </c>
      <c r="D390" s="20" t="s">
        <v>991</v>
      </c>
      <c r="E390" s="20" t="s">
        <v>992</v>
      </c>
      <c r="H390" s="13" t="s">
        <v>24</v>
      </c>
      <c r="I390" s="79" t="s">
        <v>18</v>
      </c>
      <c r="J390" s="19" t="s">
        <v>33</v>
      </c>
      <c r="K390" s="79" t="s">
        <v>18</v>
      </c>
      <c r="L390" s="79" t="s">
        <v>18</v>
      </c>
    </row>
    <row r="391" spans="1:12">
      <c r="A391" s="19"/>
      <c r="B391" s="19" t="s">
        <v>993</v>
      </c>
      <c r="E391" s="20" t="s">
        <v>994</v>
      </c>
      <c r="H391" s="13" t="s">
        <v>18</v>
      </c>
      <c r="I391" s="79" t="s">
        <v>18</v>
      </c>
      <c r="J391" s="19" t="s">
        <v>33</v>
      </c>
      <c r="K391" s="79" t="s">
        <v>18</v>
      </c>
      <c r="L391" s="79" t="s">
        <v>18</v>
      </c>
    </row>
    <row r="392" spans="1:12">
      <c r="A392" s="19"/>
      <c r="B392" s="19" t="s">
        <v>995</v>
      </c>
      <c r="E392" s="20" t="s">
        <v>996</v>
      </c>
      <c r="H392" s="13" t="s">
        <v>18</v>
      </c>
      <c r="I392" s="79" t="s">
        <v>18</v>
      </c>
      <c r="J392" s="19" t="s">
        <v>33</v>
      </c>
      <c r="K392" s="79" t="s">
        <v>18</v>
      </c>
      <c r="L392" s="79" t="s">
        <v>18</v>
      </c>
    </row>
    <row r="393" spans="1:12">
      <c r="A393" s="19"/>
      <c r="B393" s="19" t="s">
        <v>997</v>
      </c>
      <c r="E393" s="20" t="s">
        <v>998</v>
      </c>
      <c r="H393" s="13" t="s">
        <v>18</v>
      </c>
      <c r="I393" s="79" t="s">
        <v>18</v>
      </c>
      <c r="J393" s="19" t="s">
        <v>33</v>
      </c>
      <c r="K393" s="79" t="s">
        <v>18</v>
      </c>
      <c r="L393" s="79" t="s">
        <v>18</v>
      </c>
    </row>
    <row r="394" spans="1:12">
      <c r="A394" s="19"/>
      <c r="B394" s="19" t="s">
        <v>999</v>
      </c>
      <c r="E394" s="20" t="s">
        <v>1000</v>
      </c>
      <c r="H394" s="13" t="s">
        <v>24</v>
      </c>
      <c r="I394" s="79" t="s">
        <v>18</v>
      </c>
      <c r="J394" s="19" t="s">
        <v>33</v>
      </c>
      <c r="K394" s="79" t="s">
        <v>18</v>
      </c>
      <c r="L394" s="79" t="s">
        <v>18</v>
      </c>
    </row>
    <row r="395" spans="1:12">
      <c r="A395" s="19"/>
      <c r="B395" s="19" t="s">
        <v>1001</v>
      </c>
      <c r="E395" s="20" t="s">
        <v>1002</v>
      </c>
      <c r="H395" s="13" t="s">
        <v>18</v>
      </c>
      <c r="I395" s="79" t="s">
        <v>18</v>
      </c>
      <c r="J395" s="19" t="s">
        <v>33</v>
      </c>
      <c r="K395" s="79" t="s">
        <v>18</v>
      </c>
      <c r="L395" s="79" t="s">
        <v>18</v>
      </c>
    </row>
    <row r="396" spans="1:12">
      <c r="A396" s="19"/>
      <c r="B396" s="19" t="s">
        <v>1003</v>
      </c>
      <c r="E396" s="20" t="s">
        <v>1004</v>
      </c>
      <c r="H396" s="13" t="s">
        <v>18</v>
      </c>
      <c r="I396" s="79" t="s">
        <v>18</v>
      </c>
      <c r="J396" s="19" t="s">
        <v>33</v>
      </c>
      <c r="K396" s="79" t="s">
        <v>18</v>
      </c>
      <c r="L396" s="79" t="s">
        <v>18</v>
      </c>
    </row>
    <row r="397" spans="1:12">
      <c r="A397" s="19"/>
      <c r="B397" s="19" t="s">
        <v>1005</v>
      </c>
      <c r="D397" s="20" t="s">
        <v>1006</v>
      </c>
      <c r="E397" s="20" t="s">
        <v>1007</v>
      </c>
      <c r="H397" s="13" t="s">
        <v>18</v>
      </c>
      <c r="I397" s="79" t="s">
        <v>18</v>
      </c>
      <c r="J397" s="19" t="s">
        <v>33</v>
      </c>
      <c r="K397" s="79" t="s">
        <v>18</v>
      </c>
      <c r="L397" s="79" t="s">
        <v>18</v>
      </c>
    </row>
    <row r="398" spans="1:12">
      <c r="A398" s="19"/>
      <c r="B398" s="19" t="s">
        <v>1008</v>
      </c>
      <c r="E398" s="20" t="s">
        <v>994</v>
      </c>
      <c r="H398" s="13" t="s">
        <v>18</v>
      </c>
      <c r="I398" s="79" t="s">
        <v>18</v>
      </c>
      <c r="J398" s="19" t="s">
        <v>33</v>
      </c>
      <c r="K398" s="79" t="s">
        <v>18</v>
      </c>
      <c r="L398" s="79" t="s">
        <v>18</v>
      </c>
    </row>
    <row r="399" spans="1:12">
      <c r="A399" s="19"/>
      <c r="B399" s="19" t="s">
        <v>1009</v>
      </c>
      <c r="E399" s="20" t="s">
        <v>996</v>
      </c>
      <c r="H399" s="13" t="s">
        <v>18</v>
      </c>
      <c r="I399" s="79" t="s">
        <v>18</v>
      </c>
      <c r="J399" s="19" t="s">
        <v>33</v>
      </c>
      <c r="K399" s="79" t="s">
        <v>18</v>
      </c>
      <c r="L399" s="79" t="s">
        <v>18</v>
      </c>
    </row>
    <row r="400" spans="1:12">
      <c r="A400" s="19"/>
      <c r="B400" s="19" t="s">
        <v>1010</v>
      </c>
      <c r="E400" s="20" t="s">
        <v>1011</v>
      </c>
      <c r="H400" s="13" t="s">
        <v>18</v>
      </c>
      <c r="I400" s="79" t="s">
        <v>18</v>
      </c>
      <c r="J400" s="19" t="s">
        <v>33</v>
      </c>
      <c r="K400" s="79" t="s">
        <v>18</v>
      </c>
      <c r="L400" s="79" t="s">
        <v>18</v>
      </c>
    </row>
    <row r="401" spans="1:12">
      <c r="A401" s="19"/>
      <c r="B401" s="19" t="s">
        <v>1012</v>
      </c>
      <c r="E401" s="20" t="s">
        <v>1000</v>
      </c>
      <c r="H401" s="13" t="s">
        <v>24</v>
      </c>
      <c r="I401" s="79" t="s">
        <v>18</v>
      </c>
      <c r="J401" s="19" t="s">
        <v>33</v>
      </c>
      <c r="K401" s="79" t="s">
        <v>18</v>
      </c>
      <c r="L401" s="79" t="s">
        <v>18</v>
      </c>
    </row>
    <row r="402" spans="1:12">
      <c r="A402" s="19"/>
      <c r="B402" s="19" t="s">
        <v>1013</v>
      </c>
      <c r="E402" s="20" t="s">
        <v>1002</v>
      </c>
      <c r="H402" s="13" t="s">
        <v>18</v>
      </c>
      <c r="I402" s="79" t="s">
        <v>18</v>
      </c>
      <c r="J402" s="19" t="s">
        <v>33</v>
      </c>
      <c r="K402" s="79" t="s">
        <v>18</v>
      </c>
      <c r="L402" s="79" t="s">
        <v>18</v>
      </c>
    </row>
    <row r="403" spans="1:12">
      <c r="A403" s="19"/>
      <c r="B403" s="19" t="s">
        <v>1014</v>
      </c>
      <c r="E403" s="20" t="s">
        <v>1015</v>
      </c>
      <c r="H403" s="13" t="s">
        <v>18</v>
      </c>
      <c r="I403" s="79" t="s">
        <v>18</v>
      </c>
      <c r="J403" s="19" t="s">
        <v>33</v>
      </c>
      <c r="K403" s="79" t="s">
        <v>18</v>
      </c>
      <c r="L403" s="79" t="s">
        <v>18</v>
      </c>
    </row>
    <row r="404" spans="1:12">
      <c r="A404" s="19" t="s">
        <v>1016</v>
      </c>
      <c r="B404" s="19" t="s">
        <v>1017</v>
      </c>
      <c r="C404" s="19" t="s">
        <v>1018</v>
      </c>
      <c r="D404" s="20" t="s">
        <v>1019</v>
      </c>
      <c r="E404" s="20" t="s">
        <v>1020</v>
      </c>
      <c r="H404" s="13" t="s">
        <v>18</v>
      </c>
      <c r="I404" s="79" t="s">
        <v>18</v>
      </c>
      <c r="J404" s="19" t="s">
        <v>33</v>
      </c>
      <c r="K404" s="79" t="s">
        <v>18</v>
      </c>
      <c r="L404" s="79" t="s">
        <v>18</v>
      </c>
    </row>
    <row r="405" spans="1:12">
      <c r="A405" s="19"/>
      <c r="B405" s="19" t="s">
        <v>1021</v>
      </c>
      <c r="D405" s="20" t="s">
        <v>1022</v>
      </c>
      <c r="E405" s="20" t="s">
        <v>1023</v>
      </c>
      <c r="H405" s="13" t="s">
        <v>18</v>
      </c>
      <c r="I405" s="79" t="s">
        <v>18</v>
      </c>
      <c r="J405" s="19" t="s">
        <v>33</v>
      </c>
      <c r="K405" s="79" t="s">
        <v>18</v>
      </c>
      <c r="L405" s="79" t="s">
        <v>18</v>
      </c>
    </row>
    <row r="406" spans="1:12">
      <c r="A406" s="19"/>
      <c r="B406" s="19" t="s">
        <v>1024</v>
      </c>
      <c r="E406" s="20" t="s">
        <v>1025</v>
      </c>
      <c r="H406" s="13" t="s">
        <v>18</v>
      </c>
      <c r="I406" s="79" t="s">
        <v>18</v>
      </c>
      <c r="J406" s="19" t="s">
        <v>33</v>
      </c>
      <c r="K406" s="79" t="s">
        <v>18</v>
      </c>
      <c r="L406" s="79" t="s">
        <v>18</v>
      </c>
    </row>
    <row r="407" spans="1:12">
      <c r="A407" s="19"/>
      <c r="B407" s="19" t="s">
        <v>1026</v>
      </c>
      <c r="E407" s="20" t="s">
        <v>1027</v>
      </c>
      <c r="H407" s="13" t="s">
        <v>18</v>
      </c>
      <c r="I407" s="79" t="s">
        <v>18</v>
      </c>
      <c r="J407" s="19" t="s">
        <v>33</v>
      </c>
      <c r="K407" s="79" t="s">
        <v>18</v>
      </c>
      <c r="L407" s="79" t="s">
        <v>18</v>
      </c>
    </row>
    <row r="408" spans="1:12">
      <c r="A408" s="19"/>
      <c r="B408" s="19" t="s">
        <v>1028</v>
      </c>
      <c r="D408" s="20" t="s">
        <v>1029</v>
      </c>
      <c r="E408" s="20" t="s">
        <v>1030</v>
      </c>
      <c r="H408" s="13" t="s">
        <v>18</v>
      </c>
      <c r="I408" s="79" t="s">
        <v>18</v>
      </c>
      <c r="J408" s="19" t="s">
        <v>33</v>
      </c>
      <c r="K408" s="79" t="s">
        <v>18</v>
      </c>
      <c r="L408" s="79" t="s">
        <v>18</v>
      </c>
    </row>
    <row r="409" spans="1:12">
      <c r="A409" s="19"/>
      <c r="B409" s="19" t="s">
        <v>1031</v>
      </c>
      <c r="E409" s="20" t="s">
        <v>1032</v>
      </c>
      <c r="H409" s="13" t="s">
        <v>18</v>
      </c>
      <c r="I409" s="79" t="s">
        <v>18</v>
      </c>
      <c r="J409" s="19" t="s">
        <v>33</v>
      </c>
      <c r="K409" s="79" t="s">
        <v>18</v>
      </c>
      <c r="L409" s="79" t="s">
        <v>18</v>
      </c>
    </row>
    <row r="410" spans="1:14">
      <c r="A410" s="19"/>
      <c r="B410" s="19" t="s">
        <v>1033</v>
      </c>
      <c r="D410" s="20" t="s">
        <v>1034</v>
      </c>
      <c r="E410" s="20" t="s">
        <v>1035</v>
      </c>
      <c r="H410" s="13" t="s">
        <v>24</v>
      </c>
      <c r="I410" s="79" t="s">
        <v>18</v>
      </c>
      <c r="J410" s="19" t="s">
        <v>33</v>
      </c>
      <c r="K410" s="79" t="s">
        <v>18</v>
      </c>
      <c r="L410" s="79" t="s">
        <v>18</v>
      </c>
      <c r="N410" s="20"/>
    </row>
    <row r="411" spans="1:14">
      <c r="A411" s="19"/>
      <c r="B411" s="19" t="s">
        <v>1036</v>
      </c>
      <c r="E411" s="20" t="s">
        <v>1037</v>
      </c>
      <c r="H411" s="13" t="s">
        <v>35</v>
      </c>
      <c r="I411" s="79" t="s">
        <v>18</v>
      </c>
      <c r="J411" s="19" t="s">
        <v>33</v>
      </c>
      <c r="K411" s="79" t="s">
        <v>18</v>
      </c>
      <c r="L411" s="79" t="s">
        <v>18</v>
      </c>
      <c r="N411" s="121"/>
    </row>
    <row r="412" spans="1:13">
      <c r="A412" s="19"/>
      <c r="B412" s="19" t="s">
        <v>1038</v>
      </c>
      <c r="D412" s="20" t="s">
        <v>1039</v>
      </c>
      <c r="E412" s="20" t="s">
        <v>1040</v>
      </c>
      <c r="H412" s="13" t="s">
        <v>24</v>
      </c>
      <c r="I412" s="80" t="s">
        <v>24</v>
      </c>
      <c r="J412" s="19" t="s">
        <v>33</v>
      </c>
      <c r="K412" s="80" t="s">
        <v>24</v>
      </c>
      <c r="L412" s="79" t="s">
        <v>18</v>
      </c>
      <c r="M412" s="81">
        <v>1661</v>
      </c>
    </row>
    <row r="413" spans="1:12">
      <c r="A413" s="19"/>
      <c r="B413" s="19" t="s">
        <v>1041</v>
      </c>
      <c r="E413" s="20" t="s">
        <v>1042</v>
      </c>
      <c r="H413" s="13" t="s">
        <v>18</v>
      </c>
      <c r="I413" s="79" t="s">
        <v>18</v>
      </c>
      <c r="J413" s="19" t="s">
        <v>33</v>
      </c>
      <c r="K413" s="79" t="s">
        <v>18</v>
      </c>
      <c r="L413" s="79" t="s">
        <v>18</v>
      </c>
    </row>
    <row r="414" spans="1:12">
      <c r="A414" s="19"/>
      <c r="B414" s="19" t="s">
        <v>1043</v>
      </c>
      <c r="E414" s="20" t="s">
        <v>1044</v>
      </c>
      <c r="H414" s="13" t="s">
        <v>18</v>
      </c>
      <c r="I414" s="79" t="s">
        <v>18</v>
      </c>
      <c r="J414" s="19" t="s">
        <v>33</v>
      </c>
      <c r="K414" s="79" t="s">
        <v>18</v>
      </c>
      <c r="L414" s="79" t="s">
        <v>18</v>
      </c>
    </row>
    <row r="415" spans="1:12">
      <c r="A415" s="19"/>
      <c r="B415" s="19" t="s">
        <v>1045</v>
      </c>
      <c r="E415" s="20" t="s">
        <v>1046</v>
      </c>
      <c r="H415" s="13" t="s">
        <v>18</v>
      </c>
      <c r="I415" s="79" t="s">
        <v>18</v>
      </c>
      <c r="J415" s="19" t="s">
        <v>33</v>
      </c>
      <c r="K415" s="79" t="s">
        <v>18</v>
      </c>
      <c r="L415" s="79" t="s">
        <v>18</v>
      </c>
    </row>
    <row r="416" spans="1:12">
      <c r="A416" s="19"/>
      <c r="B416" s="19" t="s">
        <v>1047</v>
      </c>
      <c r="E416" s="20" t="s">
        <v>1048</v>
      </c>
      <c r="H416" s="13" t="s">
        <v>18</v>
      </c>
      <c r="I416" s="79" t="s">
        <v>18</v>
      </c>
      <c r="J416" s="19" t="s">
        <v>33</v>
      </c>
      <c r="K416" s="79" t="s">
        <v>18</v>
      </c>
      <c r="L416" s="79" t="s">
        <v>18</v>
      </c>
    </row>
    <row r="417" spans="1:12">
      <c r="A417" s="19"/>
      <c r="B417" s="19" t="s">
        <v>1049</v>
      </c>
      <c r="C417" s="19" t="s">
        <v>1050</v>
      </c>
      <c r="D417" s="20" t="s">
        <v>1051</v>
      </c>
      <c r="E417" s="20" t="s">
        <v>1052</v>
      </c>
      <c r="H417" s="13" t="s">
        <v>18</v>
      </c>
      <c r="I417" s="79" t="s">
        <v>18</v>
      </c>
      <c r="J417" s="19" t="s">
        <v>33</v>
      </c>
      <c r="K417" s="79" t="s">
        <v>18</v>
      </c>
      <c r="L417" s="79" t="s">
        <v>18</v>
      </c>
    </row>
    <row r="418" spans="1:12">
      <c r="A418" s="19"/>
      <c r="B418" s="19" t="s">
        <v>1053</v>
      </c>
      <c r="D418" s="20" t="s">
        <v>1054</v>
      </c>
      <c r="E418" s="20" t="s">
        <v>1055</v>
      </c>
      <c r="H418" s="13" t="s">
        <v>18</v>
      </c>
      <c r="I418" s="79" t="s">
        <v>18</v>
      </c>
      <c r="J418" s="19" t="s">
        <v>33</v>
      </c>
      <c r="K418" s="79" t="s">
        <v>18</v>
      </c>
      <c r="L418" s="79" t="s">
        <v>18</v>
      </c>
    </row>
    <row r="419" spans="1:12">
      <c r="A419" s="19"/>
      <c r="B419" s="19" t="s">
        <v>1056</v>
      </c>
      <c r="E419" s="20" t="s">
        <v>1057</v>
      </c>
      <c r="H419" s="13" t="s">
        <v>18</v>
      </c>
      <c r="I419" s="79" t="s">
        <v>18</v>
      </c>
      <c r="J419" s="19" t="s">
        <v>33</v>
      </c>
      <c r="K419" s="79" t="s">
        <v>18</v>
      </c>
      <c r="L419" s="79" t="s">
        <v>18</v>
      </c>
    </row>
    <row r="420" spans="1:12">
      <c r="A420" s="19"/>
      <c r="B420" s="19" t="s">
        <v>1058</v>
      </c>
      <c r="D420" s="20" t="s">
        <v>1059</v>
      </c>
      <c r="E420" s="20" t="s">
        <v>1060</v>
      </c>
      <c r="H420" s="13" t="s">
        <v>18</v>
      </c>
      <c r="I420" s="79" t="s">
        <v>18</v>
      </c>
      <c r="J420" s="19" t="s">
        <v>33</v>
      </c>
      <c r="K420" s="79" t="s">
        <v>18</v>
      </c>
      <c r="L420" s="79" t="s">
        <v>18</v>
      </c>
    </row>
    <row r="421" spans="1:12">
      <c r="A421" s="19"/>
      <c r="B421" s="19" t="s">
        <v>1061</v>
      </c>
      <c r="E421" s="20" t="s">
        <v>1062</v>
      </c>
      <c r="H421" s="13" t="s">
        <v>18</v>
      </c>
      <c r="I421" s="79" t="s">
        <v>18</v>
      </c>
      <c r="J421" s="19" t="s">
        <v>33</v>
      </c>
      <c r="K421" s="79" t="s">
        <v>18</v>
      </c>
      <c r="L421" s="79" t="s">
        <v>18</v>
      </c>
    </row>
    <row r="422" spans="1:12">
      <c r="A422" s="19"/>
      <c r="B422" s="19" t="s">
        <v>1063</v>
      </c>
      <c r="D422" s="20" t="s">
        <v>1064</v>
      </c>
      <c r="E422" s="20" t="s">
        <v>1065</v>
      </c>
      <c r="H422" s="110" t="s">
        <v>18</v>
      </c>
      <c r="I422" s="79" t="s">
        <v>18</v>
      </c>
      <c r="J422" s="19" t="s">
        <v>33</v>
      </c>
      <c r="K422" s="79" t="s">
        <v>18</v>
      </c>
      <c r="L422" s="79" t="s">
        <v>18</v>
      </c>
    </row>
    <row r="423" ht="33" spans="1:12">
      <c r="A423" s="19"/>
      <c r="B423" s="19" t="s">
        <v>1066</v>
      </c>
      <c r="E423" s="20" t="s">
        <v>1067</v>
      </c>
      <c r="H423" s="110" t="s">
        <v>24</v>
      </c>
      <c r="I423" s="79" t="s">
        <v>18</v>
      </c>
      <c r="J423" s="19" t="s">
        <v>33</v>
      </c>
      <c r="K423" s="79" t="s">
        <v>18</v>
      </c>
      <c r="L423" s="79" t="s">
        <v>18</v>
      </c>
    </row>
    <row r="424" spans="1:12">
      <c r="A424" s="19"/>
      <c r="B424" s="19" t="s">
        <v>1068</v>
      </c>
      <c r="E424" s="20" t="s">
        <v>1069</v>
      </c>
      <c r="H424" s="110" t="s">
        <v>18</v>
      </c>
      <c r="I424" s="79" t="s">
        <v>18</v>
      </c>
      <c r="J424" s="19" t="s">
        <v>33</v>
      </c>
      <c r="K424" s="79" t="s">
        <v>18</v>
      </c>
      <c r="L424" s="79" t="s">
        <v>18</v>
      </c>
    </row>
    <row r="425" spans="1:12">
      <c r="A425" s="19"/>
      <c r="B425" s="19" t="s">
        <v>1070</v>
      </c>
      <c r="D425" s="20" t="s">
        <v>1071</v>
      </c>
      <c r="E425" s="20" t="s">
        <v>1072</v>
      </c>
      <c r="H425" s="13" t="s">
        <v>24</v>
      </c>
      <c r="I425" s="79" t="s">
        <v>18</v>
      </c>
      <c r="J425" s="19" t="s">
        <v>33</v>
      </c>
      <c r="K425" s="79" t="s">
        <v>18</v>
      </c>
      <c r="L425" s="79" t="s">
        <v>18</v>
      </c>
    </row>
    <row r="426" spans="1:12">
      <c r="A426" s="19"/>
      <c r="B426" s="19" t="s">
        <v>1073</v>
      </c>
      <c r="E426" s="20" t="s">
        <v>1074</v>
      </c>
      <c r="H426" s="13" t="s">
        <v>35</v>
      </c>
      <c r="I426" s="79" t="s">
        <v>18</v>
      </c>
      <c r="J426" s="19" t="s">
        <v>33</v>
      </c>
      <c r="K426" s="79" t="s">
        <v>18</v>
      </c>
      <c r="L426" s="79" t="s">
        <v>18</v>
      </c>
    </row>
    <row r="427" ht="33" spans="1:13">
      <c r="A427" s="19"/>
      <c r="B427" s="19" t="s">
        <v>1075</v>
      </c>
      <c r="D427" s="20" t="s">
        <v>1076</v>
      </c>
      <c r="E427" s="20" t="s">
        <v>1077</v>
      </c>
      <c r="H427" s="13" t="s">
        <v>24</v>
      </c>
      <c r="I427" s="80" t="s">
        <v>24</v>
      </c>
      <c r="J427" s="19" t="s">
        <v>33</v>
      </c>
      <c r="K427" s="80" t="s">
        <v>24</v>
      </c>
      <c r="L427" s="79" t="s">
        <v>18</v>
      </c>
      <c r="M427" s="20" t="s">
        <v>1078</v>
      </c>
    </row>
    <row r="428" spans="1:12">
      <c r="A428" s="19"/>
      <c r="B428" s="19" t="s">
        <v>1079</v>
      </c>
      <c r="E428" s="20" t="s">
        <v>1080</v>
      </c>
      <c r="H428" s="13" t="s">
        <v>18</v>
      </c>
      <c r="I428" s="79" t="s">
        <v>18</v>
      </c>
      <c r="J428" s="19" t="s">
        <v>33</v>
      </c>
      <c r="K428" s="79" t="s">
        <v>18</v>
      </c>
      <c r="L428" s="79" t="s">
        <v>18</v>
      </c>
    </row>
    <row r="429" spans="1:12">
      <c r="A429" s="19"/>
      <c r="B429" s="19" t="s">
        <v>1081</v>
      </c>
      <c r="E429" s="20" t="s">
        <v>1082</v>
      </c>
      <c r="H429" s="13" t="s">
        <v>18</v>
      </c>
      <c r="I429" s="79" t="s">
        <v>18</v>
      </c>
      <c r="J429" s="19" t="s">
        <v>33</v>
      </c>
      <c r="K429" s="79" t="s">
        <v>18</v>
      </c>
      <c r="L429" s="79" t="s">
        <v>18</v>
      </c>
    </row>
    <row r="430" spans="1:12">
      <c r="A430" s="19"/>
      <c r="B430" s="19" t="s">
        <v>1083</v>
      </c>
      <c r="E430" s="20" t="s">
        <v>1084</v>
      </c>
      <c r="H430" s="13" t="s">
        <v>18</v>
      </c>
      <c r="I430" s="79" t="s">
        <v>18</v>
      </c>
      <c r="J430" s="19" t="s">
        <v>33</v>
      </c>
      <c r="K430" s="79" t="s">
        <v>18</v>
      </c>
      <c r="L430" s="79" t="s">
        <v>18</v>
      </c>
    </row>
    <row r="431" spans="1:12">
      <c r="A431" s="19" t="s">
        <v>1085</v>
      </c>
      <c r="B431" s="19" t="s">
        <v>1086</v>
      </c>
      <c r="C431" s="19" t="s">
        <v>1087</v>
      </c>
      <c r="D431" s="20" t="s">
        <v>1088</v>
      </c>
      <c r="E431" s="20" t="s">
        <v>1089</v>
      </c>
      <c r="H431" s="13" t="s">
        <v>18</v>
      </c>
      <c r="I431" s="79" t="s">
        <v>18</v>
      </c>
      <c r="J431" s="19" t="s">
        <v>33</v>
      </c>
      <c r="K431" s="79" t="s">
        <v>18</v>
      </c>
      <c r="L431" s="79" t="s">
        <v>18</v>
      </c>
    </row>
    <row r="432" spans="1:12">
      <c r="A432" s="19"/>
      <c r="B432" s="19" t="s">
        <v>1090</v>
      </c>
      <c r="D432" s="20" t="s">
        <v>1091</v>
      </c>
      <c r="E432" s="20" t="s">
        <v>1092</v>
      </c>
      <c r="H432" s="13" t="s">
        <v>18</v>
      </c>
      <c r="I432" s="79" t="s">
        <v>18</v>
      </c>
      <c r="J432" s="19" t="s">
        <v>33</v>
      </c>
      <c r="K432" s="79" t="s">
        <v>18</v>
      </c>
      <c r="L432" s="79" t="s">
        <v>18</v>
      </c>
    </row>
    <row r="433" spans="1:12">
      <c r="A433" s="19"/>
      <c r="B433" s="19" t="s">
        <v>1093</v>
      </c>
      <c r="E433" s="20" t="s">
        <v>1094</v>
      </c>
      <c r="H433" s="13" t="s">
        <v>18</v>
      </c>
      <c r="I433" s="79" t="s">
        <v>18</v>
      </c>
      <c r="J433" s="19" t="s">
        <v>33</v>
      </c>
      <c r="K433" s="79" t="s">
        <v>18</v>
      </c>
      <c r="L433" s="79" t="s">
        <v>18</v>
      </c>
    </row>
    <row r="434" spans="1:12">
      <c r="A434" s="19"/>
      <c r="B434" s="19" t="s">
        <v>1095</v>
      </c>
      <c r="D434" s="20" t="s">
        <v>1096</v>
      </c>
      <c r="E434" s="20" t="s">
        <v>1097</v>
      </c>
      <c r="H434" s="110" t="s">
        <v>18</v>
      </c>
      <c r="I434" s="79" t="s">
        <v>18</v>
      </c>
      <c r="J434" s="19" t="s">
        <v>33</v>
      </c>
      <c r="K434" s="79" t="s">
        <v>18</v>
      </c>
      <c r="L434" s="79" t="s">
        <v>18</v>
      </c>
    </row>
    <row r="435" ht="33" spans="1:12">
      <c r="A435" s="19"/>
      <c r="B435" s="19" t="s">
        <v>1098</v>
      </c>
      <c r="E435" s="20" t="s">
        <v>1099</v>
      </c>
      <c r="H435" s="110" t="s">
        <v>18</v>
      </c>
      <c r="I435" s="79" t="s">
        <v>18</v>
      </c>
      <c r="J435" s="19" t="s">
        <v>33</v>
      </c>
      <c r="K435" s="79" t="s">
        <v>18</v>
      </c>
      <c r="L435" s="79" t="s">
        <v>18</v>
      </c>
    </row>
    <row r="436" spans="1:12">
      <c r="A436" s="19"/>
      <c r="B436" s="19" t="s">
        <v>1100</v>
      </c>
      <c r="E436" s="20" t="s">
        <v>1101</v>
      </c>
      <c r="H436" s="110" t="s">
        <v>18</v>
      </c>
      <c r="I436" s="79" t="s">
        <v>18</v>
      </c>
      <c r="J436" s="19" t="s">
        <v>33</v>
      </c>
      <c r="K436" s="79" t="s">
        <v>18</v>
      </c>
      <c r="L436" s="79" t="s">
        <v>18</v>
      </c>
    </row>
    <row r="437" spans="1:12">
      <c r="A437" s="19"/>
      <c r="B437" s="19" t="s">
        <v>1102</v>
      </c>
      <c r="D437" s="20" t="s">
        <v>1103</v>
      </c>
      <c r="E437" s="20" t="s">
        <v>1072</v>
      </c>
      <c r="H437" s="13" t="s">
        <v>24</v>
      </c>
      <c r="I437" s="79" t="s">
        <v>18</v>
      </c>
      <c r="J437" s="19" t="s">
        <v>33</v>
      </c>
      <c r="K437" s="79" t="s">
        <v>18</v>
      </c>
      <c r="L437" s="79" t="s">
        <v>18</v>
      </c>
    </row>
    <row r="438" spans="1:12">
      <c r="A438" s="19"/>
      <c r="B438" s="19" t="s">
        <v>1104</v>
      </c>
      <c r="E438" s="20" t="s">
        <v>1074</v>
      </c>
      <c r="H438" s="13" t="s">
        <v>35</v>
      </c>
      <c r="I438" s="79" t="s">
        <v>18</v>
      </c>
      <c r="J438" s="19" t="s">
        <v>33</v>
      </c>
      <c r="K438" s="79" t="s">
        <v>18</v>
      </c>
      <c r="L438" s="79" t="s">
        <v>18</v>
      </c>
    </row>
    <row r="439" spans="1:13">
      <c r="A439" s="19"/>
      <c r="B439" s="19" t="s">
        <v>1105</v>
      </c>
      <c r="D439" s="20" t="s">
        <v>1106</v>
      </c>
      <c r="E439" s="20" t="s">
        <v>1107</v>
      </c>
      <c r="H439" s="13" t="s">
        <v>24</v>
      </c>
      <c r="I439" s="80" t="s">
        <v>24</v>
      </c>
      <c r="J439" s="19" t="s">
        <v>33</v>
      </c>
      <c r="K439" s="80" t="s">
        <v>24</v>
      </c>
      <c r="L439" s="79" t="s">
        <v>18</v>
      </c>
      <c r="M439" s="20" t="s">
        <v>1108</v>
      </c>
    </row>
    <row r="440" spans="1:12">
      <c r="A440" s="19"/>
      <c r="B440" s="19" t="s">
        <v>1109</v>
      </c>
      <c r="E440" s="20" t="s">
        <v>1110</v>
      </c>
      <c r="H440" s="13" t="s">
        <v>18</v>
      </c>
      <c r="I440" s="79" t="s">
        <v>18</v>
      </c>
      <c r="J440" s="19" t="s">
        <v>33</v>
      </c>
      <c r="K440" s="79" t="s">
        <v>18</v>
      </c>
      <c r="L440" s="79" t="s">
        <v>18</v>
      </c>
    </row>
    <row r="441" ht="33" spans="1:12">
      <c r="A441" s="19"/>
      <c r="B441" s="19" t="s">
        <v>1111</v>
      </c>
      <c r="E441" s="20" t="s">
        <v>1112</v>
      </c>
      <c r="H441" s="13" t="s">
        <v>18</v>
      </c>
      <c r="I441" s="79" t="s">
        <v>18</v>
      </c>
      <c r="J441" s="19" t="s">
        <v>33</v>
      </c>
      <c r="K441" s="79" t="s">
        <v>18</v>
      </c>
      <c r="L441" s="79" t="s">
        <v>18</v>
      </c>
    </row>
    <row r="442" spans="1:12">
      <c r="A442" s="19"/>
      <c r="B442" s="19" t="s">
        <v>1113</v>
      </c>
      <c r="E442" s="20" t="s">
        <v>1114</v>
      </c>
      <c r="H442" s="110" t="s">
        <v>18</v>
      </c>
      <c r="I442" s="79" t="s">
        <v>18</v>
      </c>
      <c r="J442" s="19" t="s">
        <v>33</v>
      </c>
      <c r="K442" s="79" t="s">
        <v>18</v>
      </c>
      <c r="L442" s="79" t="s">
        <v>18</v>
      </c>
    </row>
    <row r="443" spans="1:12">
      <c r="A443" s="19"/>
      <c r="B443" s="19" t="s">
        <v>1115</v>
      </c>
      <c r="E443" s="20" t="s">
        <v>1116</v>
      </c>
      <c r="H443" s="13" t="s">
        <v>18</v>
      </c>
      <c r="I443" s="79" t="s">
        <v>18</v>
      </c>
      <c r="J443" s="19" t="s">
        <v>33</v>
      </c>
      <c r="K443" s="79" t="s">
        <v>18</v>
      </c>
      <c r="L443" s="79" t="s">
        <v>18</v>
      </c>
    </row>
    <row r="444" ht="15" spans="1:13">
      <c r="A444" s="41" t="s">
        <v>1117</v>
      </c>
      <c r="B444" s="41"/>
      <c r="C444" s="41"/>
      <c r="D444" s="41"/>
      <c r="E444" s="41"/>
      <c r="F444" s="41"/>
      <c r="G444" s="41"/>
      <c r="H444" s="41"/>
      <c r="I444" s="122"/>
      <c r="J444" s="41"/>
      <c r="K444" s="41"/>
      <c r="L444" s="41"/>
      <c r="M444" s="41"/>
    </row>
    <row r="445" spans="1:13">
      <c r="A445" s="43" t="s">
        <v>38</v>
      </c>
      <c r="B445" s="44" t="s">
        <v>39</v>
      </c>
      <c r="C445" s="44" t="s">
        <v>40</v>
      </c>
      <c r="D445" s="45" t="s">
        <v>41</v>
      </c>
      <c r="E445" s="27" t="s">
        <v>42</v>
      </c>
      <c r="F445" s="44" t="s">
        <v>43</v>
      </c>
      <c r="G445" s="44" t="s">
        <v>44</v>
      </c>
      <c r="H445" s="44" t="s">
        <v>1118</v>
      </c>
      <c r="I445" s="44"/>
      <c r="J445" s="44"/>
      <c r="K445" s="44"/>
      <c r="L445" s="44"/>
      <c r="M445" s="123" t="s">
        <v>6</v>
      </c>
    </row>
    <row r="446" ht="33" spans="1:12">
      <c r="A446" s="19" t="s">
        <v>1119</v>
      </c>
      <c r="B446" s="19" t="s">
        <v>1120</v>
      </c>
      <c r="C446" s="19" t="s">
        <v>1121</v>
      </c>
      <c r="D446" s="20" t="s">
        <v>1122</v>
      </c>
      <c r="E446" s="20" t="s">
        <v>1123</v>
      </c>
      <c r="H446" s="13" t="s">
        <v>35</v>
      </c>
      <c r="I446" s="19" t="s">
        <v>35</v>
      </c>
      <c r="J446" s="19" t="s">
        <v>35</v>
      </c>
      <c r="K446" s="19" t="s">
        <v>35</v>
      </c>
      <c r="L446" s="79" t="s">
        <v>18</v>
      </c>
    </row>
    <row r="447" ht="33" spans="1:12">
      <c r="A447" s="19"/>
      <c r="B447" s="19" t="s">
        <v>1124</v>
      </c>
      <c r="D447" s="20" t="s">
        <v>1125</v>
      </c>
      <c r="E447" s="20" t="s">
        <v>1126</v>
      </c>
      <c r="H447" s="13" t="s">
        <v>35</v>
      </c>
      <c r="I447" s="19" t="s">
        <v>35</v>
      </c>
      <c r="J447" s="19" t="s">
        <v>35</v>
      </c>
      <c r="K447" s="19" t="s">
        <v>35</v>
      </c>
      <c r="L447" s="79" t="s">
        <v>18</v>
      </c>
    </row>
    <row r="448" ht="33" spans="1:13">
      <c r="A448" s="19" t="s">
        <v>1127</v>
      </c>
      <c r="B448" s="19" t="s">
        <v>1128</v>
      </c>
      <c r="C448" s="19" t="s">
        <v>1129</v>
      </c>
      <c r="D448" s="20" t="s">
        <v>1130</v>
      </c>
      <c r="E448" s="20" t="s">
        <v>1131</v>
      </c>
      <c r="H448" s="13" t="s">
        <v>18</v>
      </c>
      <c r="I448" s="80" t="s">
        <v>24</v>
      </c>
      <c r="J448" s="79" t="s">
        <v>18</v>
      </c>
      <c r="K448" s="79" t="s">
        <v>18</v>
      </c>
      <c r="L448" s="79" t="s">
        <v>18</v>
      </c>
      <c r="M448" s="81" t="s">
        <v>1132</v>
      </c>
    </row>
    <row r="449" spans="1:12">
      <c r="A449" s="19"/>
      <c r="B449" s="19" t="s">
        <v>1133</v>
      </c>
      <c r="D449" s="20" t="s">
        <v>1134</v>
      </c>
      <c r="E449" s="20" t="s">
        <v>1135</v>
      </c>
      <c r="H449" s="13" t="s">
        <v>18</v>
      </c>
      <c r="I449" s="79" t="s">
        <v>18</v>
      </c>
      <c r="J449" s="79" t="s">
        <v>18</v>
      </c>
      <c r="K449" s="79" t="s">
        <v>18</v>
      </c>
      <c r="L449" s="79" t="s">
        <v>18</v>
      </c>
    </row>
    <row r="450" spans="1:12">
      <c r="A450" s="19"/>
      <c r="B450" s="19" t="s">
        <v>1136</v>
      </c>
      <c r="D450" s="20" t="s">
        <v>1137</v>
      </c>
      <c r="E450" s="20" t="s">
        <v>1138</v>
      </c>
      <c r="H450" s="13" t="s">
        <v>18</v>
      </c>
      <c r="I450" s="79" t="s">
        <v>18</v>
      </c>
      <c r="J450" s="79" t="s">
        <v>18</v>
      </c>
      <c r="K450" s="79" t="s">
        <v>18</v>
      </c>
      <c r="L450" s="79" t="s">
        <v>18</v>
      </c>
    </row>
    <row r="451" spans="1:12">
      <c r="A451" s="19"/>
      <c r="B451" s="19" t="s">
        <v>1139</v>
      </c>
      <c r="D451" s="20" t="s">
        <v>1140</v>
      </c>
      <c r="E451" s="20" t="s">
        <v>1141</v>
      </c>
      <c r="H451" s="13" t="s">
        <v>18</v>
      </c>
      <c r="I451" s="79" t="s">
        <v>18</v>
      </c>
      <c r="J451" s="79" t="s">
        <v>18</v>
      </c>
      <c r="K451" s="79" t="s">
        <v>18</v>
      </c>
      <c r="L451" s="79" t="s">
        <v>18</v>
      </c>
    </row>
    <row r="452" spans="1:12">
      <c r="A452" s="19"/>
      <c r="B452" s="19" t="s">
        <v>1142</v>
      </c>
      <c r="D452" s="20" t="s">
        <v>1143</v>
      </c>
      <c r="E452" s="20" t="s">
        <v>1144</v>
      </c>
      <c r="H452" s="13" t="s">
        <v>18</v>
      </c>
      <c r="I452" s="79" t="s">
        <v>18</v>
      </c>
      <c r="J452" s="79" t="s">
        <v>18</v>
      </c>
      <c r="K452" s="79" t="s">
        <v>18</v>
      </c>
      <c r="L452" s="79" t="s">
        <v>18</v>
      </c>
    </row>
    <row r="453" spans="1:12">
      <c r="A453" s="19"/>
      <c r="B453" s="19" t="s">
        <v>1145</v>
      </c>
      <c r="D453" s="20" t="s">
        <v>1146</v>
      </c>
      <c r="E453" s="20" t="s">
        <v>1147</v>
      </c>
      <c r="H453" s="13" t="s">
        <v>18</v>
      </c>
      <c r="I453" s="79" t="s">
        <v>18</v>
      </c>
      <c r="J453" s="79" t="s">
        <v>18</v>
      </c>
      <c r="K453" s="79" t="s">
        <v>18</v>
      </c>
      <c r="L453" s="79" t="s">
        <v>18</v>
      </c>
    </row>
    <row r="454" spans="1:12">
      <c r="A454" s="19"/>
      <c r="B454" s="19" t="s">
        <v>1148</v>
      </c>
      <c r="D454" s="20" t="s">
        <v>1149</v>
      </c>
      <c r="E454" s="20" t="s">
        <v>1150</v>
      </c>
      <c r="H454" s="13" t="s">
        <v>18</v>
      </c>
      <c r="I454" s="79" t="s">
        <v>18</v>
      </c>
      <c r="J454" s="79" t="s">
        <v>18</v>
      </c>
      <c r="K454" s="79" t="s">
        <v>18</v>
      </c>
      <c r="L454" s="79" t="s">
        <v>18</v>
      </c>
    </row>
    <row r="455" spans="1:12">
      <c r="A455" s="19"/>
      <c r="B455" s="19" t="s">
        <v>1151</v>
      </c>
      <c r="D455" s="20" t="s">
        <v>1152</v>
      </c>
      <c r="E455" s="20" t="s">
        <v>1153</v>
      </c>
      <c r="H455" s="13" t="s">
        <v>18</v>
      </c>
      <c r="I455" s="79" t="s">
        <v>18</v>
      </c>
      <c r="J455" s="79" t="s">
        <v>18</v>
      </c>
      <c r="K455" s="79" t="s">
        <v>18</v>
      </c>
      <c r="L455" s="79" t="s">
        <v>18</v>
      </c>
    </row>
    <row r="456" spans="1:12">
      <c r="A456" s="19"/>
      <c r="B456" s="19" t="s">
        <v>1154</v>
      </c>
      <c r="D456" s="20" t="s">
        <v>1155</v>
      </c>
      <c r="E456" s="20" t="s">
        <v>1156</v>
      </c>
      <c r="H456" s="13" t="s">
        <v>18</v>
      </c>
      <c r="I456" s="79" t="s">
        <v>18</v>
      </c>
      <c r="J456" s="79" t="s">
        <v>18</v>
      </c>
      <c r="K456" s="79" t="s">
        <v>18</v>
      </c>
      <c r="L456" s="79" t="s">
        <v>18</v>
      </c>
    </row>
    <row r="457" spans="1:12">
      <c r="A457" s="19"/>
      <c r="B457" s="19" t="s">
        <v>1157</v>
      </c>
      <c r="D457" s="20" t="s">
        <v>1158</v>
      </c>
      <c r="E457" s="20" t="s">
        <v>1153</v>
      </c>
      <c r="H457" s="13" t="s">
        <v>18</v>
      </c>
      <c r="I457" s="79" t="s">
        <v>18</v>
      </c>
      <c r="J457" s="79" t="s">
        <v>18</v>
      </c>
      <c r="K457" s="79" t="s">
        <v>18</v>
      </c>
      <c r="L457" s="79" t="s">
        <v>18</v>
      </c>
    </row>
    <row r="458" spans="1:12">
      <c r="A458" s="19"/>
      <c r="B458" s="19" t="s">
        <v>1159</v>
      </c>
      <c r="D458" s="20" t="s">
        <v>1160</v>
      </c>
      <c r="E458" s="20" t="s">
        <v>1156</v>
      </c>
      <c r="H458" s="13" t="s">
        <v>18</v>
      </c>
      <c r="I458" s="79" t="s">
        <v>18</v>
      </c>
      <c r="J458" s="79" t="s">
        <v>18</v>
      </c>
      <c r="K458" s="79" t="s">
        <v>18</v>
      </c>
      <c r="L458" s="79" t="s">
        <v>18</v>
      </c>
    </row>
    <row r="459" spans="1:12">
      <c r="A459" s="19"/>
      <c r="B459" s="19" t="s">
        <v>1161</v>
      </c>
      <c r="C459" s="19" t="s">
        <v>1162</v>
      </c>
      <c r="D459" s="20" t="s">
        <v>1163</v>
      </c>
      <c r="E459" s="20" t="s">
        <v>1164</v>
      </c>
      <c r="H459" s="13" t="s">
        <v>18</v>
      </c>
      <c r="I459" s="79" t="s">
        <v>18</v>
      </c>
      <c r="J459" s="79" t="s">
        <v>18</v>
      </c>
      <c r="K459" s="79" t="s">
        <v>18</v>
      </c>
      <c r="L459" s="79" t="s">
        <v>18</v>
      </c>
    </row>
    <row r="460" spans="1:12">
      <c r="A460" s="19"/>
      <c r="B460" s="19" t="s">
        <v>1165</v>
      </c>
      <c r="D460" s="20" t="s">
        <v>1166</v>
      </c>
      <c r="E460" s="20" t="s">
        <v>1167</v>
      </c>
      <c r="H460" s="13" t="s">
        <v>18</v>
      </c>
      <c r="I460" s="79" t="s">
        <v>18</v>
      </c>
      <c r="J460" s="79" t="s">
        <v>18</v>
      </c>
      <c r="K460" s="79" t="s">
        <v>18</v>
      </c>
      <c r="L460" s="79" t="s">
        <v>18</v>
      </c>
    </row>
    <row r="461" spans="1:12">
      <c r="A461" s="19"/>
      <c r="B461" s="19" t="s">
        <v>1168</v>
      </c>
      <c r="D461" s="20" t="s">
        <v>1169</v>
      </c>
      <c r="E461" s="20" t="s">
        <v>1170</v>
      </c>
      <c r="H461" s="13" t="s">
        <v>18</v>
      </c>
      <c r="I461" s="79" t="s">
        <v>18</v>
      </c>
      <c r="J461" s="79" t="s">
        <v>18</v>
      </c>
      <c r="K461" s="79" t="s">
        <v>18</v>
      </c>
      <c r="L461" s="79" t="s">
        <v>18</v>
      </c>
    </row>
    <row r="462" spans="1:12">
      <c r="A462" s="19"/>
      <c r="B462" s="19" t="s">
        <v>1171</v>
      </c>
      <c r="D462" s="20" t="s">
        <v>1172</v>
      </c>
      <c r="E462" s="20" t="s">
        <v>1173</v>
      </c>
      <c r="H462" s="13" t="s">
        <v>18</v>
      </c>
      <c r="I462" s="79" t="s">
        <v>18</v>
      </c>
      <c r="J462" s="79" t="s">
        <v>18</v>
      </c>
      <c r="K462" s="79" t="s">
        <v>18</v>
      </c>
      <c r="L462" s="79" t="s">
        <v>18</v>
      </c>
    </row>
    <row r="463" spans="1:12">
      <c r="A463" s="19"/>
      <c r="B463" s="19" t="s">
        <v>1174</v>
      </c>
      <c r="D463" s="20" t="s">
        <v>1172</v>
      </c>
      <c r="E463" s="20" t="s">
        <v>1175</v>
      </c>
      <c r="H463" s="13" t="s">
        <v>18</v>
      </c>
      <c r="I463" s="79" t="s">
        <v>18</v>
      </c>
      <c r="J463" s="79" t="s">
        <v>18</v>
      </c>
      <c r="K463" s="79" t="s">
        <v>18</v>
      </c>
      <c r="L463" s="79" t="s">
        <v>18</v>
      </c>
    </row>
    <row r="464" spans="1:12">
      <c r="A464" s="19"/>
      <c r="B464" s="19" t="s">
        <v>1176</v>
      </c>
      <c r="C464" s="19" t="s">
        <v>1177</v>
      </c>
      <c r="D464" s="20" t="s">
        <v>1178</v>
      </c>
      <c r="E464" s="20" t="s">
        <v>1179</v>
      </c>
      <c r="H464" s="13" t="s">
        <v>18</v>
      </c>
      <c r="I464" s="79" t="s">
        <v>18</v>
      </c>
      <c r="J464" s="79" t="s">
        <v>18</v>
      </c>
      <c r="K464" s="79" t="s">
        <v>18</v>
      </c>
      <c r="L464" s="79" t="s">
        <v>18</v>
      </c>
    </row>
    <row r="465" spans="1:12">
      <c r="A465" s="19"/>
      <c r="B465" s="19" t="s">
        <v>1180</v>
      </c>
      <c r="D465" s="20" t="s">
        <v>1181</v>
      </c>
      <c r="E465" s="20" t="s">
        <v>1182</v>
      </c>
      <c r="H465" s="13" t="s">
        <v>18</v>
      </c>
      <c r="I465" s="79" t="s">
        <v>18</v>
      </c>
      <c r="J465" s="79" t="s">
        <v>18</v>
      </c>
      <c r="K465" s="79" t="s">
        <v>18</v>
      </c>
      <c r="L465" s="79" t="s">
        <v>18</v>
      </c>
    </row>
    <row r="466" spans="1:12">
      <c r="A466" s="19"/>
      <c r="B466" s="19" t="s">
        <v>1183</v>
      </c>
      <c r="D466" s="20" t="s">
        <v>1184</v>
      </c>
      <c r="E466" s="20" t="s">
        <v>1185</v>
      </c>
      <c r="H466" s="13" t="s">
        <v>18</v>
      </c>
      <c r="I466" s="79" t="s">
        <v>18</v>
      </c>
      <c r="J466" s="79" t="s">
        <v>18</v>
      </c>
      <c r="K466" s="79" t="s">
        <v>18</v>
      </c>
      <c r="L466" s="79" t="s">
        <v>18</v>
      </c>
    </row>
    <row r="467" spans="1:12">
      <c r="A467" s="19"/>
      <c r="B467" s="19" t="s">
        <v>1186</v>
      </c>
      <c r="D467" s="20" t="s">
        <v>1187</v>
      </c>
      <c r="E467" s="20" t="s">
        <v>1188</v>
      </c>
      <c r="H467" s="13" t="s">
        <v>18</v>
      </c>
      <c r="I467" s="79" t="s">
        <v>18</v>
      </c>
      <c r="J467" s="79" t="s">
        <v>18</v>
      </c>
      <c r="K467" s="79" t="s">
        <v>18</v>
      </c>
      <c r="L467" s="79" t="s">
        <v>18</v>
      </c>
    </row>
    <row r="468" spans="1:13">
      <c r="A468" s="18"/>
      <c r="B468" s="18"/>
      <c r="C468" s="124"/>
      <c r="D468" s="121"/>
      <c r="E468" s="121"/>
      <c r="F468" s="18"/>
      <c r="G468" s="18"/>
      <c r="H468" s="18"/>
      <c r="I468" s="124"/>
      <c r="J468" s="18"/>
      <c r="K468" s="18"/>
      <c r="L468" s="18"/>
      <c r="M468" s="121"/>
    </row>
    <row r="469" spans="1:13">
      <c r="A469" s="18"/>
      <c r="B469" s="18"/>
      <c r="C469" s="124"/>
      <c r="D469" s="121"/>
      <c r="E469" s="121"/>
      <c r="F469" s="18"/>
      <c r="G469" s="18"/>
      <c r="H469" s="18"/>
      <c r="I469" s="124"/>
      <c r="J469" s="18"/>
      <c r="K469" s="18"/>
      <c r="L469" s="18"/>
      <c r="M469" s="121"/>
    </row>
    <row r="470" spans="1:13">
      <c r="A470" s="18"/>
      <c r="B470" s="18"/>
      <c r="C470" s="124"/>
      <c r="D470" s="121"/>
      <c r="E470" s="121"/>
      <c r="F470" s="18"/>
      <c r="G470" s="18"/>
      <c r="H470" s="18"/>
      <c r="I470" s="124"/>
      <c r="J470" s="18"/>
      <c r="K470" s="18"/>
      <c r="L470" s="18"/>
      <c r="M470" s="121"/>
    </row>
    <row r="471" spans="1:13">
      <c r="A471" s="18"/>
      <c r="B471" s="18"/>
      <c r="C471" s="124"/>
      <c r="D471" s="121"/>
      <c r="E471" s="121"/>
      <c r="F471" s="18"/>
      <c r="G471" s="18"/>
      <c r="H471" s="18"/>
      <c r="I471" s="124"/>
      <c r="J471" s="18"/>
      <c r="K471" s="18"/>
      <c r="L471" s="18"/>
      <c r="M471" s="121"/>
    </row>
    <row r="472" spans="1:13">
      <c r="A472" s="18"/>
      <c r="B472" s="18"/>
      <c r="C472" s="124"/>
      <c r="D472" s="121"/>
      <c r="E472" s="121"/>
      <c r="F472" s="18"/>
      <c r="G472" s="18"/>
      <c r="H472" s="18"/>
      <c r="I472" s="124"/>
      <c r="J472" s="18"/>
      <c r="K472" s="18"/>
      <c r="L472" s="18"/>
      <c r="M472" s="121"/>
    </row>
    <row r="473" spans="1:13">
      <c r="A473" s="18"/>
      <c r="B473" s="18"/>
      <c r="C473" s="124"/>
      <c r="D473" s="121"/>
      <c r="E473" s="121"/>
      <c r="F473" s="18"/>
      <c r="G473" s="18"/>
      <c r="H473" s="18"/>
      <c r="I473" s="124"/>
      <c r="J473" s="18"/>
      <c r="K473" s="18"/>
      <c r="L473" s="18"/>
      <c r="M473" s="121"/>
    </row>
    <row r="474" spans="1:13">
      <c r="A474" s="18"/>
      <c r="B474" s="18"/>
      <c r="C474" s="124"/>
      <c r="D474" s="121"/>
      <c r="E474" s="121"/>
      <c r="F474" s="18"/>
      <c r="G474" s="18"/>
      <c r="H474" s="18"/>
      <c r="I474" s="124"/>
      <c r="J474" s="18"/>
      <c r="K474" s="18"/>
      <c r="L474" s="18"/>
      <c r="M474" s="121"/>
    </row>
    <row r="475" spans="1:13">
      <c r="A475" s="18"/>
      <c r="B475" s="18"/>
      <c r="C475" s="124"/>
      <c r="D475" s="121"/>
      <c r="E475" s="121"/>
      <c r="F475" s="18"/>
      <c r="G475" s="18"/>
      <c r="H475" s="18"/>
      <c r="I475" s="124"/>
      <c r="J475" s="18"/>
      <c r="K475" s="18"/>
      <c r="L475" s="18"/>
      <c r="M475" s="121"/>
    </row>
    <row r="476" spans="1:13">
      <c r="A476" s="18"/>
      <c r="B476" s="18"/>
      <c r="C476" s="124"/>
      <c r="D476" s="121"/>
      <c r="E476" s="121"/>
      <c r="F476" s="18"/>
      <c r="G476" s="18"/>
      <c r="H476" s="18"/>
      <c r="I476" s="124"/>
      <c r="J476" s="18"/>
      <c r="K476" s="18"/>
      <c r="L476" s="18"/>
      <c r="M476" s="121"/>
    </row>
    <row r="477" spans="1:13">
      <c r="A477" s="18"/>
      <c r="B477" s="18"/>
      <c r="C477" s="124"/>
      <c r="D477" s="121"/>
      <c r="E477" s="121"/>
      <c r="F477" s="18"/>
      <c r="G477" s="18"/>
      <c r="H477" s="18"/>
      <c r="I477" s="124"/>
      <c r="J477" s="18"/>
      <c r="K477" s="18"/>
      <c r="L477" s="18"/>
      <c r="M477" s="121"/>
    </row>
    <row r="478" spans="1:13">
      <c r="A478" s="18"/>
      <c r="B478" s="18"/>
      <c r="C478" s="124"/>
      <c r="D478" s="121"/>
      <c r="E478" s="121"/>
      <c r="F478" s="18"/>
      <c r="G478" s="18"/>
      <c r="H478" s="18"/>
      <c r="I478" s="124"/>
      <c r="J478" s="18"/>
      <c r="K478" s="18"/>
      <c r="L478" s="18"/>
      <c r="M478" s="121"/>
    </row>
    <row r="479" spans="1:13">
      <c r="A479" s="18"/>
      <c r="B479" s="18"/>
      <c r="C479" s="124"/>
      <c r="D479" s="121"/>
      <c r="E479" s="121"/>
      <c r="F479" s="18"/>
      <c r="G479" s="18"/>
      <c r="H479" s="18"/>
      <c r="I479" s="124"/>
      <c r="J479" s="18"/>
      <c r="K479" s="18"/>
      <c r="L479" s="18"/>
      <c r="M479" s="121"/>
    </row>
    <row r="480" spans="1:13">
      <c r="A480" s="18"/>
      <c r="B480" s="18"/>
      <c r="C480" s="124"/>
      <c r="D480" s="121"/>
      <c r="E480" s="121"/>
      <c r="F480" s="18"/>
      <c r="G480" s="18"/>
      <c r="H480" s="18"/>
      <c r="I480" s="124"/>
      <c r="J480" s="18"/>
      <c r="K480" s="18"/>
      <c r="L480" s="18"/>
      <c r="M480" s="121"/>
    </row>
    <row r="481" spans="1:13">
      <c r="A481" s="18"/>
      <c r="B481" s="18"/>
      <c r="C481" s="124"/>
      <c r="D481" s="121"/>
      <c r="E481" s="121"/>
      <c r="F481" s="18"/>
      <c r="G481" s="18"/>
      <c r="H481" s="18"/>
      <c r="I481" s="124"/>
      <c r="J481" s="18"/>
      <c r="K481" s="18"/>
      <c r="L481" s="18"/>
      <c r="M481" s="121"/>
    </row>
    <row r="482" spans="1:13">
      <c r="A482" s="18"/>
      <c r="B482" s="18"/>
      <c r="C482" s="124"/>
      <c r="D482" s="121"/>
      <c r="E482" s="121"/>
      <c r="F482" s="18"/>
      <c r="G482" s="18"/>
      <c r="H482" s="18"/>
      <c r="I482" s="124"/>
      <c r="J482" s="18"/>
      <c r="K482" s="18"/>
      <c r="L482" s="18"/>
      <c r="M482" s="121"/>
    </row>
    <row r="483" spans="1:13">
      <c r="A483" s="18"/>
      <c r="B483" s="18"/>
      <c r="C483" s="124"/>
      <c r="D483" s="121"/>
      <c r="E483" s="121"/>
      <c r="F483" s="18"/>
      <c r="G483" s="18"/>
      <c r="H483" s="18"/>
      <c r="I483" s="124"/>
      <c r="J483" s="18"/>
      <c r="K483" s="18"/>
      <c r="L483" s="18"/>
      <c r="M483" s="121"/>
    </row>
    <row r="484" spans="1:13">
      <c r="A484" s="18"/>
      <c r="B484" s="18"/>
      <c r="C484" s="124"/>
      <c r="D484" s="121"/>
      <c r="E484" s="121"/>
      <c r="F484" s="18"/>
      <c r="G484" s="18"/>
      <c r="H484" s="18"/>
      <c r="I484" s="124"/>
      <c r="J484" s="18"/>
      <c r="K484" s="18"/>
      <c r="L484" s="18"/>
      <c r="M484" s="121"/>
    </row>
    <row r="485" spans="1:13">
      <c r="A485" s="18"/>
      <c r="B485" s="18"/>
      <c r="C485" s="124"/>
      <c r="D485" s="121"/>
      <c r="E485" s="121"/>
      <c r="F485" s="18"/>
      <c r="G485" s="18"/>
      <c r="H485" s="18"/>
      <c r="I485" s="124"/>
      <c r="J485" s="18"/>
      <c r="K485" s="18"/>
      <c r="L485" s="18"/>
      <c r="M485" s="121"/>
    </row>
    <row r="486" spans="1:13">
      <c r="A486" s="18"/>
      <c r="B486" s="18"/>
      <c r="C486" s="124"/>
      <c r="D486" s="121"/>
      <c r="E486" s="121"/>
      <c r="F486" s="18"/>
      <c r="G486" s="18"/>
      <c r="H486" s="18"/>
      <c r="I486" s="124"/>
      <c r="J486" s="18"/>
      <c r="K486" s="18"/>
      <c r="L486" s="18"/>
      <c r="M486" s="121"/>
    </row>
    <row r="487" spans="1:13">
      <c r="A487" s="18"/>
      <c r="B487" s="18"/>
      <c r="C487" s="124"/>
      <c r="D487" s="121"/>
      <c r="E487" s="121"/>
      <c r="F487" s="18"/>
      <c r="G487" s="18"/>
      <c r="H487" s="18"/>
      <c r="I487" s="124"/>
      <c r="J487" s="18"/>
      <c r="K487" s="18"/>
      <c r="L487" s="18"/>
      <c r="M487" s="121"/>
    </row>
    <row r="488" spans="1:13">
      <c r="A488" s="18"/>
      <c r="B488" s="18"/>
      <c r="C488" s="124"/>
      <c r="D488" s="121"/>
      <c r="E488" s="121"/>
      <c r="F488" s="18"/>
      <c r="G488" s="18"/>
      <c r="H488" s="18"/>
      <c r="I488" s="124"/>
      <c r="J488" s="18"/>
      <c r="K488" s="18"/>
      <c r="L488" s="18"/>
      <c r="M488" s="121"/>
    </row>
    <row r="489" spans="1:13">
      <c r="A489" s="18"/>
      <c r="B489" s="18"/>
      <c r="C489" s="124"/>
      <c r="D489" s="121"/>
      <c r="E489" s="121"/>
      <c r="F489" s="18"/>
      <c r="G489" s="18"/>
      <c r="H489" s="18"/>
      <c r="I489" s="124"/>
      <c r="J489" s="18"/>
      <c r="K489" s="18"/>
      <c r="L489" s="18"/>
      <c r="M489" s="121"/>
    </row>
    <row r="490" spans="1:13">
      <c r="A490" s="18"/>
      <c r="B490" s="18"/>
      <c r="C490" s="124"/>
      <c r="D490" s="121"/>
      <c r="E490" s="121"/>
      <c r="F490" s="18"/>
      <c r="G490" s="18"/>
      <c r="H490" s="18"/>
      <c r="I490" s="124"/>
      <c r="J490" s="18"/>
      <c r="K490" s="18"/>
      <c r="L490" s="18"/>
      <c r="M490" s="121"/>
    </row>
    <row r="491" spans="1:13">
      <c r="A491" s="18"/>
      <c r="B491" s="18"/>
      <c r="C491" s="124"/>
      <c r="D491" s="121"/>
      <c r="E491" s="121"/>
      <c r="F491" s="18"/>
      <c r="G491" s="18"/>
      <c r="H491" s="18"/>
      <c r="I491" s="124"/>
      <c r="J491" s="18"/>
      <c r="K491" s="18"/>
      <c r="L491" s="18"/>
      <c r="M491" s="121"/>
    </row>
    <row r="492" spans="1:13">
      <c r="A492" s="18"/>
      <c r="B492" s="18"/>
      <c r="C492" s="124"/>
      <c r="D492" s="121"/>
      <c r="E492" s="121"/>
      <c r="F492" s="18"/>
      <c r="G492" s="18"/>
      <c r="H492" s="18"/>
      <c r="I492" s="124"/>
      <c r="J492" s="18"/>
      <c r="K492" s="18"/>
      <c r="L492" s="18"/>
      <c r="M492" s="121"/>
    </row>
    <row r="493" spans="1:13">
      <c r="A493" s="18"/>
      <c r="B493" s="18"/>
      <c r="C493" s="124"/>
      <c r="D493" s="121"/>
      <c r="E493" s="121"/>
      <c r="F493" s="18"/>
      <c r="G493" s="18"/>
      <c r="H493" s="18"/>
      <c r="I493" s="124"/>
      <c r="J493" s="18"/>
      <c r="K493" s="18"/>
      <c r="L493" s="18"/>
      <c r="M493" s="121"/>
    </row>
    <row r="494" spans="1:13">
      <c r="A494" s="18"/>
      <c r="B494" s="18"/>
      <c r="C494" s="124"/>
      <c r="D494" s="121"/>
      <c r="E494" s="121"/>
      <c r="F494" s="18"/>
      <c r="G494" s="18"/>
      <c r="H494" s="18"/>
      <c r="I494" s="124"/>
      <c r="J494" s="18"/>
      <c r="K494" s="18"/>
      <c r="L494" s="18"/>
      <c r="M494" s="121"/>
    </row>
    <row r="495" spans="1:13">
      <c r="A495" s="18"/>
      <c r="B495" s="18"/>
      <c r="C495" s="124"/>
      <c r="D495" s="121"/>
      <c r="E495" s="121"/>
      <c r="F495" s="18"/>
      <c r="G495" s="18"/>
      <c r="H495" s="18"/>
      <c r="I495" s="124"/>
      <c r="J495" s="18"/>
      <c r="K495" s="18"/>
      <c r="L495" s="18"/>
      <c r="M495" s="121"/>
    </row>
    <row r="496" spans="1:13">
      <c r="A496" s="18"/>
      <c r="B496" s="18"/>
      <c r="C496" s="124"/>
      <c r="D496" s="121"/>
      <c r="E496" s="121"/>
      <c r="F496" s="18"/>
      <c r="G496" s="18"/>
      <c r="H496" s="18"/>
      <c r="I496" s="124"/>
      <c r="J496" s="18"/>
      <c r="K496" s="18"/>
      <c r="L496" s="18"/>
      <c r="M496" s="121"/>
    </row>
    <row r="497" spans="1:13">
      <c r="A497" s="18"/>
      <c r="B497" s="18"/>
      <c r="C497" s="124"/>
      <c r="D497" s="121"/>
      <c r="E497" s="121"/>
      <c r="F497" s="18"/>
      <c r="G497" s="18"/>
      <c r="H497" s="18"/>
      <c r="I497" s="124"/>
      <c r="J497" s="18"/>
      <c r="K497" s="18"/>
      <c r="L497" s="18"/>
      <c r="M497" s="121"/>
    </row>
    <row r="498" spans="1:13">
      <c r="A498" s="18"/>
      <c r="B498" s="18"/>
      <c r="C498" s="124"/>
      <c r="D498" s="121"/>
      <c r="E498" s="121"/>
      <c r="F498" s="18"/>
      <c r="G498" s="18"/>
      <c r="H498" s="18"/>
      <c r="I498" s="124"/>
      <c r="J498" s="18"/>
      <c r="K498" s="18"/>
      <c r="L498" s="18"/>
      <c r="M498" s="121"/>
    </row>
    <row r="499" spans="1:13">
      <c r="A499" s="18"/>
      <c r="B499" s="18"/>
      <c r="C499" s="124"/>
      <c r="D499" s="121"/>
      <c r="E499" s="121"/>
      <c r="F499" s="18"/>
      <c r="G499" s="18"/>
      <c r="H499" s="18"/>
      <c r="I499" s="124"/>
      <c r="J499" s="18"/>
      <c r="K499" s="18"/>
      <c r="L499" s="18"/>
      <c r="M499" s="121"/>
    </row>
    <row r="500" spans="1:13">
      <c r="A500" s="18"/>
      <c r="B500" s="18"/>
      <c r="C500" s="124"/>
      <c r="D500" s="121"/>
      <c r="E500" s="121"/>
      <c r="F500" s="18"/>
      <c r="G500" s="18"/>
      <c r="H500" s="18"/>
      <c r="I500" s="124"/>
      <c r="J500" s="18"/>
      <c r="K500" s="18"/>
      <c r="L500" s="18"/>
      <c r="M500" s="121"/>
    </row>
    <row r="501" spans="1:13">
      <c r="A501" s="18"/>
      <c r="B501" s="18"/>
      <c r="C501" s="124"/>
      <c r="D501" s="121"/>
      <c r="E501" s="121"/>
      <c r="F501" s="18"/>
      <c r="G501" s="18"/>
      <c r="H501" s="18"/>
      <c r="I501" s="124"/>
      <c r="J501" s="18"/>
      <c r="K501" s="18"/>
      <c r="L501" s="18"/>
      <c r="M501" s="121"/>
    </row>
    <row r="502" spans="1:13">
      <c r="A502" s="18"/>
      <c r="B502" s="18"/>
      <c r="C502" s="124"/>
      <c r="D502" s="121"/>
      <c r="E502" s="121"/>
      <c r="F502" s="18"/>
      <c r="G502" s="18"/>
      <c r="H502" s="18"/>
      <c r="I502" s="124"/>
      <c r="J502" s="18"/>
      <c r="K502" s="18"/>
      <c r="L502" s="18"/>
      <c r="M502" s="121"/>
    </row>
    <row r="503" spans="1:13">
      <c r="A503" s="18"/>
      <c r="B503" s="18"/>
      <c r="C503" s="124"/>
      <c r="D503" s="121"/>
      <c r="E503" s="121"/>
      <c r="F503" s="18"/>
      <c r="G503" s="18"/>
      <c r="H503" s="18"/>
      <c r="I503" s="124"/>
      <c r="J503" s="18"/>
      <c r="K503" s="18"/>
      <c r="L503" s="18"/>
      <c r="M503" s="121"/>
    </row>
    <row r="504" spans="1:13">
      <c r="A504" s="18"/>
      <c r="B504" s="18"/>
      <c r="C504" s="124"/>
      <c r="D504" s="121"/>
      <c r="E504" s="121"/>
      <c r="F504" s="18"/>
      <c r="G504" s="18"/>
      <c r="H504" s="18"/>
      <c r="I504" s="124"/>
      <c r="J504" s="18"/>
      <c r="K504" s="18"/>
      <c r="L504" s="18"/>
      <c r="M504" s="121"/>
    </row>
    <row r="505" spans="1:13">
      <c r="A505" s="18"/>
      <c r="B505" s="18"/>
      <c r="C505" s="124"/>
      <c r="D505" s="121"/>
      <c r="E505" s="121"/>
      <c r="F505" s="18"/>
      <c r="G505" s="18"/>
      <c r="H505" s="18"/>
      <c r="I505" s="124"/>
      <c r="J505" s="18"/>
      <c r="K505" s="18"/>
      <c r="L505" s="18"/>
      <c r="M505" s="121"/>
    </row>
    <row r="506" spans="1:13">
      <c r="A506" s="18"/>
      <c r="B506" s="18"/>
      <c r="C506" s="124"/>
      <c r="D506" s="121"/>
      <c r="E506" s="121"/>
      <c r="F506" s="18"/>
      <c r="G506" s="18"/>
      <c r="H506" s="18"/>
      <c r="I506" s="124"/>
      <c r="J506" s="18"/>
      <c r="K506" s="18"/>
      <c r="L506" s="18"/>
      <c r="M506" s="121"/>
    </row>
    <row r="507" spans="1:13">
      <c r="A507" s="18"/>
      <c r="B507" s="18"/>
      <c r="C507" s="124"/>
      <c r="D507" s="121"/>
      <c r="E507" s="121"/>
      <c r="F507" s="18"/>
      <c r="G507" s="18"/>
      <c r="H507" s="18"/>
      <c r="I507" s="124"/>
      <c r="J507" s="18"/>
      <c r="K507" s="18"/>
      <c r="L507" s="18"/>
      <c r="M507" s="121"/>
    </row>
    <row r="508" spans="1:13">
      <c r="A508" s="18"/>
      <c r="B508" s="18"/>
      <c r="C508" s="124"/>
      <c r="D508" s="121"/>
      <c r="E508" s="121"/>
      <c r="F508" s="18"/>
      <c r="G508" s="18"/>
      <c r="H508" s="18"/>
      <c r="I508" s="124"/>
      <c r="J508" s="18"/>
      <c r="K508" s="18"/>
      <c r="L508" s="18"/>
      <c r="M508" s="121"/>
    </row>
    <row r="509" spans="1:13">
      <c r="A509" s="18"/>
      <c r="B509" s="18"/>
      <c r="C509" s="124"/>
      <c r="D509" s="121"/>
      <c r="E509" s="121"/>
      <c r="F509" s="18"/>
      <c r="G509" s="18"/>
      <c r="H509" s="18"/>
      <c r="I509" s="124"/>
      <c r="J509" s="18"/>
      <c r="K509" s="18"/>
      <c r="L509" s="18"/>
      <c r="M509" s="121"/>
    </row>
    <row r="510" spans="1:13">
      <c r="A510" s="18"/>
      <c r="B510" s="18"/>
      <c r="C510" s="124"/>
      <c r="D510" s="121"/>
      <c r="E510" s="121"/>
      <c r="F510" s="18"/>
      <c r="G510" s="18"/>
      <c r="H510" s="18"/>
      <c r="I510" s="124"/>
      <c r="J510" s="18"/>
      <c r="K510" s="18"/>
      <c r="L510" s="18"/>
      <c r="M510" s="121"/>
    </row>
    <row r="511" spans="1:13">
      <c r="A511" s="18"/>
      <c r="B511" s="18"/>
      <c r="C511" s="124"/>
      <c r="D511" s="121"/>
      <c r="E511" s="121"/>
      <c r="F511" s="18"/>
      <c r="G511" s="18"/>
      <c r="H511" s="18"/>
      <c r="I511" s="124"/>
      <c r="J511" s="18"/>
      <c r="K511" s="18"/>
      <c r="L511" s="18"/>
      <c r="M511" s="121"/>
    </row>
    <row r="512" spans="1:13">
      <c r="A512" s="18"/>
      <c r="B512" s="18"/>
      <c r="C512" s="124"/>
      <c r="D512" s="121"/>
      <c r="E512" s="121"/>
      <c r="F512" s="18"/>
      <c r="G512" s="18"/>
      <c r="H512" s="18"/>
      <c r="I512" s="124"/>
      <c r="J512" s="18"/>
      <c r="K512" s="18"/>
      <c r="L512" s="18"/>
      <c r="M512" s="121"/>
    </row>
    <row r="513" spans="1:13">
      <c r="A513" s="18"/>
      <c r="B513" s="18"/>
      <c r="C513" s="124"/>
      <c r="D513" s="121"/>
      <c r="E513" s="121"/>
      <c r="F513" s="18"/>
      <c r="G513" s="18"/>
      <c r="H513" s="18"/>
      <c r="I513" s="124"/>
      <c r="J513" s="18"/>
      <c r="K513" s="18"/>
      <c r="L513" s="18"/>
      <c r="M513" s="121"/>
    </row>
    <row r="514" spans="1:13">
      <c r="A514" s="18"/>
      <c r="B514" s="18"/>
      <c r="C514" s="124"/>
      <c r="D514" s="121"/>
      <c r="E514" s="121"/>
      <c r="F514" s="18"/>
      <c r="G514" s="18"/>
      <c r="H514" s="18"/>
      <c r="I514" s="124"/>
      <c r="J514" s="18"/>
      <c r="K514" s="18"/>
      <c r="L514" s="18"/>
      <c r="M514" s="121"/>
    </row>
    <row r="515" spans="1:13">
      <c r="A515" s="18"/>
      <c r="B515" s="18"/>
      <c r="C515" s="124"/>
      <c r="D515" s="121"/>
      <c r="E515" s="121"/>
      <c r="F515" s="18"/>
      <c r="G515" s="18"/>
      <c r="H515" s="18"/>
      <c r="I515" s="124"/>
      <c r="J515" s="18"/>
      <c r="K515" s="18"/>
      <c r="L515" s="18"/>
      <c r="M515" s="121"/>
    </row>
    <row r="516" spans="1:13">
      <c r="A516" s="18"/>
      <c r="B516" s="18"/>
      <c r="C516" s="124"/>
      <c r="D516" s="121"/>
      <c r="E516" s="121"/>
      <c r="F516" s="18"/>
      <c r="G516" s="18"/>
      <c r="H516" s="18"/>
      <c r="I516" s="124"/>
      <c r="J516" s="18"/>
      <c r="K516" s="18"/>
      <c r="L516" s="18"/>
      <c r="M516" s="121"/>
    </row>
    <row r="517" spans="1:13">
      <c r="A517" s="18"/>
      <c r="B517" s="18"/>
      <c r="C517" s="124"/>
      <c r="D517" s="121"/>
      <c r="E517" s="121"/>
      <c r="F517" s="18"/>
      <c r="G517" s="18"/>
      <c r="H517" s="18"/>
      <c r="I517" s="124"/>
      <c r="J517" s="18"/>
      <c r="K517" s="18"/>
      <c r="L517" s="18"/>
      <c r="M517" s="121"/>
    </row>
    <row r="518" spans="1:13">
      <c r="A518" s="18"/>
      <c r="B518" s="18"/>
      <c r="C518" s="124"/>
      <c r="D518" s="121"/>
      <c r="E518" s="121"/>
      <c r="F518" s="18"/>
      <c r="G518" s="18"/>
      <c r="H518" s="18"/>
      <c r="I518" s="124"/>
      <c r="J518" s="18"/>
      <c r="K518" s="18"/>
      <c r="L518" s="18"/>
      <c r="M518" s="121"/>
    </row>
    <row r="519" spans="1:13">
      <c r="A519" s="18"/>
      <c r="B519" s="18"/>
      <c r="C519" s="124"/>
      <c r="D519" s="121"/>
      <c r="E519" s="121"/>
      <c r="F519" s="18"/>
      <c r="G519" s="18"/>
      <c r="H519" s="18"/>
      <c r="I519" s="124"/>
      <c r="J519" s="18"/>
      <c r="K519" s="18"/>
      <c r="L519" s="18"/>
      <c r="M519" s="121"/>
    </row>
    <row r="520" spans="1:13">
      <c r="A520" s="18"/>
      <c r="B520" s="18"/>
      <c r="C520" s="124"/>
      <c r="D520" s="121"/>
      <c r="E520" s="121"/>
      <c r="F520" s="18"/>
      <c r="G520" s="18"/>
      <c r="H520" s="18"/>
      <c r="I520" s="124"/>
      <c r="J520" s="18"/>
      <c r="K520" s="18"/>
      <c r="L520" s="18"/>
      <c r="M520" s="121"/>
    </row>
    <row r="521" spans="1:13">
      <c r="A521" s="18"/>
      <c r="B521" s="18"/>
      <c r="C521" s="124"/>
      <c r="D521" s="121"/>
      <c r="E521" s="121"/>
      <c r="F521" s="18"/>
      <c r="G521" s="18"/>
      <c r="H521" s="18"/>
      <c r="I521" s="124"/>
      <c r="J521" s="18"/>
      <c r="K521" s="18"/>
      <c r="L521" s="18"/>
      <c r="M521" s="121"/>
    </row>
    <row r="522" spans="1:13">
      <c r="A522" s="18"/>
      <c r="B522" s="18"/>
      <c r="C522" s="124"/>
      <c r="D522" s="121"/>
      <c r="E522" s="121"/>
      <c r="F522" s="18"/>
      <c r="G522" s="18"/>
      <c r="H522" s="18"/>
      <c r="I522" s="124"/>
      <c r="J522" s="18"/>
      <c r="K522" s="18"/>
      <c r="L522" s="18"/>
      <c r="M522" s="121"/>
    </row>
    <row r="523" spans="1:13">
      <c r="A523" s="18"/>
      <c r="B523" s="18"/>
      <c r="C523" s="124"/>
      <c r="D523" s="121"/>
      <c r="E523" s="121"/>
      <c r="F523" s="18"/>
      <c r="G523" s="18"/>
      <c r="H523" s="18"/>
      <c r="I523" s="124"/>
      <c r="J523" s="18"/>
      <c r="K523" s="18"/>
      <c r="L523" s="18"/>
      <c r="M523" s="121"/>
    </row>
    <row r="524" spans="1:13">
      <c r="A524" s="18"/>
      <c r="B524" s="18"/>
      <c r="C524" s="124"/>
      <c r="D524" s="121"/>
      <c r="E524" s="121"/>
      <c r="F524" s="18"/>
      <c r="G524" s="18"/>
      <c r="H524" s="18"/>
      <c r="I524" s="124"/>
      <c r="J524" s="18"/>
      <c r="K524" s="18"/>
      <c r="L524" s="18"/>
      <c r="M524" s="121"/>
    </row>
    <row r="525" spans="1:13">
      <c r="A525" s="18"/>
      <c r="B525" s="18"/>
      <c r="C525" s="124"/>
      <c r="D525" s="121"/>
      <c r="E525" s="121"/>
      <c r="F525" s="18"/>
      <c r="G525" s="18"/>
      <c r="H525" s="18"/>
      <c r="I525" s="124"/>
      <c r="J525" s="18"/>
      <c r="K525" s="18"/>
      <c r="L525" s="18"/>
      <c r="M525" s="121"/>
    </row>
    <row r="526" spans="1:13">
      <c r="A526" s="18"/>
      <c r="B526" s="18"/>
      <c r="C526" s="124"/>
      <c r="D526" s="121"/>
      <c r="E526" s="121"/>
      <c r="F526" s="18"/>
      <c r="G526" s="18"/>
      <c r="H526" s="18"/>
      <c r="I526" s="124"/>
      <c r="J526" s="18"/>
      <c r="K526" s="18"/>
      <c r="L526" s="18"/>
      <c r="M526" s="121"/>
    </row>
    <row r="527" spans="1:13">
      <c r="A527" s="18"/>
      <c r="B527" s="18"/>
      <c r="C527" s="124"/>
      <c r="D527" s="121"/>
      <c r="E527" s="121"/>
      <c r="F527" s="18"/>
      <c r="G527" s="18"/>
      <c r="H527" s="18"/>
      <c r="I527" s="124"/>
      <c r="J527" s="18"/>
      <c r="K527" s="18"/>
      <c r="L527" s="18"/>
      <c r="M527" s="121"/>
    </row>
    <row r="528" spans="1:13">
      <c r="A528" s="18"/>
      <c r="B528" s="18"/>
      <c r="C528" s="124"/>
      <c r="D528" s="121"/>
      <c r="E528" s="121"/>
      <c r="F528" s="18"/>
      <c r="G528" s="18"/>
      <c r="H528" s="18"/>
      <c r="I528" s="124"/>
      <c r="J528" s="18"/>
      <c r="K528" s="18"/>
      <c r="L528" s="18"/>
      <c r="M528" s="121"/>
    </row>
    <row r="529" spans="1:13">
      <c r="A529" s="18"/>
      <c r="B529" s="18"/>
      <c r="C529" s="124"/>
      <c r="D529" s="121"/>
      <c r="E529" s="121"/>
      <c r="F529" s="18"/>
      <c r="G529" s="18"/>
      <c r="H529" s="18"/>
      <c r="I529" s="124"/>
      <c r="J529" s="18"/>
      <c r="K529" s="18"/>
      <c r="L529" s="18"/>
      <c r="M529" s="121"/>
    </row>
    <row r="530" spans="1:13">
      <c r="A530" s="18"/>
      <c r="B530" s="18"/>
      <c r="C530" s="124"/>
      <c r="D530" s="121"/>
      <c r="E530" s="121"/>
      <c r="F530" s="18"/>
      <c r="G530" s="18"/>
      <c r="H530" s="18"/>
      <c r="I530" s="124"/>
      <c r="J530" s="18"/>
      <c r="K530" s="18"/>
      <c r="L530" s="18"/>
      <c r="M530" s="121"/>
    </row>
    <row r="531" spans="1:13">
      <c r="A531" s="18"/>
      <c r="B531" s="18"/>
      <c r="C531" s="124"/>
      <c r="D531" s="121"/>
      <c r="E531" s="121"/>
      <c r="F531" s="18"/>
      <c r="G531" s="18"/>
      <c r="H531" s="18"/>
      <c r="I531" s="124"/>
      <c r="J531" s="18"/>
      <c r="K531" s="18"/>
      <c r="L531" s="18"/>
      <c r="M531" s="121"/>
    </row>
    <row r="532" spans="1:13">
      <c r="A532" s="18"/>
      <c r="B532" s="18"/>
      <c r="C532" s="124"/>
      <c r="D532" s="121"/>
      <c r="E532" s="121"/>
      <c r="F532" s="18"/>
      <c r="G532" s="18"/>
      <c r="H532" s="18"/>
      <c r="I532" s="124"/>
      <c r="J532" s="18"/>
      <c r="K532" s="18"/>
      <c r="L532" s="18"/>
      <c r="M532" s="121"/>
    </row>
    <row r="533" spans="1:13">
      <c r="A533" s="18"/>
      <c r="B533" s="18"/>
      <c r="C533" s="124"/>
      <c r="D533" s="121"/>
      <c r="E533" s="121"/>
      <c r="F533" s="18"/>
      <c r="G533" s="18"/>
      <c r="H533" s="18"/>
      <c r="I533" s="124"/>
      <c r="J533" s="18"/>
      <c r="K533" s="18"/>
      <c r="L533" s="18"/>
      <c r="M533" s="121"/>
    </row>
    <row r="534" spans="1:13">
      <c r="A534" s="18"/>
      <c r="B534" s="18"/>
      <c r="C534" s="124"/>
      <c r="D534" s="121"/>
      <c r="E534" s="121"/>
      <c r="F534" s="18"/>
      <c r="G534" s="18"/>
      <c r="H534" s="18"/>
      <c r="I534" s="124"/>
      <c r="J534" s="18"/>
      <c r="K534" s="18"/>
      <c r="L534" s="18"/>
      <c r="M534" s="121"/>
    </row>
    <row r="535" spans="1:13">
      <c r="A535" s="18"/>
      <c r="B535" s="18"/>
      <c r="C535" s="124"/>
      <c r="D535" s="121"/>
      <c r="E535" s="121"/>
      <c r="F535" s="18"/>
      <c r="G535" s="18"/>
      <c r="H535" s="18"/>
      <c r="I535" s="124"/>
      <c r="J535" s="18"/>
      <c r="K535" s="18"/>
      <c r="L535" s="18"/>
      <c r="M535" s="121"/>
    </row>
    <row r="536" spans="1:13">
      <c r="A536" s="18"/>
      <c r="B536" s="18"/>
      <c r="C536" s="124"/>
      <c r="D536" s="121"/>
      <c r="E536" s="121"/>
      <c r="F536" s="18"/>
      <c r="G536" s="18"/>
      <c r="H536" s="18"/>
      <c r="I536" s="124"/>
      <c r="J536" s="18"/>
      <c r="K536" s="18"/>
      <c r="L536" s="18"/>
      <c r="M536" s="121"/>
    </row>
    <row r="537" spans="1:13">
      <c r="A537" s="18"/>
      <c r="B537" s="18"/>
      <c r="C537" s="124"/>
      <c r="D537" s="121"/>
      <c r="E537" s="121"/>
      <c r="F537" s="18"/>
      <c r="G537" s="18"/>
      <c r="H537" s="18"/>
      <c r="I537" s="124"/>
      <c r="J537" s="18"/>
      <c r="K537" s="18"/>
      <c r="L537" s="18"/>
      <c r="M537" s="121"/>
    </row>
    <row r="538" spans="1:13">
      <c r="A538" s="18"/>
      <c r="B538" s="18"/>
      <c r="C538" s="124"/>
      <c r="D538" s="121"/>
      <c r="E538" s="121"/>
      <c r="F538" s="18"/>
      <c r="G538" s="18"/>
      <c r="H538" s="18"/>
      <c r="I538" s="124"/>
      <c r="J538" s="18"/>
      <c r="K538" s="18"/>
      <c r="L538" s="18"/>
      <c r="M538" s="121"/>
    </row>
    <row r="539" spans="1:13">
      <c r="A539" s="18"/>
      <c r="B539" s="18"/>
      <c r="C539" s="124"/>
      <c r="D539" s="121"/>
      <c r="E539" s="121"/>
      <c r="F539" s="18"/>
      <c r="G539" s="18"/>
      <c r="H539" s="18"/>
      <c r="I539" s="124"/>
      <c r="J539" s="18"/>
      <c r="K539" s="18"/>
      <c r="L539" s="18"/>
      <c r="M539" s="121"/>
    </row>
    <row r="540" spans="1:13">
      <c r="A540" s="18"/>
      <c r="B540" s="18"/>
      <c r="C540" s="124"/>
      <c r="D540" s="121"/>
      <c r="E540" s="121"/>
      <c r="F540" s="18"/>
      <c r="G540" s="18"/>
      <c r="H540" s="18"/>
      <c r="I540" s="124"/>
      <c r="J540" s="18"/>
      <c r="K540" s="18"/>
      <c r="L540" s="18"/>
      <c r="M540" s="121"/>
    </row>
    <row r="541" spans="1:13">
      <c r="A541" s="18"/>
      <c r="B541" s="18"/>
      <c r="C541" s="124"/>
      <c r="D541" s="121"/>
      <c r="E541" s="121"/>
      <c r="F541" s="18"/>
      <c r="G541" s="18"/>
      <c r="H541" s="18"/>
      <c r="I541" s="124"/>
      <c r="J541" s="18"/>
      <c r="K541" s="18"/>
      <c r="L541" s="18"/>
      <c r="M541" s="121"/>
    </row>
    <row r="542" spans="1:13">
      <c r="A542" s="18"/>
      <c r="B542" s="18"/>
      <c r="C542" s="124"/>
      <c r="D542" s="121"/>
      <c r="E542" s="121"/>
      <c r="F542" s="18"/>
      <c r="G542" s="18"/>
      <c r="H542" s="18"/>
      <c r="I542" s="124"/>
      <c r="J542" s="18"/>
      <c r="K542" s="18"/>
      <c r="L542" s="18"/>
      <c r="M542" s="121"/>
    </row>
    <row r="543" spans="1:13">
      <c r="A543" s="18"/>
      <c r="B543" s="18"/>
      <c r="C543" s="124"/>
      <c r="D543" s="121"/>
      <c r="E543" s="121"/>
      <c r="F543" s="18"/>
      <c r="G543" s="18"/>
      <c r="H543" s="18"/>
      <c r="I543" s="124"/>
      <c r="J543" s="18"/>
      <c r="K543" s="18"/>
      <c r="L543" s="18"/>
      <c r="M543" s="121"/>
    </row>
    <row r="544" spans="1:13">
      <c r="A544" s="18"/>
      <c r="B544" s="18"/>
      <c r="C544" s="124"/>
      <c r="D544" s="121"/>
      <c r="E544" s="121"/>
      <c r="F544" s="18"/>
      <c r="G544" s="18"/>
      <c r="H544" s="18"/>
      <c r="I544" s="124"/>
      <c r="J544" s="18"/>
      <c r="K544" s="18"/>
      <c r="L544" s="18"/>
      <c r="M544" s="121"/>
    </row>
    <row r="545" spans="1:13">
      <c r="A545" s="18"/>
      <c r="B545" s="18"/>
      <c r="C545" s="124"/>
      <c r="D545" s="121"/>
      <c r="E545" s="121"/>
      <c r="F545" s="18"/>
      <c r="G545" s="18"/>
      <c r="H545" s="18"/>
      <c r="I545" s="124"/>
      <c r="J545" s="18"/>
      <c r="K545" s="18"/>
      <c r="L545" s="18"/>
      <c r="M545" s="121"/>
    </row>
    <row r="546" spans="1:13">
      <c r="A546" s="18"/>
      <c r="B546" s="18"/>
      <c r="C546" s="124"/>
      <c r="D546" s="121"/>
      <c r="E546" s="121"/>
      <c r="F546" s="18"/>
      <c r="G546" s="18"/>
      <c r="H546" s="18"/>
      <c r="I546" s="124"/>
      <c r="J546" s="18"/>
      <c r="K546" s="18"/>
      <c r="L546" s="18"/>
      <c r="M546" s="121"/>
    </row>
    <row r="547" spans="1:13">
      <c r="A547" s="18"/>
      <c r="B547" s="18"/>
      <c r="C547" s="124"/>
      <c r="D547" s="121"/>
      <c r="E547" s="121"/>
      <c r="F547" s="18"/>
      <c r="G547" s="18"/>
      <c r="H547" s="18"/>
      <c r="I547" s="124"/>
      <c r="J547" s="18"/>
      <c r="K547" s="18"/>
      <c r="L547" s="18"/>
      <c r="M547" s="121"/>
    </row>
    <row r="548" spans="1:13">
      <c r="A548" s="18"/>
      <c r="B548" s="18"/>
      <c r="C548" s="124"/>
      <c r="D548" s="121"/>
      <c r="E548" s="121"/>
      <c r="F548" s="18"/>
      <c r="G548" s="18"/>
      <c r="H548" s="18"/>
      <c r="I548" s="124"/>
      <c r="J548" s="18"/>
      <c r="K548" s="18"/>
      <c r="L548" s="18"/>
      <c r="M548" s="121"/>
    </row>
    <row r="549" spans="1:13">
      <c r="A549" s="18"/>
      <c r="B549" s="18"/>
      <c r="C549" s="124"/>
      <c r="D549" s="121"/>
      <c r="E549" s="121"/>
      <c r="F549" s="18"/>
      <c r="G549" s="18"/>
      <c r="H549" s="18"/>
      <c r="I549" s="124"/>
      <c r="J549" s="18"/>
      <c r="K549" s="18"/>
      <c r="L549" s="18"/>
      <c r="M549" s="121"/>
    </row>
    <row r="550" spans="1:13">
      <c r="A550" s="18"/>
      <c r="B550" s="18"/>
      <c r="C550" s="124"/>
      <c r="D550" s="121"/>
      <c r="E550" s="121"/>
      <c r="F550" s="18"/>
      <c r="G550" s="18"/>
      <c r="H550" s="18"/>
      <c r="I550" s="124"/>
      <c r="J550" s="18"/>
      <c r="K550" s="18"/>
      <c r="L550" s="18"/>
      <c r="M550" s="121"/>
    </row>
    <row r="551" spans="1:13">
      <c r="A551" s="18"/>
      <c r="B551" s="18"/>
      <c r="C551" s="124"/>
      <c r="D551" s="121"/>
      <c r="E551" s="121"/>
      <c r="F551" s="18"/>
      <c r="G551" s="18"/>
      <c r="H551" s="18"/>
      <c r="I551" s="124"/>
      <c r="J551" s="18"/>
      <c r="K551" s="18"/>
      <c r="L551" s="18"/>
      <c r="M551" s="121"/>
    </row>
    <row r="552" spans="1:13">
      <c r="A552" s="18"/>
      <c r="B552" s="18"/>
      <c r="C552" s="124"/>
      <c r="D552" s="121"/>
      <c r="E552" s="121"/>
      <c r="F552" s="18"/>
      <c r="G552" s="18"/>
      <c r="H552" s="18"/>
      <c r="I552" s="124"/>
      <c r="J552" s="18"/>
      <c r="K552" s="18"/>
      <c r="L552" s="18"/>
      <c r="M552" s="121"/>
    </row>
    <row r="553" spans="1:13">
      <c r="A553" s="18"/>
      <c r="B553" s="18"/>
      <c r="C553" s="124"/>
      <c r="D553" s="121"/>
      <c r="E553" s="121"/>
      <c r="F553" s="18"/>
      <c r="G553" s="18"/>
      <c r="H553" s="18"/>
      <c r="I553" s="124"/>
      <c r="J553" s="18"/>
      <c r="K553" s="18"/>
      <c r="L553" s="18"/>
      <c r="M553" s="121"/>
    </row>
    <row r="554" spans="1:13">
      <c r="A554" s="18"/>
      <c r="B554" s="18"/>
      <c r="C554" s="124"/>
      <c r="D554" s="121"/>
      <c r="E554" s="121"/>
      <c r="F554" s="18"/>
      <c r="G554" s="18"/>
      <c r="H554" s="18"/>
      <c r="I554" s="124"/>
      <c r="J554" s="18"/>
      <c r="K554" s="18"/>
      <c r="L554" s="18"/>
      <c r="M554" s="121"/>
    </row>
    <row r="555" spans="1:13">
      <c r="A555" s="18"/>
      <c r="B555" s="18"/>
      <c r="C555" s="124"/>
      <c r="D555" s="121"/>
      <c r="E555" s="121"/>
      <c r="F555" s="18"/>
      <c r="G555" s="18"/>
      <c r="H555" s="18"/>
      <c r="I555" s="124"/>
      <c r="J555" s="18"/>
      <c r="K555" s="18"/>
      <c r="L555" s="18"/>
      <c r="M555" s="121"/>
    </row>
    <row r="556" spans="1:13">
      <c r="A556" s="18"/>
      <c r="B556" s="18"/>
      <c r="C556" s="124"/>
      <c r="D556" s="121"/>
      <c r="E556" s="121"/>
      <c r="F556" s="18"/>
      <c r="G556" s="18"/>
      <c r="H556" s="18"/>
      <c r="I556" s="124"/>
      <c r="J556" s="18"/>
      <c r="K556" s="18"/>
      <c r="L556" s="18"/>
      <c r="M556" s="121"/>
    </row>
    <row r="557" spans="1:13">
      <c r="A557" s="18"/>
      <c r="B557" s="18"/>
      <c r="C557" s="124"/>
      <c r="D557" s="121"/>
      <c r="E557" s="121"/>
      <c r="F557" s="18"/>
      <c r="G557" s="18"/>
      <c r="H557" s="18"/>
      <c r="I557" s="124"/>
      <c r="J557" s="18"/>
      <c r="K557" s="18"/>
      <c r="L557" s="18"/>
      <c r="M557" s="121"/>
    </row>
    <row r="558" spans="1:13">
      <c r="A558" s="18"/>
      <c r="B558" s="18"/>
      <c r="C558" s="124"/>
      <c r="D558" s="121"/>
      <c r="E558" s="121"/>
      <c r="F558" s="18"/>
      <c r="G558" s="18"/>
      <c r="H558" s="18"/>
      <c r="I558" s="124"/>
      <c r="J558" s="18"/>
      <c r="K558" s="18"/>
      <c r="L558" s="18"/>
      <c r="M558" s="121"/>
    </row>
    <row r="559" spans="1:13">
      <c r="A559" s="18"/>
      <c r="B559" s="18"/>
      <c r="C559" s="124"/>
      <c r="D559" s="121"/>
      <c r="E559" s="121"/>
      <c r="F559" s="18"/>
      <c r="G559" s="18"/>
      <c r="H559" s="18"/>
      <c r="I559" s="124"/>
      <c r="J559" s="18"/>
      <c r="K559" s="18"/>
      <c r="L559" s="18"/>
      <c r="M559" s="121"/>
    </row>
    <row r="560" spans="1:13">
      <c r="A560" s="18"/>
      <c r="B560" s="18"/>
      <c r="C560" s="124"/>
      <c r="D560" s="121"/>
      <c r="E560" s="121"/>
      <c r="F560" s="18"/>
      <c r="G560" s="18"/>
      <c r="H560" s="18"/>
      <c r="I560" s="124"/>
      <c r="J560" s="18"/>
      <c r="K560" s="18"/>
      <c r="L560" s="18"/>
      <c r="M560" s="121"/>
    </row>
    <row r="561" spans="1:13">
      <c r="A561" s="18"/>
      <c r="B561" s="18"/>
      <c r="C561" s="124"/>
      <c r="D561" s="121"/>
      <c r="E561" s="121"/>
      <c r="F561" s="18"/>
      <c r="G561" s="18"/>
      <c r="H561" s="18"/>
      <c r="I561" s="124"/>
      <c r="J561" s="18"/>
      <c r="K561" s="18"/>
      <c r="L561" s="18"/>
      <c r="M561" s="121"/>
    </row>
    <row r="562" spans="1:13">
      <c r="A562" s="18"/>
      <c r="B562" s="18"/>
      <c r="C562" s="124"/>
      <c r="D562" s="121"/>
      <c r="E562" s="121"/>
      <c r="F562" s="18"/>
      <c r="G562" s="18"/>
      <c r="H562" s="18"/>
      <c r="I562" s="124"/>
      <c r="J562" s="18"/>
      <c r="K562" s="18"/>
      <c r="L562" s="18"/>
      <c r="M562" s="121"/>
    </row>
    <row r="563" spans="1:13">
      <c r="A563" s="18"/>
      <c r="B563" s="18"/>
      <c r="C563" s="124"/>
      <c r="D563" s="121"/>
      <c r="E563" s="121"/>
      <c r="F563" s="18"/>
      <c r="G563" s="18"/>
      <c r="H563" s="18"/>
      <c r="I563" s="124"/>
      <c r="J563" s="18"/>
      <c r="K563" s="18"/>
      <c r="L563" s="18"/>
      <c r="M563" s="121"/>
    </row>
    <row r="564" spans="1:13">
      <c r="A564" s="18"/>
      <c r="B564" s="18"/>
      <c r="C564" s="124"/>
      <c r="D564" s="121"/>
      <c r="E564" s="121"/>
      <c r="F564" s="18"/>
      <c r="G564" s="18"/>
      <c r="H564" s="18"/>
      <c r="I564" s="124"/>
      <c r="J564" s="18"/>
      <c r="K564" s="18"/>
      <c r="L564" s="18"/>
      <c r="M564" s="121"/>
    </row>
    <row r="565" spans="1:13">
      <c r="A565" s="18"/>
      <c r="B565" s="18"/>
      <c r="C565" s="124"/>
      <c r="D565" s="121"/>
      <c r="E565" s="121"/>
      <c r="F565" s="18"/>
      <c r="G565" s="18"/>
      <c r="H565" s="18"/>
      <c r="I565" s="124"/>
      <c r="J565" s="18"/>
      <c r="K565" s="18"/>
      <c r="L565" s="18"/>
      <c r="M565" s="121"/>
    </row>
    <row r="566" spans="1:13">
      <c r="A566" s="18"/>
      <c r="B566" s="18"/>
      <c r="C566" s="124"/>
      <c r="D566" s="121"/>
      <c r="E566" s="121"/>
      <c r="F566" s="18"/>
      <c r="G566" s="18"/>
      <c r="H566" s="18"/>
      <c r="I566" s="124"/>
      <c r="J566" s="18"/>
      <c r="K566" s="18"/>
      <c r="L566" s="18"/>
      <c r="M566" s="121"/>
    </row>
    <row r="567" spans="1:13">
      <c r="A567" s="18"/>
      <c r="B567" s="18"/>
      <c r="C567" s="124"/>
      <c r="D567" s="121"/>
      <c r="E567" s="121"/>
      <c r="F567" s="18"/>
      <c r="G567" s="18"/>
      <c r="H567" s="18"/>
      <c r="I567" s="124"/>
      <c r="J567" s="18"/>
      <c r="K567" s="18"/>
      <c r="L567" s="18"/>
      <c r="M567" s="121"/>
    </row>
    <row r="568" spans="1:13">
      <c r="A568" s="18"/>
      <c r="B568" s="18"/>
      <c r="C568" s="124"/>
      <c r="D568" s="121"/>
      <c r="E568" s="121"/>
      <c r="F568" s="18"/>
      <c r="G568" s="18"/>
      <c r="H568" s="18"/>
      <c r="I568" s="124"/>
      <c r="J568" s="18"/>
      <c r="K568" s="18"/>
      <c r="L568" s="18"/>
      <c r="M568" s="121"/>
    </row>
    <row r="569" spans="1:13">
      <c r="A569" s="18"/>
      <c r="B569" s="18"/>
      <c r="C569" s="124"/>
      <c r="D569" s="121"/>
      <c r="E569" s="121"/>
      <c r="F569" s="18"/>
      <c r="G569" s="18"/>
      <c r="H569" s="18"/>
      <c r="I569" s="124"/>
      <c r="J569" s="18"/>
      <c r="K569" s="18"/>
      <c r="L569" s="18"/>
      <c r="M569" s="121"/>
    </row>
    <row r="570" spans="1:13">
      <c r="A570" s="18"/>
      <c r="B570" s="18"/>
      <c r="C570" s="124"/>
      <c r="D570" s="121"/>
      <c r="E570" s="121"/>
      <c r="F570" s="18"/>
      <c r="G570" s="18"/>
      <c r="H570" s="18"/>
      <c r="I570" s="124"/>
      <c r="J570" s="18"/>
      <c r="K570" s="18"/>
      <c r="L570" s="18"/>
      <c r="M570" s="121"/>
    </row>
    <row r="571" spans="1:13">
      <c r="A571" s="18"/>
      <c r="B571" s="18"/>
      <c r="C571" s="124"/>
      <c r="D571" s="121"/>
      <c r="E571" s="121"/>
      <c r="F571" s="18"/>
      <c r="G571" s="18"/>
      <c r="H571" s="18"/>
      <c r="I571" s="124"/>
      <c r="J571" s="18"/>
      <c r="K571" s="18"/>
      <c r="L571" s="18"/>
      <c r="M571" s="121"/>
    </row>
    <row r="572" spans="1:13">
      <c r="A572" s="18"/>
      <c r="B572" s="18"/>
      <c r="C572" s="124"/>
      <c r="D572" s="121"/>
      <c r="E572" s="121"/>
      <c r="F572" s="18"/>
      <c r="G572" s="18"/>
      <c r="H572" s="18"/>
      <c r="I572" s="124"/>
      <c r="J572" s="18"/>
      <c r="K572" s="18"/>
      <c r="L572" s="18"/>
      <c r="M572" s="121"/>
    </row>
    <row r="573" spans="1:13">
      <c r="A573" s="18"/>
      <c r="B573" s="18"/>
      <c r="C573" s="124"/>
      <c r="D573" s="121"/>
      <c r="E573" s="121"/>
      <c r="F573" s="18"/>
      <c r="G573" s="18"/>
      <c r="H573" s="18"/>
      <c r="I573" s="124"/>
      <c r="J573" s="18"/>
      <c r="K573" s="18"/>
      <c r="L573" s="18"/>
      <c r="M573" s="121"/>
    </row>
    <row r="574" spans="1:13">
      <c r="A574" s="18"/>
      <c r="B574" s="18"/>
      <c r="C574" s="124"/>
      <c r="D574" s="121"/>
      <c r="E574" s="121"/>
      <c r="F574" s="18"/>
      <c r="G574" s="18"/>
      <c r="H574" s="18"/>
      <c r="I574" s="124"/>
      <c r="J574" s="18"/>
      <c r="K574" s="18"/>
      <c r="L574" s="18"/>
      <c r="M574" s="121"/>
    </row>
    <row r="575" spans="1:13">
      <c r="A575" s="18"/>
      <c r="B575" s="18"/>
      <c r="C575" s="124"/>
      <c r="D575" s="121"/>
      <c r="E575" s="121"/>
      <c r="F575" s="18"/>
      <c r="G575" s="18"/>
      <c r="H575" s="18"/>
      <c r="I575" s="124"/>
      <c r="J575" s="18"/>
      <c r="K575" s="18"/>
      <c r="L575" s="18"/>
      <c r="M575" s="121"/>
    </row>
    <row r="576" spans="1:13">
      <c r="A576" s="18"/>
      <c r="B576" s="18"/>
      <c r="C576" s="124"/>
      <c r="D576" s="121"/>
      <c r="E576" s="121"/>
      <c r="F576" s="18"/>
      <c r="G576" s="18"/>
      <c r="H576" s="18"/>
      <c r="I576" s="124"/>
      <c r="J576" s="18"/>
      <c r="K576" s="18"/>
      <c r="L576" s="18"/>
      <c r="M576" s="121"/>
    </row>
    <row r="577" spans="1:13">
      <c r="A577" s="18"/>
      <c r="B577" s="18"/>
      <c r="C577" s="124"/>
      <c r="D577" s="121"/>
      <c r="E577" s="121"/>
      <c r="F577" s="18"/>
      <c r="G577" s="18"/>
      <c r="H577" s="18"/>
      <c r="I577" s="124"/>
      <c r="J577" s="18"/>
      <c r="K577" s="18"/>
      <c r="L577" s="18"/>
      <c r="M577" s="121"/>
    </row>
    <row r="578" spans="1:13">
      <c r="A578" s="18"/>
      <c r="B578" s="18"/>
      <c r="C578" s="124"/>
      <c r="D578" s="121"/>
      <c r="E578" s="121"/>
      <c r="F578" s="18"/>
      <c r="G578" s="18"/>
      <c r="H578" s="18"/>
      <c r="I578" s="124"/>
      <c r="J578" s="18"/>
      <c r="K578" s="18"/>
      <c r="L578" s="18"/>
      <c r="M578" s="121"/>
    </row>
    <row r="579" spans="1:13">
      <c r="A579" s="18"/>
      <c r="B579" s="18"/>
      <c r="C579" s="124"/>
      <c r="D579" s="121"/>
      <c r="E579" s="121"/>
      <c r="F579" s="18"/>
      <c r="G579" s="18"/>
      <c r="H579" s="18"/>
      <c r="I579" s="124"/>
      <c r="J579" s="18"/>
      <c r="K579" s="18"/>
      <c r="L579" s="18"/>
      <c r="M579" s="121"/>
    </row>
    <row r="580" spans="1:13">
      <c r="A580" s="18"/>
      <c r="B580" s="18"/>
      <c r="C580" s="124"/>
      <c r="D580" s="121"/>
      <c r="E580" s="121"/>
      <c r="F580" s="18"/>
      <c r="G580" s="18"/>
      <c r="H580" s="18"/>
      <c r="I580" s="124"/>
      <c r="J580" s="18"/>
      <c r="K580" s="18"/>
      <c r="L580" s="18"/>
      <c r="M580" s="121"/>
    </row>
    <row r="581" spans="1:13">
      <c r="A581" s="18"/>
      <c r="B581" s="18"/>
      <c r="C581" s="124"/>
      <c r="D581" s="121"/>
      <c r="E581" s="121"/>
      <c r="F581" s="18"/>
      <c r="G581" s="18"/>
      <c r="H581" s="18"/>
      <c r="I581" s="124"/>
      <c r="J581" s="18"/>
      <c r="K581" s="18"/>
      <c r="L581" s="18"/>
      <c r="M581" s="121"/>
    </row>
    <row r="582" spans="1:13">
      <c r="A582" s="18"/>
      <c r="B582" s="18"/>
      <c r="C582" s="124"/>
      <c r="D582" s="121"/>
      <c r="E582" s="121"/>
      <c r="F582" s="18"/>
      <c r="G582" s="18"/>
      <c r="H582" s="18"/>
      <c r="I582" s="124"/>
      <c r="J582" s="18"/>
      <c r="K582" s="18"/>
      <c r="L582" s="18"/>
      <c r="M582" s="121"/>
    </row>
    <row r="583" spans="1:13">
      <c r="A583" s="18"/>
      <c r="B583" s="18"/>
      <c r="C583" s="124"/>
      <c r="D583" s="121"/>
      <c r="E583" s="121"/>
      <c r="F583" s="18"/>
      <c r="G583" s="18"/>
      <c r="H583" s="18"/>
      <c r="I583" s="124"/>
      <c r="J583" s="18"/>
      <c r="K583" s="18"/>
      <c r="L583" s="18"/>
      <c r="M583" s="121"/>
    </row>
    <row r="584" spans="1:13">
      <c r="A584" s="18"/>
      <c r="B584" s="18"/>
      <c r="C584" s="124"/>
      <c r="D584" s="121"/>
      <c r="E584" s="121"/>
      <c r="F584" s="18"/>
      <c r="G584" s="18"/>
      <c r="H584" s="18"/>
      <c r="I584" s="124"/>
      <c r="J584" s="18"/>
      <c r="K584" s="18"/>
      <c r="L584" s="18"/>
      <c r="M584" s="121"/>
    </row>
    <row r="585" spans="1:13">
      <c r="A585" s="18"/>
      <c r="B585" s="18"/>
      <c r="C585" s="124"/>
      <c r="D585" s="121"/>
      <c r="E585" s="121"/>
      <c r="F585" s="18"/>
      <c r="G585" s="18"/>
      <c r="H585" s="18"/>
      <c r="I585" s="124"/>
      <c r="J585" s="18"/>
      <c r="K585" s="18"/>
      <c r="L585" s="18"/>
      <c r="M585" s="121"/>
    </row>
    <row r="586" spans="1:13">
      <c r="A586" s="18"/>
      <c r="B586" s="18"/>
      <c r="C586" s="124"/>
      <c r="D586" s="121"/>
      <c r="E586" s="121"/>
      <c r="F586" s="18"/>
      <c r="G586" s="18"/>
      <c r="H586" s="18"/>
      <c r="I586" s="124"/>
      <c r="J586" s="18"/>
      <c r="K586" s="18"/>
      <c r="L586" s="18"/>
      <c r="M586" s="121"/>
    </row>
    <row r="587" spans="1:13">
      <c r="A587" s="18"/>
      <c r="B587" s="18"/>
      <c r="C587" s="124"/>
      <c r="D587" s="121"/>
      <c r="E587" s="121"/>
      <c r="F587" s="18"/>
      <c r="G587" s="18"/>
      <c r="H587" s="18"/>
      <c r="I587" s="124"/>
      <c r="J587" s="18"/>
      <c r="K587" s="18"/>
      <c r="L587" s="18"/>
      <c r="M587" s="121"/>
    </row>
    <row r="588" spans="1:13">
      <c r="A588" s="18"/>
      <c r="B588" s="18"/>
      <c r="C588" s="124"/>
      <c r="D588" s="121"/>
      <c r="E588" s="121"/>
      <c r="F588" s="18"/>
      <c r="G588" s="18"/>
      <c r="H588" s="18"/>
      <c r="I588" s="124"/>
      <c r="J588" s="18"/>
      <c r="K588" s="18"/>
      <c r="L588" s="18"/>
      <c r="M588" s="121"/>
    </row>
    <row r="589" spans="1:13">
      <c r="A589" s="18"/>
      <c r="B589" s="18"/>
      <c r="C589" s="124"/>
      <c r="D589" s="121"/>
      <c r="E589" s="121"/>
      <c r="F589" s="18"/>
      <c r="G589" s="18"/>
      <c r="H589" s="18"/>
      <c r="I589" s="124"/>
      <c r="J589" s="18"/>
      <c r="K589" s="18"/>
      <c r="L589" s="18"/>
      <c r="M589" s="121"/>
    </row>
    <row r="590" spans="1:13">
      <c r="A590" s="18"/>
      <c r="B590" s="18"/>
      <c r="C590" s="124"/>
      <c r="D590" s="121"/>
      <c r="E590" s="121"/>
      <c r="F590" s="18"/>
      <c r="G590" s="18"/>
      <c r="H590" s="18"/>
      <c r="I590" s="124"/>
      <c r="J590" s="18"/>
      <c r="K590" s="18"/>
      <c r="L590" s="18"/>
      <c r="M590" s="121"/>
    </row>
    <row r="591" spans="1:13">
      <c r="A591" s="18"/>
      <c r="B591" s="18"/>
      <c r="C591" s="124"/>
      <c r="D591" s="121"/>
      <c r="E591" s="121"/>
      <c r="F591" s="18"/>
      <c r="G591" s="18"/>
      <c r="H591" s="18"/>
      <c r="I591" s="124"/>
      <c r="J591" s="18"/>
      <c r="K591" s="18"/>
      <c r="L591" s="18"/>
      <c r="M591" s="121"/>
    </row>
    <row r="592" spans="1:13">
      <c r="A592" s="18"/>
      <c r="B592" s="18"/>
      <c r="C592" s="124"/>
      <c r="D592" s="121"/>
      <c r="E592" s="121"/>
      <c r="F592" s="18"/>
      <c r="G592" s="18"/>
      <c r="H592" s="18"/>
      <c r="I592" s="124"/>
      <c r="J592" s="18"/>
      <c r="K592" s="18"/>
      <c r="L592" s="18"/>
      <c r="M592" s="121"/>
    </row>
    <row r="593" spans="1:13">
      <c r="A593" s="18"/>
      <c r="B593" s="18"/>
      <c r="C593" s="124"/>
      <c r="D593" s="121"/>
      <c r="E593" s="121"/>
      <c r="F593" s="18"/>
      <c r="G593" s="18"/>
      <c r="H593" s="18"/>
      <c r="I593" s="124"/>
      <c r="J593" s="18"/>
      <c r="K593" s="18"/>
      <c r="L593" s="18"/>
      <c r="M593" s="121"/>
    </row>
    <row r="594" spans="1:13">
      <c r="A594" s="18"/>
      <c r="B594" s="18"/>
      <c r="C594" s="124"/>
      <c r="D594" s="121"/>
      <c r="E594" s="121"/>
      <c r="F594" s="18"/>
      <c r="G594" s="18"/>
      <c r="H594" s="18"/>
      <c r="I594" s="124"/>
      <c r="J594" s="18"/>
      <c r="K594" s="18"/>
      <c r="L594" s="18"/>
      <c r="M594" s="121"/>
    </row>
    <row r="595" spans="1:13">
      <c r="A595" s="18"/>
      <c r="B595" s="18"/>
      <c r="C595" s="124"/>
      <c r="D595" s="121"/>
      <c r="E595" s="121"/>
      <c r="F595" s="18"/>
      <c r="G595" s="18"/>
      <c r="H595" s="18"/>
      <c r="I595" s="124"/>
      <c r="J595" s="18"/>
      <c r="K595" s="18"/>
      <c r="L595" s="18"/>
      <c r="M595" s="121"/>
    </row>
    <row r="596" spans="1:13">
      <c r="A596" s="18"/>
      <c r="B596" s="18"/>
      <c r="C596" s="124"/>
      <c r="D596" s="121"/>
      <c r="E596" s="121"/>
      <c r="F596" s="18"/>
      <c r="G596" s="18"/>
      <c r="H596" s="18"/>
      <c r="I596" s="124"/>
      <c r="J596" s="18"/>
      <c r="K596" s="18"/>
      <c r="L596" s="18"/>
      <c r="M596" s="121"/>
    </row>
    <row r="597" spans="1:13">
      <c r="A597" s="18"/>
      <c r="B597" s="18"/>
      <c r="C597" s="124"/>
      <c r="D597" s="121"/>
      <c r="E597" s="121"/>
      <c r="F597" s="18"/>
      <c r="G597" s="18"/>
      <c r="H597" s="18"/>
      <c r="I597" s="124"/>
      <c r="J597" s="18"/>
      <c r="K597" s="18"/>
      <c r="L597" s="18"/>
      <c r="M597" s="121"/>
    </row>
    <row r="598" spans="1:13">
      <c r="A598" s="18"/>
      <c r="B598" s="18"/>
      <c r="C598" s="124"/>
      <c r="D598" s="121"/>
      <c r="E598" s="121"/>
      <c r="F598" s="18"/>
      <c r="G598" s="18"/>
      <c r="H598" s="18"/>
      <c r="I598" s="124"/>
      <c r="J598" s="18"/>
      <c r="K598" s="18"/>
      <c r="L598" s="18"/>
      <c r="M598" s="121"/>
    </row>
    <row r="599" spans="1:13">
      <c r="A599" s="18"/>
      <c r="B599" s="18"/>
      <c r="C599" s="124"/>
      <c r="D599" s="121"/>
      <c r="E599" s="121"/>
      <c r="F599" s="18"/>
      <c r="G599" s="18"/>
      <c r="H599" s="18"/>
      <c r="I599" s="124"/>
      <c r="J599" s="18"/>
      <c r="K599" s="18"/>
      <c r="L599" s="18"/>
      <c r="M599" s="121"/>
    </row>
    <row r="600" spans="1:13">
      <c r="A600" s="18"/>
      <c r="B600" s="18"/>
      <c r="C600" s="124"/>
      <c r="D600" s="121"/>
      <c r="E600" s="121"/>
      <c r="F600" s="18"/>
      <c r="G600" s="18"/>
      <c r="H600" s="18"/>
      <c r="I600" s="124"/>
      <c r="J600" s="18"/>
      <c r="K600" s="18"/>
      <c r="L600" s="18"/>
      <c r="M600" s="121"/>
    </row>
    <row r="601" spans="1:13">
      <c r="A601" s="18"/>
      <c r="B601" s="18"/>
      <c r="C601" s="124"/>
      <c r="D601" s="121"/>
      <c r="E601" s="121"/>
      <c r="F601" s="18"/>
      <c r="G601" s="18"/>
      <c r="H601" s="18"/>
      <c r="I601" s="124"/>
      <c r="J601" s="18"/>
      <c r="K601" s="18"/>
      <c r="L601" s="18"/>
      <c r="M601" s="121"/>
    </row>
    <row r="602" spans="1:13">
      <c r="A602" s="18"/>
      <c r="B602" s="18"/>
      <c r="C602" s="124"/>
      <c r="D602" s="121"/>
      <c r="E602" s="121"/>
      <c r="F602" s="18"/>
      <c r="G602" s="18"/>
      <c r="H602" s="18"/>
      <c r="I602" s="124"/>
      <c r="J602" s="18"/>
      <c r="K602" s="18"/>
      <c r="L602" s="18"/>
      <c r="M602" s="121"/>
    </row>
    <row r="603" spans="1:13">
      <c r="A603" s="18"/>
      <c r="B603" s="18"/>
      <c r="C603" s="124"/>
      <c r="D603" s="121"/>
      <c r="E603" s="121"/>
      <c r="F603" s="18"/>
      <c r="G603" s="18"/>
      <c r="H603" s="18"/>
      <c r="I603" s="124"/>
      <c r="J603" s="18"/>
      <c r="K603" s="18"/>
      <c r="L603" s="18"/>
      <c r="M603" s="121"/>
    </row>
    <row r="604" spans="1:13">
      <c r="A604" s="18"/>
      <c r="B604" s="18"/>
      <c r="C604" s="124"/>
      <c r="D604" s="121"/>
      <c r="E604" s="121"/>
      <c r="F604" s="18"/>
      <c r="G604" s="18"/>
      <c r="H604" s="18"/>
      <c r="I604" s="124"/>
      <c r="J604" s="18"/>
      <c r="K604" s="18"/>
      <c r="L604" s="18"/>
      <c r="M604" s="121"/>
    </row>
    <row r="605" spans="1:13">
      <c r="A605" s="18"/>
      <c r="B605" s="18"/>
      <c r="C605" s="124"/>
      <c r="D605" s="121"/>
      <c r="E605" s="121"/>
      <c r="F605" s="18"/>
      <c r="G605" s="18"/>
      <c r="H605" s="18"/>
      <c r="I605" s="124"/>
      <c r="J605" s="18"/>
      <c r="K605" s="18"/>
      <c r="L605" s="18"/>
      <c r="M605" s="121"/>
    </row>
    <row r="606" spans="1:13">
      <c r="A606" s="18"/>
      <c r="B606" s="18"/>
      <c r="C606" s="124"/>
      <c r="D606" s="121"/>
      <c r="E606" s="121"/>
      <c r="F606" s="18"/>
      <c r="G606" s="18"/>
      <c r="H606" s="18"/>
      <c r="I606" s="124"/>
      <c r="J606" s="18"/>
      <c r="K606" s="18"/>
      <c r="L606" s="18"/>
      <c r="M606" s="121"/>
    </row>
    <row r="607" spans="1:13">
      <c r="A607" s="18"/>
      <c r="B607" s="18"/>
      <c r="C607" s="124"/>
      <c r="D607" s="121"/>
      <c r="E607" s="121"/>
      <c r="F607" s="18"/>
      <c r="G607" s="18"/>
      <c r="H607" s="18"/>
      <c r="I607" s="124"/>
      <c r="J607" s="18"/>
      <c r="K607" s="18"/>
      <c r="L607" s="18"/>
      <c r="M607" s="121"/>
    </row>
    <row r="608" spans="1:13">
      <c r="A608" s="18"/>
      <c r="B608" s="18"/>
      <c r="C608" s="124"/>
      <c r="D608" s="121"/>
      <c r="E608" s="121"/>
      <c r="F608" s="18"/>
      <c r="G608" s="18"/>
      <c r="H608" s="18"/>
      <c r="I608" s="124"/>
      <c r="J608" s="18"/>
      <c r="K608" s="18"/>
      <c r="L608" s="18"/>
      <c r="M608" s="121"/>
    </row>
    <row r="609" spans="1:13">
      <c r="A609" s="18"/>
      <c r="B609" s="18"/>
      <c r="C609" s="124"/>
      <c r="D609" s="121"/>
      <c r="E609" s="121"/>
      <c r="F609" s="18"/>
      <c r="G609" s="18"/>
      <c r="H609" s="18"/>
      <c r="I609" s="124"/>
      <c r="J609" s="18"/>
      <c r="K609" s="18"/>
      <c r="L609" s="18"/>
      <c r="M609" s="121"/>
    </row>
    <row r="610" spans="1:13">
      <c r="A610" s="18"/>
      <c r="B610" s="18"/>
      <c r="C610" s="124"/>
      <c r="D610" s="121"/>
      <c r="E610" s="121"/>
      <c r="F610" s="18"/>
      <c r="G610" s="18"/>
      <c r="H610" s="18"/>
      <c r="I610" s="124"/>
      <c r="J610" s="18"/>
      <c r="K610" s="18"/>
      <c r="L610" s="18"/>
      <c r="M610" s="121"/>
    </row>
    <row r="611" spans="1:13">
      <c r="A611" s="18"/>
      <c r="B611" s="18"/>
      <c r="C611" s="124"/>
      <c r="D611" s="121"/>
      <c r="E611" s="121"/>
      <c r="F611" s="18"/>
      <c r="G611" s="18"/>
      <c r="H611" s="18"/>
      <c r="I611" s="124"/>
      <c r="J611" s="18"/>
      <c r="K611" s="18"/>
      <c r="L611" s="18"/>
      <c r="M611" s="121"/>
    </row>
    <row r="612" spans="1:13">
      <c r="A612" s="18"/>
      <c r="B612" s="18"/>
      <c r="C612" s="124"/>
      <c r="D612" s="121"/>
      <c r="E612" s="121"/>
      <c r="F612" s="18"/>
      <c r="G612" s="18"/>
      <c r="H612" s="18"/>
      <c r="I612" s="124"/>
      <c r="J612" s="18"/>
      <c r="K612" s="18"/>
      <c r="L612" s="18"/>
      <c r="M612" s="121"/>
    </row>
    <row r="613" spans="1:13">
      <c r="A613" s="18"/>
      <c r="B613" s="18"/>
      <c r="C613" s="124"/>
      <c r="D613" s="121"/>
      <c r="E613" s="121"/>
      <c r="F613" s="18"/>
      <c r="G613" s="18"/>
      <c r="H613" s="18"/>
      <c r="I613" s="124"/>
      <c r="J613" s="18"/>
      <c r="K613" s="18"/>
      <c r="L613" s="18"/>
      <c r="M613" s="121"/>
    </row>
    <row r="614" spans="1:13">
      <c r="A614" s="18"/>
      <c r="B614" s="18"/>
      <c r="C614" s="124"/>
      <c r="D614" s="121"/>
      <c r="E614" s="121"/>
      <c r="F614" s="18"/>
      <c r="G614" s="18"/>
      <c r="H614" s="18"/>
      <c r="I614" s="124"/>
      <c r="J614" s="18"/>
      <c r="K614" s="18"/>
      <c r="L614" s="18"/>
      <c r="M614" s="121"/>
    </row>
    <row r="615" spans="1:13">
      <c r="A615" s="18"/>
      <c r="B615" s="18"/>
      <c r="C615" s="124"/>
      <c r="D615" s="121"/>
      <c r="E615" s="121"/>
      <c r="F615" s="18"/>
      <c r="G615" s="18"/>
      <c r="H615" s="18"/>
      <c r="I615" s="124"/>
      <c r="J615" s="18"/>
      <c r="K615" s="18"/>
      <c r="L615" s="18"/>
      <c r="M615" s="121"/>
    </row>
    <row r="616" spans="1:13">
      <c r="A616" s="18"/>
      <c r="B616" s="18"/>
      <c r="C616" s="124"/>
      <c r="D616" s="121"/>
      <c r="E616" s="121"/>
      <c r="F616" s="18"/>
      <c r="G616" s="18"/>
      <c r="H616" s="18"/>
      <c r="I616" s="124"/>
      <c r="J616" s="18"/>
      <c r="K616" s="18"/>
      <c r="L616" s="18"/>
      <c r="M616" s="121"/>
    </row>
    <row r="617" spans="1:13">
      <c r="A617" s="18"/>
      <c r="B617" s="18"/>
      <c r="C617" s="124"/>
      <c r="D617" s="121"/>
      <c r="E617" s="121"/>
      <c r="F617" s="18"/>
      <c r="G617" s="18"/>
      <c r="H617" s="18"/>
      <c r="I617" s="124"/>
      <c r="J617" s="18"/>
      <c r="K617" s="18"/>
      <c r="L617" s="18"/>
      <c r="M617" s="121"/>
    </row>
    <row r="618" spans="1:13">
      <c r="A618" s="18"/>
      <c r="B618" s="18"/>
      <c r="C618" s="124"/>
      <c r="D618" s="121"/>
      <c r="E618" s="121"/>
      <c r="F618" s="18"/>
      <c r="G618" s="18"/>
      <c r="H618" s="18"/>
      <c r="I618" s="124"/>
      <c r="J618" s="18"/>
      <c r="K618" s="18"/>
      <c r="L618" s="18"/>
      <c r="M618" s="121"/>
    </row>
    <row r="619" spans="1:13">
      <c r="A619" s="18"/>
      <c r="B619" s="18"/>
      <c r="C619" s="124"/>
      <c r="D619" s="121"/>
      <c r="E619" s="121"/>
      <c r="F619" s="18"/>
      <c r="G619" s="18"/>
      <c r="H619" s="18"/>
      <c r="I619" s="124"/>
      <c r="J619" s="18"/>
      <c r="K619" s="18"/>
      <c r="L619" s="18"/>
      <c r="M619" s="121"/>
    </row>
    <row r="620" spans="1:13">
      <c r="A620" s="18"/>
      <c r="B620" s="18"/>
      <c r="C620" s="124"/>
      <c r="D620" s="121"/>
      <c r="E620" s="121"/>
      <c r="F620" s="18"/>
      <c r="G620" s="18"/>
      <c r="H620" s="18"/>
      <c r="I620" s="124"/>
      <c r="J620" s="18"/>
      <c r="K620" s="18"/>
      <c r="L620" s="18"/>
      <c r="M620" s="121"/>
    </row>
    <row r="621" spans="1:13">
      <c r="A621" s="18"/>
      <c r="B621" s="18"/>
      <c r="C621" s="124"/>
      <c r="D621" s="121"/>
      <c r="E621" s="121"/>
      <c r="F621" s="18"/>
      <c r="G621" s="18"/>
      <c r="H621" s="18"/>
      <c r="I621" s="124"/>
      <c r="J621" s="18"/>
      <c r="K621" s="18"/>
      <c r="L621" s="18"/>
      <c r="M621" s="121"/>
    </row>
    <row r="622" spans="1:13">
      <c r="A622" s="18"/>
      <c r="B622" s="18"/>
      <c r="C622" s="124"/>
      <c r="D622" s="121"/>
      <c r="E622" s="121"/>
      <c r="F622" s="18"/>
      <c r="G622" s="18"/>
      <c r="H622" s="18"/>
      <c r="I622" s="124"/>
      <c r="J622" s="18"/>
      <c r="K622" s="18"/>
      <c r="L622" s="18"/>
      <c r="M622" s="121"/>
    </row>
    <row r="623" spans="1:13">
      <c r="A623" s="18"/>
      <c r="B623" s="18"/>
      <c r="C623" s="124"/>
      <c r="D623" s="121"/>
      <c r="E623" s="121"/>
      <c r="F623" s="18"/>
      <c r="G623" s="18"/>
      <c r="H623" s="18"/>
      <c r="I623" s="124"/>
      <c r="J623" s="18"/>
      <c r="K623" s="18"/>
      <c r="L623" s="18"/>
      <c r="M623" s="121"/>
    </row>
    <row r="624" spans="1:13">
      <c r="A624" s="18"/>
      <c r="B624" s="18"/>
      <c r="C624" s="124"/>
      <c r="D624" s="121"/>
      <c r="E624" s="121"/>
      <c r="F624" s="18"/>
      <c r="G624" s="18"/>
      <c r="H624" s="18"/>
      <c r="I624" s="124"/>
      <c r="J624" s="18"/>
      <c r="K624" s="18"/>
      <c r="L624" s="18"/>
      <c r="M624" s="121"/>
    </row>
    <row r="625" spans="1:13">
      <c r="A625" s="18"/>
      <c r="B625" s="18"/>
      <c r="C625" s="124"/>
      <c r="D625" s="121"/>
      <c r="E625" s="121"/>
      <c r="F625" s="18"/>
      <c r="G625" s="18"/>
      <c r="H625" s="18"/>
      <c r="I625" s="124"/>
      <c r="J625" s="18"/>
      <c r="K625" s="18"/>
      <c r="L625" s="18"/>
      <c r="M625" s="121"/>
    </row>
    <row r="626" spans="1:13">
      <c r="A626" s="18"/>
      <c r="B626" s="18"/>
      <c r="C626" s="124"/>
      <c r="D626" s="121"/>
      <c r="E626" s="121"/>
      <c r="F626" s="18"/>
      <c r="G626" s="18"/>
      <c r="H626" s="18"/>
      <c r="I626" s="124"/>
      <c r="J626" s="18"/>
      <c r="K626" s="18"/>
      <c r="L626" s="18"/>
      <c r="M626" s="121"/>
    </row>
    <row r="627" spans="1:13">
      <c r="A627" s="18"/>
      <c r="B627" s="18"/>
      <c r="C627" s="124"/>
      <c r="D627" s="121"/>
      <c r="E627" s="121"/>
      <c r="F627" s="18"/>
      <c r="G627" s="18"/>
      <c r="H627" s="18"/>
      <c r="I627" s="124"/>
      <c r="J627" s="18"/>
      <c r="K627" s="18"/>
      <c r="L627" s="18"/>
      <c r="M627" s="121"/>
    </row>
    <row r="628" spans="1:13">
      <c r="A628" s="18"/>
      <c r="B628" s="18"/>
      <c r="C628" s="124"/>
      <c r="D628" s="121"/>
      <c r="E628" s="121"/>
      <c r="F628" s="18"/>
      <c r="G628" s="18"/>
      <c r="H628" s="18"/>
      <c r="I628" s="124"/>
      <c r="J628" s="18"/>
      <c r="K628" s="18"/>
      <c r="L628" s="18"/>
      <c r="M628" s="121"/>
    </row>
    <row r="629" spans="1:13">
      <c r="A629" s="18"/>
      <c r="B629" s="18"/>
      <c r="C629" s="124"/>
      <c r="D629" s="121"/>
      <c r="E629" s="121"/>
      <c r="F629" s="18"/>
      <c r="G629" s="18"/>
      <c r="H629" s="18"/>
      <c r="I629" s="124"/>
      <c r="J629" s="18"/>
      <c r="K629" s="18"/>
      <c r="L629" s="18"/>
      <c r="M629" s="121"/>
    </row>
    <row r="630" spans="1:13">
      <c r="A630" s="18"/>
      <c r="B630" s="18"/>
      <c r="C630" s="124"/>
      <c r="D630" s="121"/>
      <c r="E630" s="121"/>
      <c r="F630" s="18"/>
      <c r="G630" s="18"/>
      <c r="H630" s="18"/>
      <c r="I630" s="124"/>
      <c r="J630" s="18"/>
      <c r="K630" s="18"/>
      <c r="L630" s="18"/>
      <c r="M630" s="121"/>
    </row>
    <row r="631" spans="1:13">
      <c r="A631" s="18"/>
      <c r="B631" s="18"/>
      <c r="C631" s="124"/>
      <c r="D631" s="121"/>
      <c r="E631" s="121"/>
      <c r="F631" s="18"/>
      <c r="G631" s="18"/>
      <c r="H631" s="18"/>
      <c r="I631" s="124"/>
      <c r="J631" s="18"/>
      <c r="K631" s="18"/>
      <c r="L631" s="18"/>
      <c r="M631" s="121"/>
    </row>
    <row r="632" spans="1:13">
      <c r="A632" s="18"/>
      <c r="B632" s="18"/>
      <c r="C632" s="124"/>
      <c r="D632" s="121"/>
      <c r="E632" s="121"/>
      <c r="F632" s="18"/>
      <c r="G632" s="18"/>
      <c r="H632" s="18"/>
      <c r="I632" s="124"/>
      <c r="J632" s="18"/>
      <c r="K632" s="18"/>
      <c r="L632" s="18"/>
      <c r="M632" s="121"/>
    </row>
    <row r="633" spans="1:13">
      <c r="A633" s="18"/>
      <c r="B633" s="18"/>
      <c r="C633" s="124"/>
      <c r="D633" s="121"/>
      <c r="E633" s="121"/>
      <c r="F633" s="18"/>
      <c r="G633" s="18"/>
      <c r="H633" s="18"/>
      <c r="I633" s="124"/>
      <c r="J633" s="18"/>
      <c r="K633" s="18"/>
      <c r="L633" s="18"/>
      <c r="M633" s="121"/>
    </row>
    <row r="634" spans="1:13">
      <c r="A634" s="18"/>
      <c r="B634" s="18"/>
      <c r="C634" s="124"/>
      <c r="D634" s="121"/>
      <c r="E634" s="121"/>
      <c r="F634" s="18"/>
      <c r="G634" s="18"/>
      <c r="H634" s="18"/>
      <c r="I634" s="124"/>
      <c r="J634" s="18"/>
      <c r="K634" s="18"/>
      <c r="L634" s="18"/>
      <c r="M634" s="121"/>
    </row>
    <row r="635" spans="1:13">
      <c r="A635" s="18"/>
      <c r="B635" s="18"/>
      <c r="C635" s="124"/>
      <c r="D635" s="121"/>
      <c r="E635" s="121"/>
      <c r="F635" s="18"/>
      <c r="G635" s="18"/>
      <c r="H635" s="18"/>
      <c r="I635" s="124"/>
      <c r="J635" s="18"/>
      <c r="K635" s="18"/>
      <c r="L635" s="18"/>
      <c r="M635" s="121"/>
    </row>
    <row r="636" spans="1:13">
      <c r="A636" s="18"/>
      <c r="B636" s="18"/>
      <c r="C636" s="124"/>
      <c r="D636" s="121"/>
      <c r="E636" s="121"/>
      <c r="F636" s="18"/>
      <c r="G636" s="18"/>
      <c r="H636" s="18"/>
      <c r="I636" s="124"/>
      <c r="J636" s="18"/>
      <c r="K636" s="18"/>
      <c r="L636" s="18"/>
      <c r="M636" s="121"/>
    </row>
    <row r="637" spans="1:13">
      <c r="A637" s="18"/>
      <c r="B637" s="18"/>
      <c r="C637" s="124"/>
      <c r="D637" s="121"/>
      <c r="E637" s="121"/>
      <c r="F637" s="18"/>
      <c r="G637" s="18"/>
      <c r="H637" s="18"/>
      <c r="I637" s="124"/>
      <c r="J637" s="18"/>
      <c r="K637" s="18"/>
      <c r="L637" s="18"/>
      <c r="M637" s="121"/>
    </row>
    <row r="638" spans="1:13">
      <c r="A638" s="18"/>
      <c r="B638" s="18"/>
      <c r="C638" s="124"/>
      <c r="D638" s="121"/>
      <c r="E638" s="121"/>
      <c r="F638" s="18"/>
      <c r="G638" s="18"/>
      <c r="H638" s="18"/>
      <c r="I638" s="124"/>
      <c r="J638" s="18"/>
      <c r="K638" s="18"/>
      <c r="L638" s="18"/>
      <c r="M638" s="121"/>
    </row>
    <row r="639" spans="1:13">
      <c r="A639" s="18"/>
      <c r="B639" s="18"/>
      <c r="C639" s="124"/>
      <c r="D639" s="121"/>
      <c r="E639" s="121"/>
      <c r="F639" s="18"/>
      <c r="G639" s="18"/>
      <c r="H639" s="18"/>
      <c r="I639" s="124"/>
      <c r="J639" s="18"/>
      <c r="K639" s="18"/>
      <c r="L639" s="18"/>
      <c r="M639" s="121"/>
    </row>
    <row r="640" spans="1:13">
      <c r="A640" s="18"/>
      <c r="B640" s="18"/>
      <c r="C640" s="124"/>
      <c r="D640" s="121"/>
      <c r="E640" s="121"/>
      <c r="F640" s="18"/>
      <c r="G640" s="18"/>
      <c r="H640" s="18"/>
      <c r="I640" s="124"/>
      <c r="J640" s="18"/>
      <c r="K640" s="18"/>
      <c r="L640" s="18"/>
      <c r="M640" s="121"/>
    </row>
    <row r="641" spans="1:13">
      <c r="A641" s="18"/>
      <c r="B641" s="18"/>
      <c r="C641" s="124"/>
      <c r="D641" s="121"/>
      <c r="E641" s="121"/>
      <c r="F641" s="18"/>
      <c r="G641" s="18"/>
      <c r="H641" s="18"/>
      <c r="I641" s="124"/>
      <c r="J641" s="18"/>
      <c r="K641" s="18"/>
      <c r="L641" s="18"/>
      <c r="M641" s="121"/>
    </row>
    <row r="642" spans="1:13">
      <c r="A642" s="18"/>
      <c r="B642" s="18"/>
      <c r="C642" s="124"/>
      <c r="D642" s="121"/>
      <c r="E642" s="121"/>
      <c r="F642" s="18"/>
      <c r="G642" s="18"/>
      <c r="H642" s="18"/>
      <c r="I642" s="124"/>
      <c r="J642" s="18"/>
      <c r="K642" s="18"/>
      <c r="L642" s="18"/>
      <c r="M642" s="121"/>
    </row>
    <row r="643" spans="1:13">
      <c r="A643" s="18"/>
      <c r="B643" s="18"/>
      <c r="C643" s="124"/>
      <c r="D643" s="121"/>
      <c r="E643" s="121"/>
      <c r="F643" s="18"/>
      <c r="G643" s="18"/>
      <c r="H643" s="18"/>
      <c r="I643" s="124"/>
      <c r="J643" s="18"/>
      <c r="K643" s="18"/>
      <c r="L643" s="18"/>
      <c r="M643" s="121"/>
    </row>
    <row r="644" spans="1:13">
      <c r="A644" s="18"/>
      <c r="B644" s="18"/>
      <c r="C644" s="124"/>
      <c r="D644" s="121"/>
      <c r="E644" s="121"/>
      <c r="F644" s="18"/>
      <c r="G644" s="18"/>
      <c r="H644" s="18"/>
      <c r="I644" s="124"/>
      <c r="J644" s="18"/>
      <c r="K644" s="18"/>
      <c r="L644" s="18"/>
      <c r="M644" s="121"/>
    </row>
    <row r="645" spans="1:13">
      <c r="A645" s="18"/>
      <c r="B645" s="18"/>
      <c r="C645" s="124"/>
      <c r="D645" s="121"/>
      <c r="E645" s="121"/>
      <c r="F645" s="18"/>
      <c r="G645" s="18"/>
      <c r="H645" s="18"/>
      <c r="I645" s="124"/>
      <c r="J645" s="18"/>
      <c r="K645" s="18"/>
      <c r="L645" s="18"/>
      <c r="M645" s="121"/>
    </row>
    <row r="646" spans="1:13">
      <c r="A646" s="18"/>
      <c r="B646" s="18"/>
      <c r="C646" s="124"/>
      <c r="D646" s="121"/>
      <c r="E646" s="121"/>
      <c r="F646" s="18"/>
      <c r="G646" s="18"/>
      <c r="H646" s="18"/>
      <c r="I646" s="124"/>
      <c r="J646" s="18"/>
      <c r="K646" s="18"/>
      <c r="L646" s="18"/>
      <c r="M646" s="121"/>
    </row>
    <row r="647" spans="1:13">
      <c r="A647" s="18"/>
      <c r="B647" s="18"/>
      <c r="C647" s="124"/>
      <c r="D647" s="121"/>
      <c r="E647" s="121"/>
      <c r="F647" s="18"/>
      <c r="G647" s="18"/>
      <c r="H647" s="18"/>
      <c r="I647" s="124"/>
      <c r="J647" s="18"/>
      <c r="K647" s="18"/>
      <c r="L647" s="18"/>
      <c r="M647" s="121"/>
    </row>
    <row r="648" spans="1:13">
      <c r="A648" s="18"/>
      <c r="B648" s="18"/>
      <c r="C648" s="124"/>
      <c r="D648" s="121"/>
      <c r="E648" s="121"/>
      <c r="F648" s="18"/>
      <c r="G648" s="18"/>
      <c r="H648" s="18"/>
      <c r="I648" s="124"/>
      <c r="J648" s="18"/>
      <c r="K648" s="18"/>
      <c r="L648" s="18"/>
      <c r="M648" s="121"/>
    </row>
    <row r="649" spans="1:13">
      <c r="A649" s="18"/>
      <c r="B649" s="18"/>
      <c r="C649" s="124"/>
      <c r="D649" s="121"/>
      <c r="E649" s="121"/>
      <c r="F649" s="18"/>
      <c r="G649" s="18"/>
      <c r="H649" s="18"/>
      <c r="I649" s="124"/>
      <c r="J649" s="18"/>
      <c r="K649" s="18"/>
      <c r="L649" s="18"/>
      <c r="M649" s="121"/>
    </row>
    <row r="650" spans="1:13">
      <c r="A650" s="18"/>
      <c r="B650" s="18"/>
      <c r="C650" s="124"/>
      <c r="D650" s="121"/>
      <c r="E650" s="121"/>
      <c r="F650" s="18"/>
      <c r="G650" s="18"/>
      <c r="H650" s="18"/>
      <c r="I650" s="124"/>
      <c r="J650" s="18"/>
      <c r="K650" s="18"/>
      <c r="L650" s="18"/>
      <c r="M650" s="121"/>
    </row>
    <row r="651" spans="1:13">
      <c r="A651" s="18"/>
      <c r="B651" s="18"/>
      <c r="C651" s="124"/>
      <c r="D651" s="121"/>
      <c r="E651" s="121"/>
      <c r="F651" s="18"/>
      <c r="G651" s="18"/>
      <c r="H651" s="18"/>
      <c r="I651" s="124"/>
      <c r="J651" s="18"/>
      <c r="K651" s="18"/>
      <c r="L651" s="18"/>
      <c r="M651" s="121"/>
    </row>
    <row r="652" spans="1:13">
      <c r="A652" s="18"/>
      <c r="B652" s="18"/>
      <c r="C652" s="124"/>
      <c r="D652" s="121"/>
      <c r="E652" s="121"/>
      <c r="F652" s="18"/>
      <c r="G652" s="18"/>
      <c r="H652" s="18"/>
      <c r="I652" s="124"/>
      <c r="J652" s="18"/>
      <c r="K652" s="18"/>
      <c r="L652" s="18"/>
      <c r="M652" s="121"/>
    </row>
    <row r="653" spans="1:13">
      <c r="A653" s="18"/>
      <c r="B653" s="18"/>
      <c r="C653" s="124"/>
      <c r="D653" s="121"/>
      <c r="E653" s="121"/>
      <c r="F653" s="18"/>
      <c r="G653" s="18"/>
      <c r="H653" s="18"/>
      <c r="I653" s="124"/>
      <c r="J653" s="18"/>
      <c r="K653" s="18"/>
      <c r="L653" s="18"/>
      <c r="M653" s="121"/>
    </row>
    <row r="654" spans="1:13">
      <c r="A654" s="18"/>
      <c r="B654" s="18"/>
      <c r="C654" s="124"/>
      <c r="D654" s="121"/>
      <c r="E654" s="121"/>
      <c r="F654" s="18"/>
      <c r="G654" s="18"/>
      <c r="H654" s="18"/>
      <c r="I654" s="124"/>
      <c r="J654" s="18"/>
      <c r="K654" s="18"/>
      <c r="L654" s="18"/>
      <c r="M654" s="121"/>
    </row>
    <row r="655" spans="1:13">
      <c r="A655" s="18"/>
      <c r="B655" s="18"/>
      <c r="C655" s="124"/>
      <c r="D655" s="121"/>
      <c r="E655" s="121"/>
      <c r="F655" s="18"/>
      <c r="G655" s="18"/>
      <c r="H655" s="18"/>
      <c r="I655" s="124"/>
      <c r="J655" s="18"/>
      <c r="K655" s="18"/>
      <c r="L655" s="18"/>
      <c r="M655" s="121"/>
    </row>
    <row r="656" spans="1:13">
      <c r="A656" s="18"/>
      <c r="B656" s="18"/>
      <c r="C656" s="124"/>
      <c r="D656" s="121"/>
      <c r="E656" s="121"/>
      <c r="F656" s="18"/>
      <c r="G656" s="18"/>
      <c r="H656" s="18"/>
      <c r="I656" s="124"/>
      <c r="J656" s="18"/>
      <c r="K656" s="18"/>
      <c r="L656" s="18"/>
      <c r="M656" s="121"/>
    </row>
    <row r="657" spans="1:13">
      <c r="A657" s="18"/>
      <c r="B657" s="18"/>
      <c r="C657" s="124"/>
      <c r="D657" s="121"/>
      <c r="E657" s="121"/>
      <c r="F657" s="18"/>
      <c r="G657" s="18"/>
      <c r="H657" s="18"/>
      <c r="I657" s="124"/>
      <c r="J657" s="18"/>
      <c r="K657" s="18"/>
      <c r="L657" s="18"/>
      <c r="M657" s="121"/>
    </row>
    <row r="658" spans="1:13">
      <c r="A658" s="18"/>
      <c r="B658" s="18"/>
      <c r="C658" s="124"/>
      <c r="D658" s="121"/>
      <c r="E658" s="121"/>
      <c r="F658" s="18"/>
      <c r="G658" s="18"/>
      <c r="H658" s="18"/>
      <c r="I658" s="124"/>
      <c r="J658" s="18"/>
      <c r="K658" s="18"/>
      <c r="L658" s="18"/>
      <c r="M658" s="121"/>
    </row>
    <row r="659" spans="1:13">
      <c r="A659" s="18"/>
      <c r="B659" s="18"/>
      <c r="C659" s="124"/>
      <c r="D659" s="121"/>
      <c r="E659" s="121"/>
      <c r="F659" s="18"/>
      <c r="G659" s="18"/>
      <c r="H659" s="18"/>
      <c r="I659" s="124"/>
      <c r="J659" s="18"/>
      <c r="K659" s="18"/>
      <c r="L659" s="18"/>
      <c r="M659" s="121"/>
    </row>
    <row r="660" spans="1:13">
      <c r="A660" s="18"/>
      <c r="B660" s="18"/>
      <c r="C660" s="124"/>
      <c r="D660" s="121"/>
      <c r="E660" s="121"/>
      <c r="F660" s="18"/>
      <c r="G660" s="18"/>
      <c r="H660" s="18"/>
      <c r="I660" s="124"/>
      <c r="J660" s="18"/>
      <c r="K660" s="18"/>
      <c r="L660" s="18"/>
      <c r="M660" s="121"/>
    </row>
    <row r="661" spans="1:13">
      <c r="A661" s="18"/>
      <c r="B661" s="18"/>
      <c r="C661" s="124"/>
      <c r="D661" s="121"/>
      <c r="E661" s="121"/>
      <c r="F661" s="18"/>
      <c r="G661" s="18"/>
      <c r="H661" s="18"/>
      <c r="I661" s="124"/>
      <c r="J661" s="18"/>
      <c r="K661" s="18"/>
      <c r="L661" s="18"/>
      <c r="M661" s="121"/>
    </row>
    <row r="662" spans="1:13">
      <c r="A662" s="18"/>
      <c r="B662" s="18"/>
      <c r="C662" s="124"/>
      <c r="D662" s="121"/>
      <c r="E662" s="121"/>
      <c r="F662" s="18"/>
      <c r="G662" s="18"/>
      <c r="H662" s="18"/>
      <c r="I662" s="124"/>
      <c r="J662" s="18"/>
      <c r="K662" s="18"/>
      <c r="L662" s="18"/>
      <c r="M662" s="121"/>
    </row>
    <row r="663" spans="1:13">
      <c r="A663" s="18"/>
      <c r="B663" s="18"/>
      <c r="C663" s="124"/>
      <c r="D663" s="121"/>
      <c r="E663" s="121"/>
      <c r="F663" s="18"/>
      <c r="G663" s="18"/>
      <c r="H663" s="18"/>
      <c r="I663" s="124"/>
      <c r="J663" s="18"/>
      <c r="K663" s="18"/>
      <c r="L663" s="18"/>
      <c r="M663" s="121"/>
    </row>
    <row r="664" spans="1:13">
      <c r="A664" s="18"/>
      <c r="B664" s="18"/>
      <c r="C664" s="124"/>
      <c r="D664" s="121"/>
      <c r="E664" s="121"/>
      <c r="F664" s="18"/>
      <c r="G664" s="18"/>
      <c r="H664" s="18"/>
      <c r="I664" s="124"/>
      <c r="J664" s="18"/>
      <c r="K664" s="18"/>
      <c r="L664" s="18"/>
      <c r="M664" s="121"/>
    </row>
    <row r="665" spans="1:13">
      <c r="A665" s="18"/>
      <c r="B665" s="18"/>
      <c r="C665" s="124"/>
      <c r="D665" s="121"/>
      <c r="E665" s="121"/>
      <c r="F665" s="18"/>
      <c r="G665" s="18"/>
      <c r="H665" s="18"/>
      <c r="I665" s="124"/>
      <c r="J665" s="18"/>
      <c r="K665" s="18"/>
      <c r="L665" s="18"/>
      <c r="M665" s="121"/>
    </row>
    <row r="666" spans="1:13">
      <c r="A666" s="18"/>
      <c r="B666" s="18"/>
      <c r="C666" s="124"/>
      <c r="D666" s="121"/>
      <c r="E666" s="121"/>
      <c r="F666" s="18"/>
      <c r="G666" s="18"/>
      <c r="H666" s="18"/>
      <c r="I666" s="124"/>
      <c r="J666" s="18"/>
      <c r="K666" s="18"/>
      <c r="L666" s="18"/>
      <c r="M666" s="121"/>
    </row>
    <row r="667" spans="1:13">
      <c r="A667" s="18"/>
      <c r="B667" s="18"/>
      <c r="C667" s="124"/>
      <c r="D667" s="121"/>
      <c r="E667" s="121"/>
      <c r="F667" s="18"/>
      <c r="G667" s="18"/>
      <c r="H667" s="18"/>
      <c r="I667" s="124"/>
      <c r="J667" s="18"/>
      <c r="K667" s="18"/>
      <c r="L667" s="18"/>
      <c r="M667" s="121"/>
    </row>
    <row r="668" spans="1:13">
      <c r="A668" s="18"/>
      <c r="B668" s="18"/>
      <c r="C668" s="124"/>
      <c r="D668" s="121"/>
      <c r="E668" s="121"/>
      <c r="F668" s="18"/>
      <c r="G668" s="18"/>
      <c r="H668" s="18"/>
      <c r="I668" s="124"/>
      <c r="J668" s="18"/>
      <c r="K668" s="18"/>
      <c r="L668" s="18"/>
      <c r="M668" s="121"/>
    </row>
    <row r="669" spans="1:13">
      <c r="A669" s="18"/>
      <c r="B669" s="18"/>
      <c r="C669" s="124"/>
      <c r="D669" s="121"/>
      <c r="E669" s="121"/>
      <c r="F669" s="18"/>
      <c r="G669" s="18"/>
      <c r="H669" s="18"/>
      <c r="I669" s="124"/>
      <c r="J669" s="18"/>
      <c r="K669" s="18"/>
      <c r="L669" s="18"/>
      <c r="M669" s="121"/>
    </row>
    <row r="670" spans="1:13">
      <c r="A670" s="18"/>
      <c r="B670" s="18"/>
      <c r="C670" s="124"/>
      <c r="D670" s="121"/>
      <c r="E670" s="121"/>
      <c r="F670" s="18"/>
      <c r="G670" s="18"/>
      <c r="H670" s="18"/>
      <c r="I670" s="124"/>
      <c r="J670" s="18"/>
      <c r="K670" s="18"/>
      <c r="L670" s="18"/>
      <c r="M670" s="121"/>
    </row>
    <row r="671" spans="1:13">
      <c r="A671" s="18"/>
      <c r="B671" s="18"/>
      <c r="C671" s="124"/>
      <c r="D671" s="121"/>
      <c r="E671" s="121"/>
      <c r="F671" s="18"/>
      <c r="G671" s="18"/>
      <c r="H671" s="18"/>
      <c r="I671" s="124"/>
      <c r="J671" s="18"/>
      <c r="K671" s="18"/>
      <c r="L671" s="18"/>
      <c r="M671" s="121"/>
    </row>
    <row r="672" spans="1:13">
      <c r="A672" s="18"/>
      <c r="B672" s="18"/>
      <c r="C672" s="124"/>
      <c r="D672" s="121"/>
      <c r="E672" s="121"/>
      <c r="F672" s="18"/>
      <c r="G672" s="18"/>
      <c r="H672" s="18"/>
      <c r="I672" s="124"/>
      <c r="J672" s="18"/>
      <c r="K672" s="18"/>
      <c r="L672" s="18"/>
      <c r="M672" s="121"/>
    </row>
    <row r="673" spans="1:13">
      <c r="A673" s="18"/>
      <c r="B673" s="18"/>
      <c r="C673" s="124"/>
      <c r="D673" s="121"/>
      <c r="E673" s="121"/>
      <c r="F673" s="18"/>
      <c r="G673" s="18"/>
      <c r="H673" s="18"/>
      <c r="I673" s="124"/>
      <c r="J673" s="18"/>
      <c r="K673" s="18"/>
      <c r="L673" s="18"/>
      <c r="M673" s="121"/>
    </row>
    <row r="674" spans="1:13">
      <c r="A674" s="18"/>
      <c r="B674" s="18"/>
      <c r="C674" s="124"/>
      <c r="D674" s="121"/>
      <c r="E674" s="121"/>
      <c r="F674" s="18"/>
      <c r="G674" s="18"/>
      <c r="H674" s="18"/>
      <c r="I674" s="124"/>
      <c r="J674" s="18"/>
      <c r="K674" s="18"/>
      <c r="L674" s="18"/>
      <c r="M674" s="121"/>
    </row>
    <row r="675" spans="1:13">
      <c r="A675" s="18"/>
      <c r="B675" s="18"/>
      <c r="C675" s="124"/>
      <c r="D675" s="121"/>
      <c r="E675" s="121"/>
      <c r="F675" s="18"/>
      <c r="G675" s="18"/>
      <c r="H675" s="18"/>
      <c r="I675" s="124"/>
      <c r="J675" s="18"/>
      <c r="K675" s="18"/>
      <c r="L675" s="18"/>
      <c r="M675" s="121"/>
    </row>
    <row r="676" spans="1:13">
      <c r="A676" s="18"/>
      <c r="B676" s="18"/>
      <c r="C676" s="124"/>
      <c r="D676" s="121"/>
      <c r="E676" s="121"/>
      <c r="F676" s="18"/>
      <c r="G676" s="18"/>
      <c r="H676" s="18"/>
      <c r="I676" s="124"/>
      <c r="J676" s="18"/>
      <c r="K676" s="18"/>
      <c r="L676" s="18"/>
      <c r="M676" s="121"/>
    </row>
    <row r="677" spans="1:13">
      <c r="A677" s="18"/>
      <c r="B677" s="18"/>
      <c r="C677" s="124"/>
      <c r="D677" s="121"/>
      <c r="E677" s="121"/>
      <c r="F677" s="18"/>
      <c r="G677" s="18"/>
      <c r="H677" s="18"/>
      <c r="I677" s="124"/>
      <c r="J677" s="18"/>
      <c r="K677" s="18"/>
      <c r="L677" s="18"/>
      <c r="M677" s="121"/>
    </row>
    <row r="678" spans="1:13">
      <c r="A678" s="18"/>
      <c r="B678" s="18"/>
      <c r="C678" s="124"/>
      <c r="D678" s="121"/>
      <c r="E678" s="121"/>
      <c r="F678" s="18"/>
      <c r="G678" s="18"/>
      <c r="H678" s="18"/>
      <c r="I678" s="124"/>
      <c r="J678" s="18"/>
      <c r="K678" s="18"/>
      <c r="L678" s="18"/>
      <c r="M678" s="121"/>
    </row>
    <row r="679" spans="1:13">
      <c r="A679" s="18"/>
      <c r="B679" s="18"/>
      <c r="C679" s="124"/>
      <c r="D679" s="121"/>
      <c r="E679" s="121"/>
      <c r="F679" s="18"/>
      <c r="G679" s="18"/>
      <c r="H679" s="18"/>
      <c r="I679" s="124"/>
      <c r="J679" s="18"/>
      <c r="K679" s="18"/>
      <c r="L679" s="18"/>
      <c r="M679" s="121"/>
    </row>
    <row r="680" spans="1:13">
      <c r="A680" s="18"/>
      <c r="B680" s="18"/>
      <c r="C680" s="124"/>
      <c r="D680" s="121"/>
      <c r="E680" s="121"/>
      <c r="F680" s="18"/>
      <c r="G680" s="18"/>
      <c r="H680" s="18"/>
      <c r="I680" s="124"/>
      <c r="J680" s="18"/>
      <c r="K680" s="18"/>
      <c r="L680" s="18"/>
      <c r="M680" s="121"/>
    </row>
    <row r="681" spans="1:13">
      <c r="A681" s="18"/>
      <c r="B681" s="18"/>
      <c r="C681" s="124"/>
      <c r="D681" s="121"/>
      <c r="E681" s="121"/>
      <c r="F681" s="18"/>
      <c r="G681" s="18"/>
      <c r="H681" s="18"/>
      <c r="I681" s="124"/>
      <c r="J681" s="18"/>
      <c r="K681" s="18"/>
      <c r="L681" s="18"/>
      <c r="M681" s="121"/>
    </row>
    <row r="682" spans="1:13">
      <c r="A682" s="18"/>
      <c r="B682" s="18"/>
      <c r="C682" s="124"/>
      <c r="D682" s="121"/>
      <c r="E682" s="121"/>
      <c r="F682" s="18"/>
      <c r="G682" s="18"/>
      <c r="H682" s="18"/>
      <c r="I682" s="124"/>
      <c r="J682" s="18"/>
      <c r="K682" s="18"/>
      <c r="L682" s="18"/>
      <c r="M682" s="121"/>
    </row>
    <row r="683" spans="1:13">
      <c r="A683" s="18"/>
      <c r="B683" s="18"/>
      <c r="C683" s="124"/>
      <c r="D683" s="121"/>
      <c r="E683" s="121"/>
      <c r="F683" s="18"/>
      <c r="G683" s="18"/>
      <c r="H683" s="18"/>
      <c r="I683" s="124"/>
      <c r="J683" s="18"/>
      <c r="K683" s="18"/>
      <c r="L683" s="18"/>
      <c r="M683" s="121"/>
    </row>
    <row r="684" spans="1:13">
      <c r="A684" s="18"/>
      <c r="B684" s="18"/>
      <c r="C684" s="124"/>
      <c r="D684" s="121"/>
      <c r="E684" s="121"/>
      <c r="F684" s="18"/>
      <c r="G684" s="18"/>
      <c r="H684" s="18"/>
      <c r="I684" s="124"/>
      <c r="J684" s="18"/>
      <c r="K684" s="18"/>
      <c r="L684" s="18"/>
      <c r="M684" s="121"/>
    </row>
    <row r="685" spans="1:13">
      <c r="A685" s="18"/>
      <c r="B685" s="18"/>
      <c r="C685" s="124"/>
      <c r="D685" s="121"/>
      <c r="E685" s="121"/>
      <c r="F685" s="18"/>
      <c r="G685" s="18"/>
      <c r="H685" s="18"/>
      <c r="I685" s="124"/>
      <c r="J685" s="18"/>
      <c r="K685" s="18"/>
      <c r="L685" s="18"/>
      <c r="M685" s="121"/>
    </row>
    <row r="686" spans="1:13">
      <c r="A686" s="18"/>
      <c r="B686" s="18"/>
      <c r="C686" s="124"/>
      <c r="D686" s="121"/>
      <c r="E686" s="121"/>
      <c r="F686" s="18"/>
      <c r="G686" s="18"/>
      <c r="H686" s="18"/>
      <c r="I686" s="124"/>
      <c r="J686" s="18"/>
      <c r="K686" s="18"/>
      <c r="L686" s="18"/>
      <c r="M686" s="121"/>
    </row>
    <row r="687" spans="1:13">
      <c r="A687" s="18"/>
      <c r="B687" s="18"/>
      <c r="C687" s="124"/>
      <c r="D687" s="121"/>
      <c r="E687" s="121"/>
      <c r="F687" s="18"/>
      <c r="G687" s="18"/>
      <c r="H687" s="18"/>
      <c r="I687" s="124"/>
      <c r="J687" s="18"/>
      <c r="K687" s="18"/>
      <c r="L687" s="18"/>
      <c r="M687" s="121"/>
    </row>
    <row r="688" spans="1:13">
      <c r="A688" s="18"/>
      <c r="B688" s="18"/>
      <c r="C688" s="124"/>
      <c r="D688" s="121"/>
      <c r="E688" s="121"/>
      <c r="F688" s="18"/>
      <c r="G688" s="18"/>
      <c r="H688" s="18"/>
      <c r="I688" s="124"/>
      <c r="J688" s="18"/>
      <c r="K688" s="18"/>
      <c r="L688" s="18"/>
      <c r="M688" s="121"/>
    </row>
    <row r="689" spans="1:13">
      <c r="A689" s="18"/>
      <c r="B689" s="18"/>
      <c r="C689" s="124"/>
      <c r="D689" s="121"/>
      <c r="E689" s="121"/>
      <c r="F689" s="18"/>
      <c r="G689" s="18"/>
      <c r="H689" s="18"/>
      <c r="I689" s="124"/>
      <c r="J689" s="18"/>
      <c r="K689" s="18"/>
      <c r="L689" s="18"/>
      <c r="M689" s="121"/>
    </row>
    <row r="690" spans="1:13">
      <c r="A690" s="18"/>
      <c r="B690" s="18"/>
      <c r="C690" s="124"/>
      <c r="D690" s="121"/>
      <c r="E690" s="121"/>
      <c r="F690" s="18"/>
      <c r="G690" s="18"/>
      <c r="H690" s="18"/>
      <c r="I690" s="124"/>
      <c r="J690" s="18"/>
      <c r="K690" s="18"/>
      <c r="L690" s="18"/>
      <c r="M690" s="121"/>
    </row>
    <row r="691" spans="1:13">
      <c r="A691" s="18"/>
      <c r="B691" s="18"/>
      <c r="C691" s="124"/>
      <c r="D691" s="121"/>
      <c r="E691" s="121"/>
      <c r="F691" s="18"/>
      <c r="G691" s="18"/>
      <c r="H691" s="18"/>
      <c r="I691" s="124"/>
      <c r="J691" s="18"/>
      <c r="K691" s="18"/>
      <c r="L691" s="18"/>
      <c r="M691" s="121"/>
    </row>
    <row r="692" spans="1:13">
      <c r="A692" s="18"/>
      <c r="B692" s="18"/>
      <c r="C692" s="124"/>
      <c r="D692" s="121"/>
      <c r="E692" s="121"/>
      <c r="F692" s="18"/>
      <c r="G692" s="18"/>
      <c r="H692" s="18"/>
      <c r="I692" s="124"/>
      <c r="J692" s="18"/>
      <c r="K692" s="18"/>
      <c r="L692" s="18"/>
      <c r="M692" s="121"/>
    </row>
    <row r="693" spans="1:13">
      <c r="A693" s="18"/>
      <c r="B693" s="18"/>
      <c r="C693" s="124"/>
      <c r="D693" s="121"/>
      <c r="E693" s="121"/>
      <c r="F693" s="18"/>
      <c r="G693" s="18"/>
      <c r="H693" s="18"/>
      <c r="I693" s="124"/>
      <c r="J693" s="18"/>
      <c r="K693" s="18"/>
      <c r="L693" s="18"/>
      <c r="M693" s="121"/>
    </row>
    <row r="694" spans="1:13">
      <c r="A694" s="18"/>
      <c r="B694" s="18"/>
      <c r="C694" s="124"/>
      <c r="D694" s="121"/>
      <c r="E694" s="121"/>
      <c r="F694" s="18"/>
      <c r="G694" s="18"/>
      <c r="H694" s="18"/>
      <c r="I694" s="124"/>
      <c r="J694" s="18"/>
      <c r="K694" s="18"/>
      <c r="L694" s="18"/>
      <c r="M694" s="121"/>
    </row>
    <row r="695" spans="1:13">
      <c r="A695" s="18"/>
      <c r="B695" s="18"/>
      <c r="C695" s="124"/>
      <c r="D695" s="121"/>
      <c r="E695" s="121"/>
      <c r="F695" s="18"/>
      <c r="G695" s="18"/>
      <c r="H695" s="18"/>
      <c r="I695" s="124"/>
      <c r="J695" s="18"/>
      <c r="K695" s="18"/>
      <c r="L695" s="18"/>
      <c r="M695" s="121"/>
    </row>
    <row r="696" spans="1:13">
      <c r="A696" s="18"/>
      <c r="B696" s="18"/>
      <c r="C696" s="124"/>
      <c r="D696" s="121"/>
      <c r="E696" s="121"/>
      <c r="F696" s="18"/>
      <c r="G696" s="18"/>
      <c r="H696" s="18"/>
      <c r="I696" s="124"/>
      <c r="J696" s="18"/>
      <c r="K696" s="18"/>
      <c r="L696" s="18"/>
      <c r="M696" s="121"/>
    </row>
    <row r="697" spans="1:13">
      <c r="A697" s="18"/>
      <c r="B697" s="18"/>
      <c r="C697" s="124"/>
      <c r="D697" s="121"/>
      <c r="E697" s="121"/>
      <c r="F697" s="18"/>
      <c r="G697" s="18"/>
      <c r="H697" s="18"/>
      <c r="I697" s="124"/>
      <c r="J697" s="18"/>
      <c r="K697" s="18"/>
      <c r="L697" s="18"/>
      <c r="M697" s="121"/>
    </row>
    <row r="698" spans="1:13">
      <c r="A698" s="18"/>
      <c r="B698" s="18"/>
      <c r="C698" s="124"/>
      <c r="D698" s="121"/>
      <c r="E698" s="121"/>
      <c r="F698" s="18"/>
      <c r="G698" s="18"/>
      <c r="H698" s="18"/>
      <c r="I698" s="124"/>
      <c r="J698" s="18"/>
      <c r="K698" s="18"/>
      <c r="L698" s="18"/>
      <c r="M698" s="121"/>
    </row>
    <row r="699" spans="1:13">
      <c r="A699" s="18"/>
      <c r="B699" s="18"/>
      <c r="C699" s="124"/>
      <c r="D699" s="121"/>
      <c r="E699" s="121"/>
      <c r="F699" s="18"/>
      <c r="G699" s="18"/>
      <c r="H699" s="18"/>
      <c r="I699" s="124"/>
      <c r="J699" s="18"/>
      <c r="K699" s="18"/>
      <c r="L699" s="18"/>
      <c r="M699" s="121"/>
    </row>
    <row r="700" spans="1:13">
      <c r="A700" s="18"/>
      <c r="B700" s="18"/>
      <c r="C700" s="124"/>
      <c r="D700" s="121"/>
      <c r="E700" s="121"/>
      <c r="F700" s="18"/>
      <c r="G700" s="18"/>
      <c r="H700" s="18"/>
      <c r="I700" s="124"/>
      <c r="J700" s="18"/>
      <c r="K700" s="18"/>
      <c r="L700" s="18"/>
      <c r="M700" s="121"/>
    </row>
    <row r="701" spans="1:13">
      <c r="A701" s="18"/>
      <c r="B701" s="18"/>
      <c r="C701" s="124"/>
      <c r="D701" s="121"/>
      <c r="E701" s="121"/>
      <c r="F701" s="18"/>
      <c r="G701" s="18"/>
      <c r="H701" s="18"/>
      <c r="I701" s="124"/>
      <c r="J701" s="18"/>
      <c r="K701" s="18"/>
      <c r="L701" s="18"/>
      <c r="M701" s="121"/>
    </row>
    <row r="702" spans="1:13">
      <c r="A702" s="18"/>
      <c r="B702" s="18"/>
      <c r="C702" s="124"/>
      <c r="D702" s="121"/>
      <c r="E702" s="121"/>
      <c r="F702" s="18"/>
      <c r="G702" s="18"/>
      <c r="H702" s="18"/>
      <c r="I702" s="124"/>
      <c r="J702" s="18"/>
      <c r="K702" s="18"/>
      <c r="L702" s="18"/>
      <c r="M702" s="121"/>
    </row>
    <row r="703" spans="1:13">
      <c r="A703" s="18"/>
      <c r="B703" s="18"/>
      <c r="C703" s="124"/>
      <c r="D703" s="121"/>
      <c r="E703" s="121"/>
      <c r="F703" s="18"/>
      <c r="G703" s="18"/>
      <c r="H703" s="18"/>
      <c r="I703" s="124"/>
      <c r="J703" s="18"/>
      <c r="K703" s="18"/>
      <c r="L703" s="18"/>
      <c r="M703" s="121"/>
    </row>
    <row r="704" spans="1:13">
      <c r="A704" s="18"/>
      <c r="B704" s="18"/>
      <c r="C704" s="124"/>
      <c r="D704" s="121"/>
      <c r="E704" s="121"/>
      <c r="F704" s="18"/>
      <c r="G704" s="18"/>
      <c r="H704" s="18"/>
      <c r="I704" s="124"/>
      <c r="J704" s="18"/>
      <c r="K704" s="18"/>
      <c r="L704" s="18"/>
      <c r="M704" s="121"/>
    </row>
    <row r="705" spans="1:13">
      <c r="A705" s="18"/>
      <c r="B705" s="18"/>
      <c r="C705" s="124"/>
      <c r="D705" s="121"/>
      <c r="E705" s="121"/>
      <c r="F705" s="18"/>
      <c r="G705" s="18"/>
      <c r="H705" s="18"/>
      <c r="I705" s="124"/>
      <c r="J705" s="18"/>
      <c r="K705" s="18"/>
      <c r="L705" s="18"/>
      <c r="M705" s="121"/>
    </row>
    <row r="706" spans="1:13">
      <c r="A706" s="18"/>
      <c r="B706" s="18"/>
      <c r="C706" s="124"/>
      <c r="D706" s="121"/>
      <c r="E706" s="121"/>
      <c r="F706" s="18"/>
      <c r="G706" s="18"/>
      <c r="H706" s="18"/>
      <c r="I706" s="124"/>
      <c r="J706" s="18"/>
      <c r="K706" s="18"/>
      <c r="L706" s="18"/>
      <c r="M706" s="121"/>
    </row>
    <row r="707" spans="1:13">
      <c r="A707" s="18"/>
      <c r="B707" s="18"/>
      <c r="C707" s="124"/>
      <c r="D707" s="121"/>
      <c r="E707" s="121"/>
      <c r="F707" s="18"/>
      <c r="G707" s="18"/>
      <c r="H707" s="18"/>
      <c r="I707" s="124"/>
      <c r="J707" s="18"/>
      <c r="K707" s="18"/>
      <c r="L707" s="18"/>
      <c r="M707" s="121"/>
    </row>
    <row r="708" spans="1:13">
      <c r="A708" s="18"/>
      <c r="B708" s="18"/>
      <c r="C708" s="124"/>
      <c r="D708" s="121"/>
      <c r="E708" s="121"/>
      <c r="F708" s="18"/>
      <c r="G708" s="18"/>
      <c r="H708" s="18"/>
      <c r="I708" s="124"/>
      <c r="J708" s="18"/>
      <c r="K708" s="18"/>
      <c r="L708" s="18"/>
      <c r="M708" s="121"/>
    </row>
    <row r="709" spans="1:13">
      <c r="A709" s="18"/>
      <c r="B709" s="18"/>
      <c r="C709" s="124"/>
      <c r="D709" s="121"/>
      <c r="E709" s="121"/>
      <c r="F709" s="18"/>
      <c r="G709" s="18"/>
      <c r="H709" s="18"/>
      <c r="I709" s="124"/>
      <c r="J709" s="18"/>
      <c r="K709" s="18"/>
      <c r="L709" s="18"/>
      <c r="M709" s="121"/>
    </row>
    <row r="710" spans="1:13">
      <c r="A710" s="18"/>
      <c r="B710" s="18"/>
      <c r="C710" s="124"/>
      <c r="D710" s="121"/>
      <c r="E710" s="121"/>
      <c r="F710" s="18"/>
      <c r="G710" s="18"/>
      <c r="H710" s="18"/>
      <c r="I710" s="124"/>
      <c r="J710" s="18"/>
      <c r="K710" s="18"/>
      <c r="L710" s="18"/>
      <c r="M710" s="121"/>
    </row>
    <row r="711" spans="1:13">
      <c r="A711" s="18"/>
      <c r="B711" s="18"/>
      <c r="C711" s="124"/>
      <c r="D711" s="121"/>
      <c r="E711" s="121"/>
      <c r="F711" s="18"/>
      <c r="G711" s="18"/>
      <c r="H711" s="18"/>
      <c r="I711" s="124"/>
      <c r="J711" s="18"/>
      <c r="K711" s="18"/>
      <c r="L711" s="18"/>
      <c r="M711" s="121"/>
    </row>
    <row r="712" spans="1:13">
      <c r="A712" s="18"/>
      <c r="B712" s="18"/>
      <c r="C712" s="124"/>
      <c r="D712" s="121"/>
      <c r="E712" s="121"/>
      <c r="F712" s="18"/>
      <c r="G712" s="18"/>
      <c r="H712" s="18"/>
      <c r="I712" s="124"/>
      <c r="J712" s="18"/>
      <c r="K712" s="18"/>
      <c r="L712" s="18"/>
      <c r="M712" s="121"/>
    </row>
    <row r="713" spans="1:13">
      <c r="A713" s="18"/>
      <c r="B713" s="18"/>
      <c r="C713" s="124"/>
      <c r="D713" s="121"/>
      <c r="E713" s="121"/>
      <c r="F713" s="18"/>
      <c r="G713" s="18"/>
      <c r="H713" s="18"/>
      <c r="I713" s="124"/>
      <c r="J713" s="18"/>
      <c r="K713" s="18"/>
      <c r="L713" s="18"/>
      <c r="M713" s="121"/>
    </row>
    <row r="714" spans="1:13">
      <c r="A714" s="18"/>
      <c r="B714" s="18"/>
      <c r="C714" s="124"/>
      <c r="D714" s="121"/>
      <c r="E714" s="121"/>
      <c r="F714" s="18"/>
      <c r="G714" s="18"/>
      <c r="H714" s="18"/>
      <c r="I714" s="124"/>
      <c r="J714" s="18"/>
      <c r="K714" s="18"/>
      <c r="L714" s="18"/>
      <c r="M714" s="121"/>
    </row>
    <row r="715" spans="1:13">
      <c r="A715" s="18"/>
      <c r="B715" s="18"/>
      <c r="C715" s="124"/>
      <c r="D715" s="121"/>
      <c r="E715" s="121"/>
      <c r="F715" s="18"/>
      <c r="G715" s="18"/>
      <c r="H715" s="18"/>
      <c r="I715" s="124"/>
      <c r="J715" s="18"/>
      <c r="K715" s="18"/>
      <c r="L715" s="18"/>
      <c r="M715" s="121"/>
    </row>
    <row r="716" spans="1:13">
      <c r="A716" s="18"/>
      <c r="B716" s="18"/>
      <c r="C716" s="124"/>
      <c r="D716" s="121"/>
      <c r="E716" s="121"/>
      <c r="F716" s="18"/>
      <c r="G716" s="18"/>
      <c r="H716" s="18"/>
      <c r="I716" s="124"/>
      <c r="J716" s="18"/>
      <c r="K716" s="18"/>
      <c r="L716" s="18"/>
      <c r="M716" s="121"/>
    </row>
    <row r="717" spans="1:13">
      <c r="A717" s="18"/>
      <c r="B717" s="18"/>
      <c r="C717" s="124"/>
      <c r="D717" s="121"/>
      <c r="E717" s="121"/>
      <c r="F717" s="18"/>
      <c r="G717" s="18"/>
      <c r="H717" s="18"/>
      <c r="I717" s="124"/>
      <c r="J717" s="18"/>
      <c r="K717" s="18"/>
      <c r="L717" s="18"/>
      <c r="M717" s="121"/>
    </row>
    <row r="718" spans="1:13">
      <c r="A718" s="18"/>
      <c r="B718" s="18"/>
      <c r="C718" s="124"/>
      <c r="D718" s="121"/>
      <c r="E718" s="121"/>
      <c r="F718" s="18"/>
      <c r="G718" s="18"/>
      <c r="H718" s="18"/>
      <c r="I718" s="124"/>
      <c r="J718" s="18"/>
      <c r="K718" s="18"/>
      <c r="L718" s="18"/>
      <c r="M718" s="121"/>
    </row>
    <row r="719" spans="1:13">
      <c r="A719" s="18"/>
      <c r="B719" s="18"/>
      <c r="C719" s="124"/>
      <c r="D719" s="121"/>
      <c r="E719" s="121"/>
      <c r="F719" s="18"/>
      <c r="G719" s="18"/>
      <c r="H719" s="18"/>
      <c r="I719" s="124"/>
      <c r="J719" s="18"/>
      <c r="K719" s="18"/>
      <c r="L719" s="18"/>
      <c r="M719" s="121"/>
    </row>
    <row r="720" spans="1:13">
      <c r="A720" s="18"/>
      <c r="B720" s="18"/>
      <c r="C720" s="124"/>
      <c r="D720" s="121"/>
      <c r="E720" s="121"/>
      <c r="F720" s="18"/>
      <c r="G720" s="18"/>
      <c r="H720" s="18"/>
      <c r="I720" s="124"/>
      <c r="J720" s="18"/>
      <c r="K720" s="18"/>
      <c r="L720" s="18"/>
      <c r="M720" s="121"/>
    </row>
    <row r="721" spans="1:13">
      <c r="A721" s="18"/>
      <c r="B721" s="18"/>
      <c r="C721" s="124"/>
      <c r="D721" s="121"/>
      <c r="E721" s="121"/>
      <c r="F721" s="18"/>
      <c r="G721" s="18"/>
      <c r="H721" s="18"/>
      <c r="I721" s="124"/>
      <c r="J721" s="18"/>
      <c r="K721" s="18"/>
      <c r="L721" s="18"/>
      <c r="M721" s="121"/>
    </row>
    <row r="722" spans="1:13">
      <c r="A722" s="18"/>
      <c r="B722" s="18"/>
      <c r="C722" s="124"/>
      <c r="D722" s="121"/>
      <c r="E722" s="121"/>
      <c r="F722" s="18"/>
      <c r="G722" s="18"/>
      <c r="H722" s="18"/>
      <c r="I722" s="124"/>
      <c r="J722" s="18"/>
      <c r="K722" s="18"/>
      <c r="L722" s="18"/>
      <c r="M722" s="121"/>
    </row>
    <row r="723" spans="1:13">
      <c r="A723" s="18"/>
      <c r="B723" s="18"/>
      <c r="C723" s="124"/>
      <c r="D723" s="121"/>
      <c r="E723" s="121"/>
      <c r="F723" s="18"/>
      <c r="G723" s="18"/>
      <c r="H723" s="18"/>
      <c r="I723" s="124"/>
      <c r="J723" s="18"/>
      <c r="K723" s="18"/>
      <c r="L723" s="18"/>
      <c r="M723" s="121"/>
    </row>
    <row r="724" spans="1:13">
      <c r="A724" s="18"/>
      <c r="B724" s="18"/>
      <c r="C724" s="124"/>
      <c r="D724" s="121"/>
      <c r="E724" s="121"/>
      <c r="F724" s="18"/>
      <c r="G724" s="18"/>
      <c r="H724" s="18"/>
      <c r="I724" s="124"/>
      <c r="J724" s="18"/>
      <c r="K724" s="18"/>
      <c r="L724" s="18"/>
      <c r="M724" s="121"/>
    </row>
    <row r="725" spans="1:13">
      <c r="A725" s="18"/>
      <c r="B725" s="18"/>
      <c r="C725" s="124"/>
      <c r="D725" s="121"/>
      <c r="E725" s="121"/>
      <c r="F725" s="18"/>
      <c r="G725" s="18"/>
      <c r="H725" s="18"/>
      <c r="I725" s="124"/>
      <c r="J725" s="18"/>
      <c r="K725" s="18"/>
      <c r="L725" s="18"/>
      <c r="M725" s="121"/>
    </row>
    <row r="726" spans="1:13">
      <c r="A726" s="18"/>
      <c r="B726" s="18"/>
      <c r="C726" s="124"/>
      <c r="D726" s="121"/>
      <c r="E726" s="121"/>
      <c r="F726" s="18"/>
      <c r="G726" s="18"/>
      <c r="H726" s="18"/>
      <c r="I726" s="124"/>
      <c r="J726" s="18"/>
      <c r="K726" s="18"/>
      <c r="L726" s="18"/>
      <c r="M726" s="121"/>
    </row>
    <row r="727" spans="1:13">
      <c r="A727" s="18"/>
      <c r="B727" s="18"/>
      <c r="C727" s="124"/>
      <c r="D727" s="121"/>
      <c r="E727" s="121"/>
      <c r="F727" s="18"/>
      <c r="G727" s="18"/>
      <c r="H727" s="18"/>
      <c r="I727" s="124"/>
      <c r="J727" s="18"/>
      <c r="K727" s="18"/>
      <c r="L727" s="18"/>
      <c r="M727" s="121"/>
    </row>
    <row r="728" spans="1:13">
      <c r="A728" s="18"/>
      <c r="B728" s="18"/>
      <c r="C728" s="124"/>
      <c r="D728" s="121"/>
      <c r="E728" s="121"/>
      <c r="F728" s="18"/>
      <c r="G728" s="18"/>
      <c r="H728" s="18"/>
      <c r="I728" s="124"/>
      <c r="J728" s="18"/>
      <c r="K728" s="18"/>
      <c r="L728" s="18"/>
      <c r="M728" s="121"/>
    </row>
    <row r="729" spans="1:13">
      <c r="A729" s="18"/>
      <c r="B729" s="18"/>
      <c r="C729" s="124"/>
      <c r="D729" s="121"/>
      <c r="E729" s="121"/>
      <c r="F729" s="18"/>
      <c r="G729" s="18"/>
      <c r="H729" s="18"/>
      <c r="I729" s="124"/>
      <c r="J729" s="18"/>
      <c r="K729" s="18"/>
      <c r="L729" s="18"/>
      <c r="M729" s="121"/>
    </row>
    <row r="730" spans="1:13">
      <c r="A730" s="18"/>
      <c r="B730" s="18"/>
      <c r="C730" s="124"/>
      <c r="D730" s="121"/>
      <c r="E730" s="121"/>
      <c r="F730" s="18"/>
      <c r="G730" s="18"/>
      <c r="H730" s="18"/>
      <c r="I730" s="124"/>
      <c r="J730" s="18"/>
      <c r="K730" s="18"/>
      <c r="L730" s="18"/>
      <c r="M730" s="121"/>
    </row>
    <row r="731" spans="1:13">
      <c r="A731" s="18"/>
      <c r="B731" s="18"/>
      <c r="C731" s="124"/>
      <c r="D731" s="121"/>
      <c r="E731" s="121"/>
      <c r="F731" s="18"/>
      <c r="G731" s="18"/>
      <c r="H731" s="18"/>
      <c r="I731" s="124"/>
      <c r="J731" s="18"/>
      <c r="K731" s="18"/>
      <c r="L731" s="18"/>
      <c r="M731" s="121"/>
    </row>
    <row r="732" spans="1:13">
      <c r="A732" s="18"/>
      <c r="B732" s="18"/>
      <c r="C732" s="124"/>
      <c r="D732" s="121"/>
      <c r="E732" s="121"/>
      <c r="F732" s="18"/>
      <c r="G732" s="18"/>
      <c r="H732" s="18"/>
      <c r="I732" s="124"/>
      <c r="J732" s="18"/>
      <c r="K732" s="18"/>
      <c r="L732" s="18"/>
      <c r="M732" s="121"/>
    </row>
    <row r="733" spans="1:13">
      <c r="A733" s="18"/>
      <c r="B733" s="18"/>
      <c r="C733" s="124"/>
      <c r="D733" s="121"/>
      <c r="E733" s="121"/>
      <c r="F733" s="18"/>
      <c r="G733" s="18"/>
      <c r="H733" s="18"/>
      <c r="I733" s="124"/>
      <c r="J733" s="18"/>
      <c r="K733" s="18"/>
      <c r="L733" s="18"/>
      <c r="M733" s="121"/>
    </row>
    <row r="734" spans="1:13">
      <c r="A734" s="18"/>
      <c r="B734" s="18"/>
      <c r="C734" s="124"/>
      <c r="D734" s="121"/>
      <c r="E734" s="121"/>
      <c r="F734" s="18"/>
      <c r="G734" s="18"/>
      <c r="H734" s="18"/>
      <c r="I734" s="124"/>
      <c r="J734" s="18"/>
      <c r="K734" s="18"/>
      <c r="L734" s="18"/>
      <c r="M734" s="121"/>
    </row>
    <row r="735" spans="1:13">
      <c r="A735" s="18"/>
      <c r="B735" s="18"/>
      <c r="C735" s="124"/>
      <c r="D735" s="121"/>
      <c r="E735" s="121"/>
      <c r="F735" s="18"/>
      <c r="G735" s="18"/>
      <c r="H735" s="18"/>
      <c r="I735" s="124"/>
      <c r="J735" s="18"/>
      <c r="K735" s="18"/>
      <c r="L735" s="18"/>
      <c r="M735" s="121"/>
    </row>
    <row r="736" spans="1:13">
      <c r="A736" s="18"/>
      <c r="B736" s="18"/>
      <c r="C736" s="124"/>
      <c r="D736" s="121"/>
      <c r="E736" s="121"/>
      <c r="F736" s="18"/>
      <c r="G736" s="18"/>
      <c r="H736" s="18"/>
      <c r="I736" s="124"/>
      <c r="J736" s="18"/>
      <c r="K736" s="18"/>
      <c r="L736" s="18"/>
      <c r="M736" s="121"/>
    </row>
    <row r="737" spans="1:13">
      <c r="A737" s="18"/>
      <c r="B737" s="18"/>
      <c r="C737" s="124"/>
      <c r="D737" s="121"/>
      <c r="E737" s="121"/>
      <c r="F737" s="18"/>
      <c r="G737" s="18"/>
      <c r="H737" s="18"/>
      <c r="I737" s="124"/>
      <c r="J737" s="18"/>
      <c r="K737" s="18"/>
      <c r="L737" s="18"/>
      <c r="M737" s="121"/>
    </row>
    <row r="738" spans="1:13">
      <c r="A738" s="18"/>
      <c r="B738" s="18"/>
      <c r="C738" s="124"/>
      <c r="D738" s="121"/>
      <c r="E738" s="121"/>
      <c r="F738" s="18"/>
      <c r="G738" s="18"/>
      <c r="H738" s="18"/>
      <c r="I738" s="124"/>
      <c r="J738" s="18"/>
      <c r="K738" s="18"/>
      <c r="L738" s="18"/>
      <c r="M738" s="121"/>
    </row>
    <row r="739" spans="1:13">
      <c r="A739" s="18"/>
      <c r="B739" s="18"/>
      <c r="C739" s="124"/>
      <c r="D739" s="121"/>
      <c r="E739" s="121"/>
      <c r="F739" s="18"/>
      <c r="G739" s="18"/>
      <c r="H739" s="18"/>
      <c r="I739" s="124"/>
      <c r="J739" s="18"/>
      <c r="K739" s="18"/>
      <c r="L739" s="18"/>
      <c r="M739" s="121"/>
    </row>
    <row r="740" spans="1:13">
      <c r="A740" s="18"/>
      <c r="B740" s="18"/>
      <c r="C740" s="124"/>
      <c r="D740" s="121"/>
      <c r="E740" s="121"/>
      <c r="F740" s="18"/>
      <c r="G740" s="18"/>
      <c r="H740" s="18"/>
      <c r="I740" s="124"/>
      <c r="J740" s="18"/>
      <c r="K740" s="18"/>
      <c r="L740" s="18"/>
      <c r="M740" s="121"/>
    </row>
    <row r="741" spans="1:13">
      <c r="A741" s="18"/>
      <c r="B741" s="18"/>
      <c r="C741" s="124"/>
      <c r="D741" s="121"/>
      <c r="E741" s="121"/>
      <c r="F741" s="18"/>
      <c r="G741" s="18"/>
      <c r="H741" s="18"/>
      <c r="I741" s="124"/>
      <c r="J741" s="18"/>
      <c r="K741" s="18"/>
      <c r="L741" s="18"/>
      <c r="M741" s="121"/>
    </row>
    <row r="742" spans="1:13">
      <c r="A742" s="18"/>
      <c r="B742" s="18"/>
      <c r="C742" s="124"/>
      <c r="D742" s="121"/>
      <c r="E742" s="121"/>
      <c r="F742" s="18"/>
      <c r="G742" s="18"/>
      <c r="H742" s="18"/>
      <c r="I742" s="124"/>
      <c r="J742" s="18"/>
      <c r="K742" s="18"/>
      <c r="L742" s="18"/>
      <c r="M742" s="121"/>
    </row>
    <row r="743" spans="1:13">
      <c r="A743" s="18"/>
      <c r="B743" s="18"/>
      <c r="C743" s="124"/>
      <c r="D743" s="121"/>
      <c r="E743" s="121"/>
      <c r="F743" s="18"/>
      <c r="G743" s="18"/>
      <c r="H743" s="18"/>
      <c r="I743" s="124"/>
      <c r="J743" s="18"/>
      <c r="K743" s="18"/>
      <c r="L743" s="18"/>
      <c r="M743" s="121"/>
    </row>
    <row r="744" spans="1:13">
      <c r="A744" s="18"/>
      <c r="B744" s="18"/>
      <c r="C744" s="124"/>
      <c r="D744" s="121"/>
      <c r="E744" s="121"/>
      <c r="F744" s="18"/>
      <c r="G744" s="18"/>
      <c r="H744" s="18"/>
      <c r="I744" s="124"/>
      <c r="J744" s="18"/>
      <c r="K744" s="18"/>
      <c r="L744" s="18"/>
      <c r="M744" s="121"/>
    </row>
    <row r="745" spans="1:13">
      <c r="A745" s="18"/>
      <c r="B745" s="18"/>
      <c r="C745" s="124"/>
      <c r="D745" s="121"/>
      <c r="E745" s="121"/>
      <c r="F745" s="18"/>
      <c r="G745" s="18"/>
      <c r="H745" s="18"/>
      <c r="I745" s="124"/>
      <c r="J745" s="18"/>
      <c r="K745" s="18"/>
      <c r="L745" s="18"/>
      <c r="M745" s="121"/>
    </row>
    <row r="746" spans="1:13">
      <c r="A746" s="18"/>
      <c r="B746" s="18"/>
      <c r="C746" s="124"/>
      <c r="D746" s="121"/>
      <c r="E746" s="121"/>
      <c r="F746" s="18"/>
      <c r="G746" s="18"/>
      <c r="H746" s="18"/>
      <c r="I746" s="124"/>
      <c r="J746" s="18"/>
      <c r="K746" s="18"/>
      <c r="L746" s="18"/>
      <c r="M746" s="121"/>
    </row>
    <row r="747" spans="1:13">
      <c r="A747" s="18"/>
      <c r="B747" s="18"/>
      <c r="C747" s="124"/>
      <c r="D747" s="121"/>
      <c r="E747" s="121"/>
      <c r="F747" s="18"/>
      <c r="G747" s="18"/>
      <c r="H747" s="18"/>
      <c r="I747" s="124"/>
      <c r="J747" s="18"/>
      <c r="K747" s="18"/>
      <c r="L747" s="18"/>
      <c r="M747" s="121"/>
    </row>
    <row r="748" spans="1:13">
      <c r="A748" s="18"/>
      <c r="B748" s="18"/>
      <c r="C748" s="124"/>
      <c r="D748" s="121"/>
      <c r="E748" s="121"/>
      <c r="F748" s="18"/>
      <c r="G748" s="18"/>
      <c r="H748" s="18"/>
      <c r="I748" s="124"/>
      <c r="J748" s="18"/>
      <c r="K748" s="18"/>
      <c r="L748" s="18"/>
      <c r="M748" s="121"/>
    </row>
    <row r="749" spans="1:13">
      <c r="A749" s="18"/>
      <c r="B749" s="18"/>
      <c r="C749" s="124"/>
      <c r="D749" s="121"/>
      <c r="E749" s="121"/>
      <c r="F749" s="18"/>
      <c r="G749" s="18"/>
      <c r="H749" s="18"/>
      <c r="I749" s="124"/>
      <c r="J749" s="18"/>
      <c r="K749" s="18"/>
      <c r="L749" s="18"/>
      <c r="M749" s="121"/>
    </row>
    <row r="750" spans="1:13">
      <c r="A750" s="18"/>
      <c r="B750" s="18"/>
      <c r="C750" s="124"/>
      <c r="D750" s="121"/>
      <c r="E750" s="121"/>
      <c r="F750" s="18"/>
      <c r="G750" s="18"/>
      <c r="H750" s="18"/>
      <c r="I750" s="124"/>
      <c r="J750" s="18"/>
      <c r="K750" s="18"/>
      <c r="L750" s="18"/>
      <c r="M750" s="121"/>
    </row>
    <row r="751" spans="1:13">
      <c r="A751" s="18"/>
      <c r="B751" s="18"/>
      <c r="C751" s="124"/>
      <c r="D751" s="121"/>
      <c r="E751" s="121"/>
      <c r="F751" s="18"/>
      <c r="G751" s="18"/>
      <c r="H751" s="18"/>
      <c r="I751" s="124"/>
      <c r="J751" s="18"/>
      <c r="K751" s="18"/>
      <c r="L751" s="18"/>
      <c r="M751" s="121"/>
    </row>
    <row r="752" spans="1:13">
      <c r="A752" s="18"/>
      <c r="B752" s="18"/>
      <c r="C752" s="124"/>
      <c r="D752" s="121"/>
      <c r="E752" s="121"/>
      <c r="F752" s="18"/>
      <c r="G752" s="18"/>
      <c r="H752" s="18"/>
      <c r="I752" s="124"/>
      <c r="J752" s="18"/>
      <c r="K752" s="18"/>
      <c r="L752" s="18"/>
      <c r="M752" s="121"/>
    </row>
    <row r="753" spans="1:13">
      <c r="A753" s="18"/>
      <c r="B753" s="18"/>
      <c r="C753" s="124"/>
      <c r="D753" s="121"/>
      <c r="E753" s="121"/>
      <c r="F753" s="18"/>
      <c r="G753" s="18"/>
      <c r="H753" s="18"/>
      <c r="I753" s="124"/>
      <c r="J753" s="18"/>
      <c r="K753" s="18"/>
      <c r="L753" s="18"/>
      <c r="M753" s="121"/>
    </row>
    <row r="754" spans="1:13">
      <c r="A754" s="18"/>
      <c r="B754" s="18"/>
      <c r="C754" s="124"/>
      <c r="D754" s="121"/>
      <c r="E754" s="121"/>
      <c r="F754" s="18"/>
      <c r="G754" s="18"/>
      <c r="H754" s="18"/>
      <c r="I754" s="124"/>
      <c r="J754" s="18"/>
      <c r="K754" s="18"/>
      <c r="L754" s="18"/>
      <c r="M754" s="121"/>
    </row>
    <row r="755" spans="1:13">
      <c r="A755" s="18"/>
      <c r="B755" s="18"/>
      <c r="C755" s="124"/>
      <c r="D755" s="121"/>
      <c r="E755" s="121"/>
      <c r="F755" s="18"/>
      <c r="G755" s="18"/>
      <c r="H755" s="18"/>
      <c r="I755" s="124"/>
      <c r="J755" s="18"/>
      <c r="K755" s="18"/>
      <c r="L755" s="18"/>
      <c r="M755" s="121"/>
    </row>
    <row r="756" spans="1:13">
      <c r="A756" s="18"/>
      <c r="B756" s="18"/>
      <c r="C756" s="124"/>
      <c r="D756" s="121"/>
      <c r="E756" s="121"/>
      <c r="F756" s="18"/>
      <c r="G756" s="18"/>
      <c r="H756" s="18"/>
      <c r="I756" s="124"/>
      <c r="J756" s="18"/>
      <c r="K756" s="18"/>
      <c r="L756" s="18"/>
      <c r="M756" s="121"/>
    </row>
    <row r="757" spans="1:13">
      <c r="A757" s="18"/>
      <c r="B757" s="18"/>
      <c r="C757" s="124"/>
      <c r="D757" s="121"/>
      <c r="E757" s="121"/>
      <c r="F757" s="18"/>
      <c r="G757" s="18"/>
      <c r="H757" s="18"/>
      <c r="I757" s="124"/>
      <c r="J757" s="18"/>
      <c r="K757" s="18"/>
      <c r="L757" s="18"/>
      <c r="M757" s="121"/>
    </row>
    <row r="758" spans="1:13">
      <c r="A758" s="18"/>
      <c r="B758" s="18"/>
      <c r="C758" s="124"/>
      <c r="D758" s="121"/>
      <c r="E758" s="121"/>
      <c r="F758" s="18"/>
      <c r="G758" s="18"/>
      <c r="H758" s="18"/>
      <c r="I758" s="124"/>
      <c r="J758" s="18"/>
      <c r="K758" s="18"/>
      <c r="L758" s="18"/>
      <c r="M758" s="121"/>
    </row>
    <row r="759" spans="1:13">
      <c r="A759" s="18"/>
      <c r="B759" s="18"/>
      <c r="C759" s="124"/>
      <c r="D759" s="121"/>
      <c r="E759" s="121"/>
      <c r="F759" s="18"/>
      <c r="G759" s="18"/>
      <c r="H759" s="18"/>
      <c r="I759" s="124"/>
      <c r="J759" s="18"/>
      <c r="K759" s="18"/>
      <c r="L759" s="18"/>
      <c r="M759" s="121"/>
    </row>
    <row r="760" spans="1:13">
      <c r="A760" s="18"/>
      <c r="B760" s="18"/>
      <c r="C760" s="124"/>
      <c r="D760" s="121"/>
      <c r="E760" s="121"/>
      <c r="F760" s="18"/>
      <c r="G760" s="18"/>
      <c r="H760" s="18"/>
      <c r="I760" s="124"/>
      <c r="J760" s="18"/>
      <c r="K760" s="18"/>
      <c r="L760" s="18"/>
      <c r="M760" s="121"/>
    </row>
    <row r="761" spans="1:13">
      <c r="A761" s="18"/>
      <c r="B761" s="18"/>
      <c r="C761" s="124"/>
      <c r="D761" s="121"/>
      <c r="E761" s="121"/>
      <c r="F761" s="18"/>
      <c r="G761" s="18"/>
      <c r="H761" s="18"/>
      <c r="I761" s="124"/>
      <c r="J761" s="18"/>
      <c r="K761" s="18"/>
      <c r="L761" s="18"/>
      <c r="M761" s="121"/>
    </row>
    <row r="762" spans="1:13">
      <c r="A762" s="18"/>
      <c r="B762" s="18"/>
      <c r="C762" s="124"/>
      <c r="D762" s="121"/>
      <c r="E762" s="121"/>
      <c r="F762" s="18"/>
      <c r="G762" s="18"/>
      <c r="H762" s="18"/>
      <c r="I762" s="124"/>
      <c r="J762" s="18"/>
      <c r="K762" s="18"/>
      <c r="L762" s="18"/>
      <c r="M762" s="121"/>
    </row>
    <row r="763" spans="1:13">
      <c r="A763" s="18"/>
      <c r="B763" s="18"/>
      <c r="C763" s="124"/>
      <c r="D763" s="121"/>
      <c r="E763" s="121"/>
      <c r="F763" s="18"/>
      <c r="G763" s="18"/>
      <c r="H763" s="18"/>
      <c r="I763" s="124"/>
      <c r="J763" s="18"/>
      <c r="K763" s="18"/>
      <c r="L763" s="18"/>
      <c r="M763" s="121"/>
    </row>
    <row r="764" spans="1:13">
      <c r="A764" s="18"/>
      <c r="B764" s="18"/>
      <c r="C764" s="124"/>
      <c r="D764" s="121"/>
      <c r="E764" s="121"/>
      <c r="F764" s="18"/>
      <c r="G764" s="18"/>
      <c r="H764" s="18"/>
      <c r="I764" s="124"/>
      <c r="J764" s="18"/>
      <c r="K764" s="18"/>
      <c r="L764" s="18"/>
      <c r="M764" s="121"/>
    </row>
    <row r="765" spans="1:13">
      <c r="A765" s="18"/>
      <c r="B765" s="18"/>
      <c r="C765" s="124"/>
      <c r="D765" s="121"/>
      <c r="E765" s="121"/>
      <c r="F765" s="18"/>
      <c r="G765" s="18"/>
      <c r="H765" s="18"/>
      <c r="I765" s="124"/>
      <c r="J765" s="18"/>
      <c r="K765" s="18"/>
      <c r="L765" s="18"/>
      <c r="M765" s="121"/>
    </row>
    <row r="766" spans="1:13">
      <c r="A766" s="18"/>
      <c r="B766" s="18"/>
      <c r="C766" s="124"/>
      <c r="D766" s="121"/>
      <c r="E766" s="121"/>
      <c r="F766" s="18"/>
      <c r="G766" s="18"/>
      <c r="H766" s="18"/>
      <c r="I766" s="124"/>
      <c r="J766" s="18"/>
      <c r="K766" s="18"/>
      <c r="L766" s="18"/>
      <c r="M766" s="121"/>
    </row>
    <row r="767" spans="1:13">
      <c r="A767" s="18"/>
      <c r="B767" s="18"/>
      <c r="C767" s="124"/>
      <c r="D767" s="121"/>
      <c r="E767" s="121"/>
      <c r="F767" s="18"/>
      <c r="G767" s="18"/>
      <c r="H767" s="18"/>
      <c r="I767" s="124"/>
      <c r="J767" s="18"/>
      <c r="K767" s="18"/>
      <c r="L767" s="18"/>
      <c r="M767" s="121"/>
    </row>
    <row r="768" spans="1:13">
      <c r="A768" s="18"/>
      <c r="B768" s="18"/>
      <c r="C768" s="124"/>
      <c r="D768" s="121"/>
      <c r="E768" s="121"/>
      <c r="F768" s="18"/>
      <c r="G768" s="18"/>
      <c r="H768" s="18"/>
      <c r="I768" s="124"/>
      <c r="J768" s="18"/>
      <c r="K768" s="18"/>
      <c r="L768" s="18"/>
      <c r="M768" s="121"/>
    </row>
    <row r="769" spans="1:13">
      <c r="A769" s="18"/>
      <c r="B769" s="18"/>
      <c r="C769" s="124"/>
      <c r="D769" s="121"/>
      <c r="E769" s="121"/>
      <c r="F769" s="18"/>
      <c r="G769" s="18"/>
      <c r="H769" s="18"/>
      <c r="I769" s="124"/>
      <c r="J769" s="18"/>
      <c r="K769" s="18"/>
      <c r="L769" s="18"/>
      <c r="M769" s="121"/>
    </row>
    <row r="770" spans="1:13">
      <c r="A770" s="18"/>
      <c r="B770" s="18"/>
      <c r="C770" s="124"/>
      <c r="D770" s="121"/>
      <c r="E770" s="121"/>
      <c r="F770" s="18"/>
      <c r="G770" s="18"/>
      <c r="H770" s="18"/>
      <c r="I770" s="124"/>
      <c r="J770" s="18"/>
      <c r="K770" s="18"/>
      <c r="L770" s="18"/>
      <c r="M770" s="121"/>
    </row>
    <row r="771" spans="1:13">
      <c r="A771" s="18"/>
      <c r="B771" s="18"/>
      <c r="C771" s="124"/>
      <c r="D771" s="121"/>
      <c r="E771" s="121"/>
      <c r="F771" s="18"/>
      <c r="G771" s="18"/>
      <c r="H771" s="18"/>
      <c r="I771" s="124"/>
      <c r="J771" s="18"/>
      <c r="K771" s="18"/>
      <c r="L771" s="18"/>
      <c r="M771" s="121"/>
    </row>
    <row r="772" spans="1:13">
      <c r="A772" s="18"/>
      <c r="B772" s="18"/>
      <c r="C772" s="124"/>
      <c r="D772" s="121"/>
      <c r="E772" s="121"/>
      <c r="F772" s="18"/>
      <c r="G772" s="18"/>
      <c r="H772" s="18"/>
      <c r="I772" s="124"/>
      <c r="J772" s="18"/>
      <c r="K772" s="18"/>
      <c r="L772" s="18"/>
      <c r="M772" s="121"/>
    </row>
    <row r="773" spans="1:13">
      <c r="A773" s="18"/>
      <c r="B773" s="18"/>
      <c r="C773" s="124"/>
      <c r="D773" s="121"/>
      <c r="E773" s="121"/>
      <c r="F773" s="18"/>
      <c r="G773" s="18"/>
      <c r="H773" s="18"/>
      <c r="I773" s="124"/>
      <c r="J773" s="18"/>
      <c r="K773" s="18"/>
      <c r="L773" s="18"/>
      <c r="M773" s="121"/>
    </row>
    <row r="774" spans="1:13">
      <c r="A774" s="18"/>
      <c r="B774" s="18"/>
      <c r="C774" s="124"/>
      <c r="D774" s="121"/>
      <c r="E774" s="121"/>
      <c r="F774" s="18"/>
      <c r="G774" s="18"/>
      <c r="H774" s="18"/>
      <c r="I774" s="124"/>
      <c r="J774" s="18"/>
      <c r="K774" s="18"/>
      <c r="L774" s="18"/>
      <c r="M774" s="121"/>
    </row>
    <row r="775" spans="1:13">
      <c r="A775" s="18"/>
      <c r="B775" s="18"/>
      <c r="C775" s="124"/>
      <c r="D775" s="121"/>
      <c r="E775" s="121"/>
      <c r="F775" s="18"/>
      <c r="G775" s="18"/>
      <c r="H775" s="18"/>
      <c r="I775" s="124"/>
      <c r="J775" s="18"/>
      <c r="K775" s="18"/>
      <c r="L775" s="18"/>
      <c r="M775" s="121"/>
    </row>
    <row r="776" spans="1:13">
      <c r="A776" s="18"/>
      <c r="B776" s="18"/>
      <c r="C776" s="124"/>
      <c r="D776" s="121"/>
      <c r="E776" s="121"/>
      <c r="F776" s="18"/>
      <c r="G776" s="18"/>
      <c r="H776" s="18"/>
      <c r="I776" s="124"/>
      <c r="J776" s="18"/>
      <c r="K776" s="18"/>
      <c r="L776" s="18"/>
      <c r="M776" s="121"/>
    </row>
    <row r="777" spans="1:13">
      <c r="A777" s="18"/>
      <c r="B777" s="18"/>
      <c r="C777" s="124"/>
      <c r="D777" s="121"/>
      <c r="E777" s="121"/>
      <c r="F777" s="18"/>
      <c r="G777" s="18"/>
      <c r="H777" s="18"/>
      <c r="I777" s="124"/>
      <c r="J777" s="18"/>
      <c r="K777" s="18"/>
      <c r="L777" s="18"/>
      <c r="M777" s="121"/>
    </row>
    <row r="778" spans="1:13">
      <c r="A778" s="18"/>
      <c r="B778" s="18"/>
      <c r="C778" s="124"/>
      <c r="D778" s="121"/>
      <c r="E778" s="121"/>
      <c r="F778" s="18"/>
      <c r="G778" s="18"/>
      <c r="H778" s="18"/>
      <c r="I778" s="124"/>
      <c r="J778" s="18"/>
      <c r="K778" s="18"/>
      <c r="L778" s="18"/>
      <c r="M778" s="121"/>
    </row>
    <row r="779" spans="1:13">
      <c r="A779" s="18"/>
      <c r="B779" s="18"/>
      <c r="C779" s="124"/>
      <c r="D779" s="121"/>
      <c r="E779" s="121"/>
      <c r="F779" s="18"/>
      <c r="G779" s="18"/>
      <c r="H779" s="18"/>
      <c r="I779" s="124"/>
      <c r="J779" s="18"/>
      <c r="K779" s="18"/>
      <c r="L779" s="18"/>
      <c r="M779" s="121"/>
    </row>
    <row r="780" spans="1:13">
      <c r="A780" s="18"/>
      <c r="B780" s="18"/>
      <c r="C780" s="124"/>
      <c r="D780" s="121"/>
      <c r="E780" s="121"/>
      <c r="F780" s="18"/>
      <c r="G780" s="18"/>
      <c r="H780" s="18"/>
      <c r="I780" s="124"/>
      <c r="J780" s="18"/>
      <c r="K780" s="18"/>
      <c r="L780" s="18"/>
      <c r="M780" s="121"/>
    </row>
    <row r="781" spans="1:13">
      <c r="A781" s="18"/>
      <c r="B781" s="18"/>
      <c r="C781" s="124"/>
      <c r="D781" s="121"/>
      <c r="E781" s="121"/>
      <c r="F781" s="18"/>
      <c r="G781" s="18"/>
      <c r="H781" s="18"/>
      <c r="I781" s="124"/>
      <c r="J781" s="18"/>
      <c r="K781" s="18"/>
      <c r="L781" s="18"/>
      <c r="M781" s="121"/>
    </row>
    <row r="782" spans="1:13">
      <c r="A782" s="18"/>
      <c r="B782" s="18"/>
      <c r="C782" s="124"/>
      <c r="D782" s="121"/>
      <c r="E782" s="121"/>
      <c r="F782" s="18"/>
      <c r="G782" s="18"/>
      <c r="H782" s="18"/>
      <c r="I782" s="124"/>
      <c r="J782" s="18"/>
      <c r="K782" s="18"/>
      <c r="L782" s="18"/>
      <c r="M782" s="121"/>
    </row>
    <row r="783" spans="1:13">
      <c r="A783" s="18"/>
      <c r="B783" s="18"/>
      <c r="C783" s="124"/>
      <c r="D783" s="121"/>
      <c r="E783" s="121"/>
      <c r="F783" s="18"/>
      <c r="G783" s="18"/>
      <c r="H783" s="18"/>
      <c r="I783" s="124"/>
      <c r="J783" s="18"/>
      <c r="K783" s="18"/>
      <c r="L783" s="18"/>
      <c r="M783" s="121"/>
    </row>
    <row r="784" spans="1:13">
      <c r="A784" s="18"/>
      <c r="B784" s="18"/>
      <c r="C784" s="124"/>
      <c r="D784" s="121"/>
      <c r="E784" s="121"/>
      <c r="F784" s="18"/>
      <c r="G784" s="18"/>
      <c r="H784" s="18"/>
      <c r="I784" s="124"/>
      <c r="J784" s="18"/>
      <c r="K784" s="18"/>
      <c r="L784" s="18"/>
      <c r="M784" s="121"/>
    </row>
    <row r="785" spans="1:13">
      <c r="A785" s="18"/>
      <c r="B785" s="18"/>
      <c r="C785" s="124"/>
      <c r="D785" s="121"/>
      <c r="E785" s="121"/>
      <c r="F785" s="18"/>
      <c r="G785" s="18"/>
      <c r="H785" s="18"/>
      <c r="I785" s="124"/>
      <c r="J785" s="18"/>
      <c r="K785" s="18"/>
      <c r="L785" s="18"/>
      <c r="M785" s="121"/>
    </row>
    <row r="786" spans="1:13">
      <c r="A786" s="18"/>
      <c r="B786" s="18"/>
      <c r="C786" s="124"/>
      <c r="D786" s="121"/>
      <c r="E786" s="121"/>
      <c r="F786" s="18"/>
      <c r="G786" s="18"/>
      <c r="H786" s="18"/>
      <c r="I786" s="124"/>
      <c r="J786" s="18"/>
      <c r="K786" s="18"/>
      <c r="L786" s="18"/>
      <c r="M786" s="121"/>
    </row>
    <row r="787" spans="1:13">
      <c r="A787" s="18"/>
      <c r="B787" s="18"/>
      <c r="C787" s="124"/>
      <c r="D787" s="121"/>
      <c r="E787" s="121"/>
      <c r="F787" s="18"/>
      <c r="G787" s="18"/>
      <c r="H787" s="18"/>
      <c r="I787" s="124"/>
      <c r="J787" s="18"/>
      <c r="K787" s="18"/>
      <c r="L787" s="18"/>
      <c r="M787" s="121"/>
    </row>
    <row r="788" spans="1:13">
      <c r="A788" s="18"/>
      <c r="B788" s="18"/>
      <c r="C788" s="124"/>
      <c r="D788" s="121"/>
      <c r="E788" s="121"/>
      <c r="F788" s="18"/>
      <c r="G788" s="18"/>
      <c r="H788" s="18"/>
      <c r="I788" s="124"/>
      <c r="J788" s="18"/>
      <c r="K788" s="18"/>
      <c r="L788" s="18"/>
      <c r="M788" s="121"/>
    </row>
    <row r="789" spans="1:13">
      <c r="A789" s="18"/>
      <c r="B789" s="18"/>
      <c r="C789" s="124"/>
      <c r="D789" s="121"/>
      <c r="E789" s="121"/>
      <c r="F789" s="18"/>
      <c r="G789" s="18"/>
      <c r="H789" s="18"/>
      <c r="I789" s="124"/>
      <c r="J789" s="18"/>
      <c r="K789" s="18"/>
      <c r="L789" s="18"/>
      <c r="M789" s="121"/>
    </row>
    <row r="790" spans="1:13">
      <c r="A790" s="18"/>
      <c r="B790" s="18"/>
      <c r="C790" s="124"/>
      <c r="D790" s="121"/>
      <c r="E790" s="121"/>
      <c r="F790" s="18"/>
      <c r="G790" s="18"/>
      <c r="H790" s="18"/>
      <c r="I790" s="124"/>
      <c r="J790" s="18"/>
      <c r="K790" s="18"/>
      <c r="L790" s="18"/>
      <c r="M790" s="121"/>
    </row>
    <row r="791" spans="1:13">
      <c r="A791" s="18"/>
      <c r="B791" s="18"/>
      <c r="C791" s="124"/>
      <c r="D791" s="121"/>
      <c r="E791" s="121"/>
      <c r="F791" s="18"/>
      <c r="G791" s="18"/>
      <c r="H791" s="18"/>
      <c r="I791" s="124"/>
      <c r="J791" s="18"/>
      <c r="K791" s="18"/>
      <c r="L791" s="18"/>
      <c r="M791" s="121"/>
    </row>
    <row r="792" spans="1:13">
      <c r="A792" s="18"/>
      <c r="B792" s="18"/>
      <c r="C792" s="124"/>
      <c r="D792" s="121"/>
      <c r="E792" s="121"/>
      <c r="F792" s="18"/>
      <c r="G792" s="18"/>
      <c r="H792" s="18"/>
      <c r="I792" s="124"/>
      <c r="J792" s="18"/>
      <c r="K792" s="18"/>
      <c r="L792" s="18"/>
      <c r="M792" s="121"/>
    </row>
    <row r="793" spans="1:13">
      <c r="A793" s="18"/>
      <c r="B793" s="18"/>
      <c r="C793" s="124"/>
      <c r="D793" s="121"/>
      <c r="E793" s="121"/>
      <c r="F793" s="18"/>
      <c r="G793" s="18"/>
      <c r="H793" s="18"/>
      <c r="I793" s="124"/>
      <c r="J793" s="18"/>
      <c r="K793" s="18"/>
      <c r="L793" s="18"/>
      <c r="M793" s="121"/>
    </row>
    <row r="794" spans="1:13">
      <c r="A794" s="18"/>
      <c r="B794" s="18"/>
      <c r="C794" s="124"/>
      <c r="D794" s="121"/>
      <c r="E794" s="121"/>
      <c r="F794" s="18"/>
      <c r="G794" s="18"/>
      <c r="H794" s="18"/>
      <c r="I794" s="124"/>
      <c r="J794" s="18"/>
      <c r="K794" s="18"/>
      <c r="L794" s="18"/>
      <c r="M794" s="121"/>
    </row>
    <row r="795" spans="1:13">
      <c r="A795" s="18"/>
      <c r="B795" s="18"/>
      <c r="C795" s="124"/>
      <c r="D795" s="121"/>
      <c r="E795" s="121"/>
      <c r="F795" s="18"/>
      <c r="G795" s="18"/>
      <c r="H795" s="18"/>
      <c r="I795" s="124"/>
      <c r="J795" s="18"/>
      <c r="K795" s="18"/>
      <c r="L795" s="18"/>
      <c r="M795" s="121"/>
    </row>
    <row r="796" spans="1:13">
      <c r="A796" s="18"/>
      <c r="B796" s="18"/>
      <c r="C796" s="124"/>
      <c r="D796" s="121"/>
      <c r="E796" s="121"/>
      <c r="F796" s="18"/>
      <c r="G796" s="18"/>
      <c r="H796" s="18"/>
      <c r="I796" s="124"/>
      <c r="J796" s="18"/>
      <c r="K796" s="18"/>
      <c r="L796" s="18"/>
      <c r="M796" s="121"/>
    </row>
    <row r="797" spans="1:13">
      <c r="A797" s="18"/>
      <c r="B797" s="18"/>
      <c r="C797" s="124"/>
      <c r="D797" s="121"/>
      <c r="E797" s="121"/>
      <c r="F797" s="18"/>
      <c r="G797" s="18"/>
      <c r="H797" s="18"/>
      <c r="I797" s="124"/>
      <c r="J797" s="18"/>
      <c r="K797" s="18"/>
      <c r="L797" s="18"/>
      <c r="M797" s="121"/>
    </row>
    <row r="798" spans="1:13">
      <c r="A798" s="18"/>
      <c r="B798" s="18"/>
      <c r="C798" s="124"/>
      <c r="D798" s="121"/>
      <c r="E798" s="121"/>
      <c r="F798" s="18"/>
      <c r="G798" s="18"/>
      <c r="H798" s="18"/>
      <c r="I798" s="124"/>
      <c r="J798" s="18"/>
      <c r="K798" s="18"/>
      <c r="L798" s="18"/>
      <c r="M798" s="121"/>
    </row>
    <row r="799" spans="1:13">
      <c r="A799" s="18"/>
      <c r="B799" s="18"/>
      <c r="C799" s="124"/>
      <c r="D799" s="121"/>
      <c r="E799" s="121"/>
      <c r="F799" s="18"/>
      <c r="G799" s="18"/>
      <c r="H799" s="18"/>
      <c r="I799" s="124"/>
      <c r="J799" s="18"/>
      <c r="K799" s="18"/>
      <c r="L799" s="18"/>
      <c r="M799" s="121"/>
    </row>
    <row r="800" spans="1:13">
      <c r="A800" s="18"/>
      <c r="B800" s="18"/>
      <c r="C800" s="124"/>
      <c r="D800" s="121"/>
      <c r="E800" s="121"/>
      <c r="F800" s="18"/>
      <c r="G800" s="18"/>
      <c r="H800" s="18"/>
      <c r="I800" s="124"/>
      <c r="J800" s="18"/>
      <c r="K800" s="18"/>
      <c r="L800" s="18"/>
      <c r="M800" s="121"/>
    </row>
    <row r="801" spans="1:13">
      <c r="A801" s="18"/>
      <c r="B801" s="18"/>
      <c r="C801" s="124"/>
      <c r="D801" s="121"/>
      <c r="E801" s="121"/>
      <c r="F801" s="18"/>
      <c r="G801" s="18"/>
      <c r="H801" s="18"/>
      <c r="I801" s="124"/>
      <c r="J801" s="18"/>
      <c r="K801" s="18"/>
      <c r="L801" s="18"/>
      <c r="M801" s="121"/>
    </row>
    <row r="802" spans="1:13">
      <c r="A802" s="18"/>
      <c r="B802" s="18"/>
      <c r="C802" s="124"/>
      <c r="D802" s="121"/>
      <c r="E802" s="121"/>
      <c r="F802" s="18"/>
      <c r="G802" s="18"/>
      <c r="H802" s="18"/>
      <c r="I802" s="124"/>
      <c r="J802" s="18"/>
      <c r="K802" s="18"/>
      <c r="L802" s="18"/>
      <c r="M802" s="121"/>
    </row>
    <row r="803" spans="1:13">
      <c r="A803" s="18"/>
      <c r="B803" s="18"/>
      <c r="C803" s="124"/>
      <c r="D803" s="121"/>
      <c r="E803" s="121"/>
      <c r="F803" s="18"/>
      <c r="G803" s="18"/>
      <c r="H803" s="18"/>
      <c r="I803" s="124"/>
      <c r="J803" s="18"/>
      <c r="K803" s="18"/>
      <c r="L803" s="18"/>
      <c r="M803" s="121"/>
    </row>
    <row r="804" spans="1:13">
      <c r="A804" s="18"/>
      <c r="B804" s="18"/>
      <c r="C804" s="124"/>
      <c r="D804" s="121"/>
      <c r="E804" s="121"/>
      <c r="F804" s="18"/>
      <c r="G804" s="18"/>
      <c r="H804" s="18"/>
      <c r="I804" s="124"/>
      <c r="J804" s="18"/>
      <c r="K804" s="18"/>
      <c r="L804" s="18"/>
      <c r="M804" s="121"/>
    </row>
    <row r="805" spans="1:13">
      <c r="A805" s="18"/>
      <c r="B805" s="18"/>
      <c r="C805" s="124"/>
      <c r="D805" s="121"/>
      <c r="E805" s="121"/>
      <c r="F805" s="18"/>
      <c r="G805" s="18"/>
      <c r="H805" s="18"/>
      <c r="I805" s="124"/>
      <c r="J805" s="18"/>
      <c r="K805" s="18"/>
      <c r="L805" s="18"/>
      <c r="M805" s="121"/>
    </row>
    <row r="806" spans="1:13">
      <c r="A806" s="18"/>
      <c r="B806" s="18"/>
      <c r="C806" s="124"/>
      <c r="D806" s="121"/>
      <c r="E806" s="121"/>
      <c r="F806" s="18"/>
      <c r="G806" s="18"/>
      <c r="H806" s="18"/>
      <c r="I806" s="124"/>
      <c r="J806" s="18"/>
      <c r="K806" s="18"/>
      <c r="L806" s="18"/>
      <c r="M806" s="121"/>
    </row>
    <row r="807" spans="1:13">
      <c r="A807" s="18"/>
      <c r="B807" s="18"/>
      <c r="C807" s="124"/>
      <c r="D807" s="121"/>
      <c r="E807" s="121"/>
      <c r="F807" s="18"/>
      <c r="G807" s="18"/>
      <c r="H807" s="18"/>
      <c r="I807" s="124"/>
      <c r="J807" s="18"/>
      <c r="K807" s="18"/>
      <c r="L807" s="18"/>
      <c r="M807" s="121"/>
    </row>
    <row r="808" spans="1:13">
      <c r="A808" s="18"/>
      <c r="B808" s="18"/>
      <c r="C808" s="124"/>
      <c r="D808" s="121"/>
      <c r="E808" s="121"/>
      <c r="F808" s="18"/>
      <c r="G808" s="18"/>
      <c r="H808" s="18"/>
      <c r="I808" s="124"/>
      <c r="J808" s="18"/>
      <c r="K808" s="18"/>
      <c r="L808" s="18"/>
      <c r="M808" s="121"/>
    </row>
    <row r="809" spans="1:13">
      <c r="A809" s="18"/>
      <c r="B809" s="18"/>
      <c r="C809" s="124"/>
      <c r="D809" s="121"/>
      <c r="E809" s="121"/>
      <c r="F809" s="18"/>
      <c r="G809" s="18"/>
      <c r="H809" s="18"/>
      <c r="I809" s="124"/>
      <c r="J809" s="18"/>
      <c r="K809" s="18"/>
      <c r="L809" s="18"/>
      <c r="M809" s="121"/>
    </row>
    <row r="810" spans="1:13">
      <c r="A810" s="18"/>
      <c r="B810" s="18"/>
      <c r="C810" s="124"/>
      <c r="D810" s="121"/>
      <c r="E810" s="121"/>
      <c r="F810" s="18"/>
      <c r="G810" s="18"/>
      <c r="H810" s="18"/>
      <c r="I810" s="124"/>
      <c r="J810" s="18"/>
      <c r="K810" s="18"/>
      <c r="L810" s="18"/>
      <c r="M810" s="121"/>
    </row>
    <row r="811" spans="1:13">
      <c r="A811" s="18"/>
      <c r="B811" s="18"/>
      <c r="C811" s="124"/>
      <c r="D811" s="121"/>
      <c r="E811" s="121"/>
      <c r="F811" s="18"/>
      <c r="G811" s="18"/>
      <c r="H811" s="18"/>
      <c r="I811" s="124"/>
      <c r="J811" s="18"/>
      <c r="K811" s="18"/>
      <c r="L811" s="18"/>
      <c r="M811" s="121"/>
    </row>
    <row r="812" spans="1:13">
      <c r="A812" s="18"/>
      <c r="B812" s="18"/>
      <c r="C812" s="124"/>
      <c r="D812" s="121"/>
      <c r="E812" s="121"/>
      <c r="F812" s="18"/>
      <c r="G812" s="18"/>
      <c r="H812" s="18"/>
      <c r="I812" s="124"/>
      <c r="J812" s="18"/>
      <c r="K812" s="18"/>
      <c r="L812" s="18"/>
      <c r="M812" s="121"/>
    </row>
    <row r="813" spans="1:13">
      <c r="A813" s="18"/>
      <c r="B813" s="18"/>
      <c r="C813" s="124"/>
      <c r="D813" s="121"/>
      <c r="E813" s="121"/>
      <c r="F813" s="18"/>
      <c r="G813" s="18"/>
      <c r="H813" s="18"/>
      <c r="I813" s="124"/>
      <c r="J813" s="18"/>
      <c r="K813" s="18"/>
      <c r="L813" s="18"/>
      <c r="M813" s="121"/>
    </row>
    <row r="814" spans="1:13">
      <c r="A814" s="18"/>
      <c r="B814" s="18"/>
      <c r="C814" s="124"/>
      <c r="D814" s="121"/>
      <c r="E814" s="121"/>
      <c r="F814" s="18"/>
      <c r="G814" s="18"/>
      <c r="H814" s="18"/>
      <c r="I814" s="124"/>
      <c r="J814" s="18"/>
      <c r="K814" s="18"/>
      <c r="L814" s="18"/>
      <c r="M814" s="121"/>
    </row>
    <row r="815" spans="1:13">
      <c r="A815" s="18"/>
      <c r="B815" s="18"/>
      <c r="C815" s="124"/>
      <c r="D815" s="121"/>
      <c r="E815" s="121"/>
      <c r="F815" s="18"/>
      <c r="G815" s="18"/>
      <c r="H815" s="18"/>
      <c r="I815" s="124"/>
      <c r="J815" s="18"/>
      <c r="K815" s="18"/>
      <c r="L815" s="18"/>
      <c r="M815" s="121"/>
    </row>
    <row r="816" spans="1:13">
      <c r="A816" s="18"/>
      <c r="B816" s="18"/>
      <c r="C816" s="124"/>
      <c r="D816" s="121"/>
      <c r="E816" s="121"/>
      <c r="F816" s="18"/>
      <c r="G816" s="18"/>
      <c r="H816" s="18"/>
      <c r="I816" s="124"/>
      <c r="J816" s="18"/>
      <c r="K816" s="18"/>
      <c r="L816" s="18"/>
      <c r="M816" s="121"/>
    </row>
    <row r="817" spans="1:13">
      <c r="A817" s="18"/>
      <c r="B817" s="18"/>
      <c r="C817" s="124"/>
      <c r="D817" s="121"/>
      <c r="E817" s="121"/>
      <c r="F817" s="18"/>
      <c r="G817" s="18"/>
      <c r="H817" s="18"/>
      <c r="I817" s="124"/>
      <c r="J817" s="18"/>
      <c r="K817" s="18"/>
      <c r="L817" s="18"/>
      <c r="M817" s="121"/>
    </row>
    <row r="818" spans="1:13">
      <c r="A818" s="18"/>
      <c r="B818" s="18"/>
      <c r="C818" s="124"/>
      <c r="D818" s="121"/>
      <c r="E818" s="121"/>
      <c r="F818" s="18"/>
      <c r="G818" s="18"/>
      <c r="H818" s="18"/>
      <c r="I818" s="124"/>
      <c r="J818" s="18"/>
      <c r="K818" s="18"/>
      <c r="L818" s="18"/>
      <c r="M818" s="121"/>
    </row>
    <row r="819" spans="1:13">
      <c r="A819" s="18"/>
      <c r="B819" s="18"/>
      <c r="C819" s="124"/>
      <c r="D819" s="121"/>
      <c r="E819" s="121"/>
      <c r="F819" s="18"/>
      <c r="G819" s="18"/>
      <c r="H819" s="18"/>
      <c r="I819" s="124"/>
      <c r="J819" s="18"/>
      <c r="K819" s="18"/>
      <c r="L819" s="18"/>
      <c r="M819" s="121"/>
    </row>
    <row r="820" spans="1:13">
      <c r="A820" s="18"/>
      <c r="B820" s="18"/>
      <c r="C820" s="124"/>
      <c r="D820" s="121"/>
      <c r="E820" s="121"/>
      <c r="F820" s="18"/>
      <c r="G820" s="18"/>
      <c r="H820" s="18"/>
      <c r="I820" s="124"/>
      <c r="J820" s="18"/>
      <c r="K820" s="18"/>
      <c r="L820" s="18"/>
      <c r="M820" s="121"/>
    </row>
    <row r="821" spans="1:13">
      <c r="A821" s="18"/>
      <c r="B821" s="18"/>
      <c r="C821" s="124"/>
      <c r="D821" s="121"/>
      <c r="E821" s="121"/>
      <c r="F821" s="18"/>
      <c r="G821" s="18"/>
      <c r="H821" s="18"/>
      <c r="I821" s="124"/>
      <c r="J821" s="18"/>
      <c r="K821" s="18"/>
      <c r="L821" s="18"/>
      <c r="M821" s="121"/>
    </row>
    <row r="822" spans="1:13">
      <c r="A822" s="18"/>
      <c r="B822" s="18"/>
      <c r="C822" s="124"/>
      <c r="D822" s="121"/>
      <c r="E822" s="121"/>
      <c r="F822" s="18"/>
      <c r="G822" s="18"/>
      <c r="H822" s="18"/>
      <c r="I822" s="124"/>
      <c r="J822" s="18"/>
      <c r="K822" s="18"/>
      <c r="L822" s="18"/>
      <c r="M822" s="121"/>
    </row>
    <row r="823" spans="1:13">
      <c r="A823" s="18"/>
      <c r="B823" s="18"/>
      <c r="C823" s="124"/>
      <c r="D823" s="121"/>
      <c r="E823" s="121"/>
      <c r="F823" s="18"/>
      <c r="G823" s="18"/>
      <c r="H823" s="18"/>
      <c r="I823" s="124"/>
      <c r="J823" s="18"/>
      <c r="K823" s="18"/>
      <c r="L823" s="18"/>
      <c r="M823" s="121"/>
    </row>
    <row r="824" spans="1:13">
      <c r="A824" s="18"/>
      <c r="B824" s="18"/>
      <c r="C824" s="124"/>
      <c r="D824" s="121"/>
      <c r="E824" s="121"/>
      <c r="F824" s="18"/>
      <c r="G824" s="18"/>
      <c r="H824" s="18"/>
      <c r="I824" s="124"/>
      <c r="J824" s="18"/>
      <c r="K824" s="18"/>
      <c r="L824" s="18"/>
      <c r="M824" s="121"/>
    </row>
    <row r="825" spans="1:13">
      <c r="A825" s="18"/>
      <c r="B825" s="18"/>
      <c r="C825" s="124"/>
      <c r="D825" s="121"/>
      <c r="E825" s="121"/>
      <c r="F825" s="18"/>
      <c r="G825" s="18"/>
      <c r="H825" s="18"/>
      <c r="I825" s="124"/>
      <c r="J825" s="18"/>
      <c r="K825" s="18"/>
      <c r="L825" s="18"/>
      <c r="M825" s="121"/>
    </row>
    <row r="826" spans="1:13">
      <c r="A826" s="18"/>
      <c r="B826" s="18"/>
      <c r="C826" s="124"/>
      <c r="D826" s="121"/>
      <c r="E826" s="121"/>
      <c r="F826" s="18"/>
      <c r="G826" s="18"/>
      <c r="H826" s="18"/>
      <c r="I826" s="124"/>
      <c r="J826" s="18"/>
      <c r="K826" s="18"/>
      <c r="L826" s="18"/>
      <c r="M826" s="121"/>
    </row>
    <row r="827" spans="1:13">
      <c r="A827" s="18"/>
      <c r="B827" s="18"/>
      <c r="C827" s="124"/>
      <c r="D827" s="121"/>
      <c r="E827" s="121"/>
      <c r="F827" s="18"/>
      <c r="G827" s="18"/>
      <c r="H827" s="18"/>
      <c r="I827" s="124"/>
      <c r="J827" s="18"/>
      <c r="K827" s="18"/>
      <c r="L827" s="18"/>
      <c r="M827" s="121"/>
    </row>
    <row r="828" spans="1:13">
      <c r="A828" s="18"/>
      <c r="B828" s="18"/>
      <c r="C828" s="124"/>
      <c r="D828" s="121"/>
      <c r="E828" s="121"/>
      <c r="F828" s="18"/>
      <c r="G828" s="18"/>
      <c r="H828" s="18"/>
      <c r="I828" s="124"/>
      <c r="J828" s="18"/>
      <c r="K828" s="18"/>
      <c r="L828" s="18"/>
      <c r="M828" s="121"/>
    </row>
    <row r="829" spans="1:13">
      <c r="A829" s="18"/>
      <c r="B829" s="18"/>
      <c r="C829" s="124"/>
      <c r="D829" s="121"/>
      <c r="E829" s="121"/>
      <c r="F829" s="18"/>
      <c r="G829" s="18"/>
      <c r="H829" s="18"/>
      <c r="I829" s="124"/>
      <c r="J829" s="18"/>
      <c r="K829" s="18"/>
      <c r="L829" s="18"/>
      <c r="M829" s="121"/>
    </row>
    <row r="830" spans="1:13">
      <c r="A830" s="18"/>
      <c r="B830" s="18"/>
      <c r="C830" s="124"/>
      <c r="D830" s="121"/>
      <c r="E830" s="121"/>
      <c r="F830" s="18"/>
      <c r="G830" s="18"/>
      <c r="H830" s="18"/>
      <c r="I830" s="124"/>
      <c r="J830" s="18"/>
      <c r="K830" s="18"/>
      <c r="L830" s="18"/>
      <c r="M830" s="121"/>
    </row>
    <row r="831" spans="1:13">
      <c r="A831" s="18"/>
      <c r="B831" s="18"/>
      <c r="C831" s="124"/>
      <c r="D831" s="121"/>
      <c r="E831" s="121"/>
      <c r="F831" s="18"/>
      <c r="G831" s="18"/>
      <c r="H831" s="18"/>
      <c r="I831" s="124"/>
      <c r="J831" s="18"/>
      <c r="K831" s="18"/>
      <c r="L831" s="18"/>
      <c r="M831" s="121"/>
    </row>
    <row r="832" spans="1:13">
      <c r="A832" s="18"/>
      <c r="B832" s="18"/>
      <c r="C832" s="124"/>
      <c r="D832" s="121"/>
      <c r="E832" s="121"/>
      <c r="F832" s="18"/>
      <c r="G832" s="18"/>
      <c r="H832" s="18"/>
      <c r="I832" s="124"/>
      <c r="J832" s="18"/>
      <c r="K832" s="18"/>
      <c r="L832" s="18"/>
      <c r="M832" s="121"/>
    </row>
    <row r="833" spans="1:13">
      <c r="A833" s="18"/>
      <c r="B833" s="18"/>
      <c r="C833" s="124"/>
      <c r="D833" s="121"/>
      <c r="E833" s="121"/>
      <c r="F833" s="18"/>
      <c r="G833" s="18"/>
      <c r="H833" s="18"/>
      <c r="I833" s="124"/>
      <c r="J833" s="18"/>
      <c r="K833" s="18"/>
      <c r="L833" s="18"/>
      <c r="M833" s="121"/>
    </row>
    <row r="834" spans="1:13">
      <c r="A834" s="18"/>
      <c r="B834" s="18"/>
      <c r="C834" s="124"/>
      <c r="D834" s="121"/>
      <c r="E834" s="121"/>
      <c r="F834" s="18"/>
      <c r="G834" s="18"/>
      <c r="H834" s="18"/>
      <c r="I834" s="124"/>
      <c r="J834" s="18"/>
      <c r="K834" s="18"/>
      <c r="L834" s="18"/>
      <c r="M834" s="121"/>
    </row>
    <row r="835" spans="1:13">
      <c r="A835" s="18"/>
      <c r="B835" s="18"/>
      <c r="C835" s="124"/>
      <c r="D835" s="121"/>
      <c r="E835" s="121"/>
      <c r="F835" s="18"/>
      <c r="G835" s="18"/>
      <c r="H835" s="18"/>
      <c r="I835" s="124"/>
      <c r="J835" s="18"/>
      <c r="K835" s="18"/>
      <c r="L835" s="18"/>
      <c r="M835" s="121"/>
    </row>
    <row r="836" spans="1:13">
      <c r="A836" s="18"/>
      <c r="B836" s="18"/>
      <c r="C836" s="124"/>
      <c r="D836" s="121"/>
      <c r="E836" s="121"/>
      <c r="F836" s="18"/>
      <c r="G836" s="18"/>
      <c r="H836" s="18"/>
      <c r="I836" s="124"/>
      <c r="J836" s="18"/>
      <c r="K836" s="18"/>
      <c r="L836" s="18"/>
      <c r="M836" s="121"/>
    </row>
    <row r="837" spans="1:13">
      <c r="A837" s="18"/>
      <c r="B837" s="18"/>
      <c r="C837" s="124"/>
      <c r="D837" s="121"/>
      <c r="E837" s="121"/>
      <c r="F837" s="18"/>
      <c r="G837" s="18"/>
      <c r="H837" s="18"/>
      <c r="I837" s="124"/>
      <c r="J837" s="18"/>
      <c r="K837" s="18"/>
      <c r="L837" s="18"/>
      <c r="M837" s="121"/>
    </row>
    <row r="838" spans="1:13">
      <c r="A838" s="18"/>
      <c r="B838" s="18"/>
      <c r="C838" s="124"/>
      <c r="D838" s="121"/>
      <c r="E838" s="121"/>
      <c r="F838" s="18"/>
      <c r="G838" s="18"/>
      <c r="H838" s="18"/>
      <c r="I838" s="124"/>
      <c r="J838" s="18"/>
      <c r="K838" s="18"/>
      <c r="L838" s="18"/>
      <c r="M838" s="121"/>
    </row>
    <row r="839" spans="1:13">
      <c r="A839" s="18"/>
      <c r="B839" s="18"/>
      <c r="C839" s="124"/>
      <c r="D839" s="121"/>
      <c r="E839" s="121"/>
      <c r="F839" s="18"/>
      <c r="G839" s="18"/>
      <c r="H839" s="18"/>
      <c r="I839" s="124"/>
      <c r="J839" s="18"/>
      <c r="K839" s="18"/>
      <c r="L839" s="18"/>
      <c r="M839" s="121"/>
    </row>
    <row r="840" spans="1:13">
      <c r="A840" s="18"/>
      <c r="B840" s="18"/>
      <c r="C840" s="124"/>
      <c r="D840" s="121"/>
      <c r="E840" s="121"/>
      <c r="F840" s="18"/>
      <c r="G840" s="18"/>
      <c r="H840" s="18"/>
      <c r="I840" s="124"/>
      <c r="J840" s="18"/>
      <c r="K840" s="18"/>
      <c r="L840" s="18"/>
      <c r="M840" s="121"/>
    </row>
    <row r="841" spans="1:13">
      <c r="A841" s="18"/>
      <c r="B841" s="18"/>
      <c r="C841" s="124"/>
      <c r="D841" s="121"/>
      <c r="E841" s="121"/>
      <c r="F841" s="18"/>
      <c r="G841" s="18"/>
      <c r="H841" s="18"/>
      <c r="I841" s="124"/>
      <c r="J841" s="18"/>
      <c r="K841" s="18"/>
      <c r="L841" s="18"/>
      <c r="M841" s="121"/>
    </row>
    <row r="842" spans="1:13">
      <c r="A842" s="18"/>
      <c r="B842" s="18"/>
      <c r="C842" s="124"/>
      <c r="D842" s="121"/>
      <c r="E842" s="121"/>
      <c r="F842" s="18"/>
      <c r="G842" s="18"/>
      <c r="H842" s="18"/>
      <c r="I842" s="124"/>
      <c r="J842" s="18"/>
      <c r="K842" s="18"/>
      <c r="L842" s="18"/>
      <c r="M842" s="121"/>
    </row>
    <row r="843" spans="1:13">
      <c r="A843" s="18"/>
      <c r="B843" s="18"/>
      <c r="C843" s="124"/>
      <c r="D843" s="121"/>
      <c r="E843" s="121"/>
      <c r="F843" s="18"/>
      <c r="G843" s="18"/>
      <c r="H843" s="18"/>
      <c r="I843" s="124"/>
      <c r="J843" s="18"/>
      <c r="K843" s="18"/>
      <c r="L843" s="18"/>
      <c r="M843" s="121"/>
    </row>
    <row r="844" spans="1:13">
      <c r="A844" s="18"/>
      <c r="B844" s="18"/>
      <c r="C844" s="124"/>
      <c r="D844" s="121"/>
      <c r="E844" s="121"/>
      <c r="F844" s="18"/>
      <c r="G844" s="18"/>
      <c r="H844" s="18"/>
      <c r="I844" s="124"/>
      <c r="J844" s="18"/>
      <c r="K844" s="18"/>
      <c r="L844" s="18"/>
      <c r="M844" s="121"/>
    </row>
    <row r="845" spans="1:13">
      <c r="A845" s="18"/>
      <c r="B845" s="18"/>
      <c r="C845" s="124"/>
      <c r="D845" s="121"/>
      <c r="E845" s="121"/>
      <c r="F845" s="18"/>
      <c r="G845" s="18"/>
      <c r="H845" s="18"/>
      <c r="I845" s="124"/>
      <c r="J845" s="18"/>
      <c r="K845" s="18"/>
      <c r="L845" s="18"/>
      <c r="M845" s="121"/>
    </row>
    <row r="846" spans="1:13">
      <c r="A846" s="18"/>
      <c r="B846" s="18"/>
      <c r="C846" s="124"/>
      <c r="D846" s="121"/>
      <c r="E846" s="121"/>
      <c r="F846" s="18"/>
      <c r="G846" s="18"/>
      <c r="H846" s="18"/>
      <c r="I846" s="124"/>
      <c r="J846" s="18"/>
      <c r="K846" s="18"/>
      <c r="L846" s="18"/>
      <c r="M846" s="121"/>
    </row>
    <row r="847" spans="1:13">
      <c r="A847" s="18"/>
      <c r="B847" s="18"/>
      <c r="C847" s="124"/>
      <c r="D847" s="121"/>
      <c r="E847" s="121"/>
      <c r="F847" s="18"/>
      <c r="G847" s="18"/>
      <c r="H847" s="18"/>
      <c r="I847" s="124"/>
      <c r="J847" s="18"/>
      <c r="K847" s="18"/>
      <c r="L847" s="18"/>
      <c r="M847" s="121"/>
    </row>
    <row r="848" spans="1:13">
      <c r="A848" s="18"/>
      <c r="B848" s="18"/>
      <c r="C848" s="124"/>
      <c r="D848" s="121"/>
      <c r="E848" s="121"/>
      <c r="F848" s="18"/>
      <c r="G848" s="18"/>
      <c r="H848" s="18"/>
      <c r="I848" s="124"/>
      <c r="J848" s="18"/>
      <c r="K848" s="18"/>
      <c r="L848" s="18"/>
      <c r="M848" s="121"/>
    </row>
    <row r="849" spans="1:13">
      <c r="A849" s="18"/>
      <c r="B849" s="18"/>
      <c r="C849" s="124"/>
      <c r="D849" s="121"/>
      <c r="E849" s="121"/>
      <c r="F849" s="18"/>
      <c r="G849" s="18"/>
      <c r="H849" s="18"/>
      <c r="I849" s="124"/>
      <c r="J849" s="18"/>
      <c r="K849" s="18"/>
      <c r="L849" s="18"/>
      <c r="M849" s="121"/>
    </row>
    <row r="850" spans="1:13">
      <c r="A850" s="18"/>
      <c r="B850" s="18"/>
      <c r="C850" s="124"/>
      <c r="D850" s="121"/>
      <c r="E850" s="121"/>
      <c r="F850" s="18"/>
      <c r="G850" s="18"/>
      <c r="H850" s="18"/>
      <c r="I850" s="124"/>
      <c r="J850" s="18"/>
      <c r="K850" s="18"/>
      <c r="L850" s="18"/>
      <c r="M850" s="121"/>
    </row>
    <row r="851" spans="1:13">
      <c r="A851" s="18"/>
      <c r="B851" s="18"/>
      <c r="C851" s="124"/>
      <c r="D851" s="121"/>
      <c r="E851" s="121"/>
      <c r="F851" s="18"/>
      <c r="G851" s="18"/>
      <c r="H851" s="18"/>
      <c r="I851" s="124"/>
      <c r="J851" s="18"/>
      <c r="K851" s="18"/>
      <c r="L851" s="18"/>
      <c r="M851" s="121"/>
    </row>
    <row r="852" spans="1:13">
      <c r="A852" s="18"/>
      <c r="B852" s="18"/>
      <c r="C852" s="124"/>
      <c r="D852" s="121"/>
      <c r="E852" s="121"/>
      <c r="F852" s="18"/>
      <c r="G852" s="18"/>
      <c r="H852" s="18"/>
      <c r="I852" s="124"/>
      <c r="J852" s="18"/>
      <c r="K852" s="18"/>
      <c r="L852" s="18"/>
      <c r="M852" s="121"/>
    </row>
    <row r="853" spans="1:13">
      <c r="A853" s="18"/>
      <c r="B853" s="18"/>
      <c r="C853" s="124"/>
      <c r="D853" s="121"/>
      <c r="E853" s="121"/>
      <c r="F853" s="18"/>
      <c r="G853" s="18"/>
      <c r="H853" s="18"/>
      <c r="I853" s="124"/>
      <c r="J853" s="18"/>
      <c r="K853" s="18"/>
      <c r="L853" s="18"/>
      <c r="M853" s="121"/>
    </row>
    <row r="854" spans="1:13">
      <c r="A854" s="18"/>
      <c r="B854" s="18"/>
      <c r="C854" s="124"/>
      <c r="D854" s="121"/>
      <c r="E854" s="121"/>
      <c r="F854" s="18"/>
      <c r="G854" s="18"/>
      <c r="H854" s="18"/>
      <c r="I854" s="124"/>
      <c r="J854" s="18"/>
      <c r="K854" s="18"/>
      <c r="L854" s="18"/>
      <c r="M854" s="121"/>
    </row>
    <row r="855" spans="1:13">
      <c r="A855" s="18"/>
      <c r="B855" s="18"/>
      <c r="C855" s="124"/>
      <c r="D855" s="121"/>
      <c r="E855" s="121"/>
      <c r="F855" s="18"/>
      <c r="G855" s="18"/>
      <c r="H855" s="18"/>
      <c r="I855" s="124"/>
      <c r="J855" s="18"/>
      <c r="K855" s="18"/>
      <c r="L855" s="18"/>
      <c r="M855" s="121"/>
    </row>
    <row r="856" spans="1:13">
      <c r="A856" s="18"/>
      <c r="B856" s="18"/>
      <c r="C856" s="124"/>
      <c r="D856" s="121"/>
      <c r="E856" s="121"/>
      <c r="F856" s="18"/>
      <c r="G856" s="18"/>
      <c r="H856" s="18"/>
      <c r="I856" s="124"/>
      <c r="J856" s="18"/>
      <c r="K856" s="18"/>
      <c r="L856" s="18"/>
      <c r="M856" s="121"/>
    </row>
    <row r="857" spans="1:13">
      <c r="A857" s="18"/>
      <c r="B857" s="18"/>
      <c r="C857" s="124"/>
      <c r="D857" s="121"/>
      <c r="E857" s="121"/>
      <c r="F857" s="18"/>
      <c r="G857" s="18"/>
      <c r="H857" s="18"/>
      <c r="I857" s="124"/>
      <c r="J857" s="18"/>
      <c r="K857" s="18"/>
      <c r="L857" s="18"/>
      <c r="M857" s="121"/>
    </row>
    <row r="858" spans="1:13">
      <c r="A858" s="18"/>
      <c r="B858" s="18"/>
      <c r="C858" s="124"/>
      <c r="D858" s="121"/>
      <c r="E858" s="121"/>
      <c r="F858" s="18"/>
      <c r="G858" s="18"/>
      <c r="H858" s="18"/>
      <c r="I858" s="124"/>
      <c r="J858" s="18"/>
      <c r="K858" s="18"/>
      <c r="L858" s="18"/>
      <c r="M858" s="121"/>
    </row>
    <row r="859" spans="1:13">
      <c r="A859" s="18"/>
      <c r="B859" s="18"/>
      <c r="C859" s="124"/>
      <c r="D859" s="121"/>
      <c r="E859" s="121"/>
      <c r="F859" s="18"/>
      <c r="G859" s="18"/>
      <c r="H859" s="18"/>
      <c r="I859" s="124"/>
      <c r="J859" s="18"/>
      <c r="K859" s="18"/>
      <c r="L859" s="18"/>
      <c r="M859" s="121"/>
    </row>
    <row r="860" spans="1:13">
      <c r="A860" s="18"/>
      <c r="B860" s="18"/>
      <c r="C860" s="124"/>
      <c r="D860" s="121"/>
      <c r="E860" s="121"/>
      <c r="F860" s="18"/>
      <c r="G860" s="18"/>
      <c r="H860" s="18"/>
      <c r="I860" s="124"/>
      <c r="J860" s="18"/>
      <c r="K860" s="18"/>
      <c r="L860" s="18"/>
      <c r="M860" s="121"/>
    </row>
    <row r="861" spans="1:13">
      <c r="A861" s="18"/>
      <c r="B861" s="18"/>
      <c r="C861" s="124"/>
      <c r="D861" s="121"/>
      <c r="E861" s="121"/>
      <c r="F861" s="18"/>
      <c r="G861" s="18"/>
      <c r="H861" s="18"/>
      <c r="I861" s="124"/>
      <c r="J861" s="18"/>
      <c r="K861" s="18"/>
      <c r="L861" s="18"/>
      <c r="M861" s="121"/>
    </row>
    <row r="862" spans="1:13">
      <c r="A862" s="18"/>
      <c r="B862" s="18"/>
      <c r="C862" s="124"/>
      <c r="D862" s="121"/>
      <c r="E862" s="121"/>
      <c r="F862" s="18"/>
      <c r="G862" s="18"/>
      <c r="H862" s="18"/>
      <c r="I862" s="124"/>
      <c r="J862" s="18"/>
      <c r="K862" s="18"/>
      <c r="L862" s="18"/>
      <c r="M862" s="121"/>
    </row>
    <row r="863" spans="1:13">
      <c r="A863" s="18"/>
      <c r="B863" s="18"/>
      <c r="C863" s="124"/>
      <c r="D863" s="121"/>
      <c r="E863" s="121"/>
      <c r="F863" s="18"/>
      <c r="G863" s="18"/>
      <c r="H863" s="18"/>
      <c r="I863" s="124"/>
      <c r="J863" s="18"/>
      <c r="K863" s="18"/>
      <c r="L863" s="18"/>
      <c r="M863" s="121"/>
    </row>
    <row r="864" spans="1:13">
      <c r="A864" s="18"/>
      <c r="B864" s="18"/>
      <c r="C864" s="124"/>
      <c r="D864" s="121"/>
      <c r="E864" s="121"/>
      <c r="F864" s="18"/>
      <c r="G864" s="18"/>
      <c r="H864" s="18"/>
      <c r="I864" s="124"/>
      <c r="J864" s="18"/>
      <c r="K864" s="18"/>
      <c r="L864" s="18"/>
      <c r="M864" s="121"/>
    </row>
    <row r="865" spans="1:13">
      <c r="A865" s="18"/>
      <c r="B865" s="18"/>
      <c r="C865" s="124"/>
      <c r="D865" s="121"/>
      <c r="E865" s="121"/>
      <c r="F865" s="18"/>
      <c r="G865" s="18"/>
      <c r="H865" s="18"/>
      <c r="I865" s="124"/>
      <c r="J865" s="18"/>
      <c r="K865" s="18"/>
      <c r="L865" s="18"/>
      <c r="M865" s="121"/>
    </row>
    <row r="866" spans="1:13">
      <c r="A866" s="18"/>
      <c r="B866" s="18"/>
      <c r="C866" s="124"/>
      <c r="D866" s="121"/>
      <c r="E866" s="121"/>
      <c r="F866" s="18"/>
      <c r="G866" s="18"/>
      <c r="H866" s="18"/>
      <c r="I866" s="124"/>
      <c r="J866" s="18"/>
      <c r="K866" s="18"/>
      <c r="L866" s="18"/>
      <c r="M866" s="121"/>
    </row>
    <row r="867" spans="1:13">
      <c r="A867" s="18"/>
      <c r="B867" s="18"/>
      <c r="C867" s="124"/>
      <c r="D867" s="121"/>
      <c r="E867" s="121"/>
      <c r="F867" s="18"/>
      <c r="G867" s="18"/>
      <c r="H867" s="18"/>
      <c r="I867" s="124"/>
      <c r="J867" s="18"/>
      <c r="K867" s="18"/>
      <c r="L867" s="18"/>
      <c r="M867" s="121"/>
    </row>
    <row r="868" spans="1:13">
      <c r="A868" s="18"/>
      <c r="B868" s="18"/>
      <c r="C868" s="124"/>
      <c r="D868" s="121"/>
      <c r="E868" s="121"/>
      <c r="F868" s="18"/>
      <c r="G868" s="18"/>
      <c r="H868" s="18"/>
      <c r="I868" s="124"/>
      <c r="J868" s="18"/>
      <c r="K868" s="18"/>
      <c r="L868" s="18"/>
      <c r="M868" s="121"/>
    </row>
    <row r="869" spans="1:13">
      <c r="A869" s="18"/>
      <c r="B869" s="18"/>
      <c r="C869" s="124"/>
      <c r="D869" s="121"/>
      <c r="E869" s="121"/>
      <c r="F869" s="18"/>
      <c r="G869" s="18"/>
      <c r="H869" s="18"/>
      <c r="I869" s="124"/>
      <c r="J869" s="18"/>
      <c r="K869" s="18"/>
      <c r="L869" s="18"/>
      <c r="M869" s="121"/>
    </row>
    <row r="870" spans="1:13">
      <c r="A870" s="18"/>
      <c r="B870" s="18"/>
      <c r="C870" s="124"/>
      <c r="D870" s="121"/>
      <c r="E870" s="121"/>
      <c r="F870" s="18"/>
      <c r="G870" s="18"/>
      <c r="H870" s="18"/>
      <c r="I870" s="124"/>
      <c r="J870" s="18"/>
      <c r="K870" s="18"/>
      <c r="L870" s="18"/>
      <c r="M870" s="121"/>
    </row>
    <row r="871" spans="1:13">
      <c r="A871" s="18"/>
      <c r="B871" s="18"/>
      <c r="C871" s="124"/>
      <c r="D871" s="121"/>
      <c r="E871" s="121"/>
      <c r="F871" s="18"/>
      <c r="G871" s="18"/>
      <c r="H871" s="18"/>
      <c r="I871" s="124"/>
      <c r="J871" s="18"/>
      <c r="K871" s="18"/>
      <c r="L871" s="18"/>
      <c r="M871" s="121"/>
    </row>
    <row r="872" spans="1:13">
      <c r="A872" s="18"/>
      <c r="B872" s="18"/>
      <c r="C872" s="124"/>
      <c r="D872" s="121"/>
      <c r="E872" s="121"/>
      <c r="F872" s="18"/>
      <c r="G872" s="18"/>
      <c r="H872" s="18"/>
      <c r="I872" s="124"/>
      <c r="J872" s="18"/>
      <c r="K872" s="18"/>
      <c r="L872" s="18"/>
      <c r="M872" s="121"/>
    </row>
    <row r="873" spans="1:13">
      <c r="A873" s="18"/>
      <c r="B873" s="18"/>
      <c r="C873" s="124"/>
      <c r="D873" s="121"/>
      <c r="E873" s="121"/>
      <c r="F873" s="18"/>
      <c r="G873" s="18"/>
      <c r="H873" s="18"/>
      <c r="I873" s="124"/>
      <c r="J873" s="18"/>
      <c r="K873" s="18"/>
      <c r="L873" s="18"/>
      <c r="M873" s="121"/>
    </row>
    <row r="874" spans="1:13">
      <c r="A874" s="18"/>
      <c r="B874" s="18"/>
      <c r="C874" s="124"/>
      <c r="D874" s="121"/>
      <c r="E874" s="121"/>
      <c r="F874" s="18"/>
      <c r="G874" s="18"/>
      <c r="H874" s="18"/>
      <c r="I874" s="124"/>
      <c r="J874" s="18"/>
      <c r="K874" s="18"/>
      <c r="L874" s="18"/>
      <c r="M874" s="121"/>
    </row>
    <row r="875" spans="1:13">
      <c r="A875" s="18"/>
      <c r="B875" s="18"/>
      <c r="C875" s="124"/>
      <c r="D875" s="121"/>
      <c r="E875" s="121"/>
      <c r="F875" s="18"/>
      <c r="G875" s="18"/>
      <c r="H875" s="18"/>
      <c r="I875" s="124"/>
      <c r="J875" s="18"/>
      <c r="K875" s="18"/>
      <c r="L875" s="18"/>
      <c r="M875" s="121"/>
    </row>
    <row r="876" spans="1:13">
      <c r="A876" s="18"/>
      <c r="B876" s="18"/>
      <c r="C876" s="124"/>
      <c r="D876" s="121"/>
      <c r="E876" s="121"/>
      <c r="F876" s="18"/>
      <c r="G876" s="18"/>
      <c r="H876" s="18"/>
      <c r="I876" s="124"/>
      <c r="J876" s="18"/>
      <c r="K876" s="18"/>
      <c r="L876" s="18"/>
      <c r="M876" s="121"/>
    </row>
    <row r="877" spans="1:13">
      <c r="A877" s="18"/>
      <c r="B877" s="18"/>
      <c r="C877" s="124"/>
      <c r="D877" s="121"/>
      <c r="E877" s="121"/>
      <c r="F877" s="18"/>
      <c r="G877" s="18"/>
      <c r="H877" s="18"/>
      <c r="I877" s="124"/>
      <c r="J877" s="18"/>
      <c r="K877" s="18"/>
      <c r="L877" s="18"/>
      <c r="M877" s="121"/>
    </row>
    <row r="878" spans="1:13">
      <c r="A878" s="18"/>
      <c r="B878" s="18"/>
      <c r="C878" s="124"/>
      <c r="D878" s="121"/>
      <c r="E878" s="121"/>
      <c r="F878" s="18"/>
      <c r="G878" s="18"/>
      <c r="H878" s="18"/>
      <c r="I878" s="124"/>
      <c r="J878" s="18"/>
      <c r="K878" s="18"/>
      <c r="L878" s="18"/>
      <c r="M878" s="121"/>
    </row>
    <row r="879" spans="1:13">
      <c r="A879" s="18"/>
      <c r="B879" s="18"/>
      <c r="C879" s="124"/>
      <c r="D879" s="121"/>
      <c r="E879" s="121"/>
      <c r="F879" s="18"/>
      <c r="G879" s="18"/>
      <c r="H879" s="18"/>
      <c r="I879" s="124"/>
      <c r="J879" s="18"/>
      <c r="K879" s="18"/>
      <c r="L879" s="18"/>
      <c r="M879" s="121"/>
    </row>
    <row r="880" spans="1:13">
      <c r="A880" s="18"/>
      <c r="B880" s="18"/>
      <c r="C880" s="124"/>
      <c r="D880" s="121"/>
      <c r="E880" s="121"/>
      <c r="F880" s="18"/>
      <c r="G880" s="18"/>
      <c r="H880" s="18"/>
      <c r="I880" s="124"/>
      <c r="J880" s="18"/>
      <c r="K880" s="18"/>
      <c r="L880" s="18"/>
      <c r="M880" s="121"/>
    </row>
    <row r="881" spans="1:13">
      <c r="A881" s="18"/>
      <c r="B881" s="18"/>
      <c r="C881" s="124"/>
      <c r="D881" s="121"/>
      <c r="E881" s="121"/>
      <c r="F881" s="18"/>
      <c r="G881" s="18"/>
      <c r="H881" s="18"/>
      <c r="I881" s="124"/>
      <c r="J881" s="18"/>
      <c r="K881" s="18"/>
      <c r="L881" s="18"/>
      <c r="M881" s="121"/>
    </row>
    <row r="882" spans="1:13">
      <c r="A882" s="18"/>
      <c r="B882" s="18"/>
      <c r="C882" s="124"/>
      <c r="D882" s="121"/>
      <c r="E882" s="121"/>
      <c r="F882" s="18"/>
      <c r="G882" s="18"/>
      <c r="H882" s="18"/>
      <c r="I882" s="124"/>
      <c r="J882" s="18"/>
      <c r="K882" s="18"/>
      <c r="L882" s="18"/>
      <c r="M882" s="121"/>
    </row>
    <row r="883" spans="1:13">
      <c r="A883" s="18"/>
      <c r="B883" s="18"/>
      <c r="C883" s="124"/>
      <c r="D883" s="121"/>
      <c r="E883" s="121"/>
      <c r="F883" s="18"/>
      <c r="G883" s="18"/>
      <c r="H883" s="18"/>
      <c r="I883" s="124"/>
      <c r="J883" s="18"/>
      <c r="K883" s="18"/>
      <c r="L883" s="18"/>
      <c r="M883" s="121"/>
    </row>
    <row r="884" spans="1:13">
      <c r="A884" s="18"/>
      <c r="B884" s="18"/>
      <c r="C884" s="124"/>
      <c r="D884" s="121"/>
      <c r="E884" s="121"/>
      <c r="F884" s="18"/>
      <c r="G884" s="18"/>
      <c r="H884" s="18"/>
      <c r="I884" s="124"/>
      <c r="J884" s="18"/>
      <c r="K884" s="18"/>
      <c r="L884" s="18"/>
      <c r="M884" s="121"/>
    </row>
    <row r="885" spans="1:13">
      <c r="A885" s="18"/>
      <c r="B885" s="18"/>
      <c r="C885" s="124"/>
      <c r="D885" s="121"/>
      <c r="E885" s="121"/>
      <c r="F885" s="18"/>
      <c r="G885" s="18"/>
      <c r="H885" s="18"/>
      <c r="I885" s="124"/>
      <c r="J885" s="18"/>
      <c r="K885" s="18"/>
      <c r="L885" s="18"/>
      <c r="M885" s="121"/>
    </row>
    <row r="886" spans="1:13">
      <c r="A886" s="18"/>
      <c r="B886" s="18"/>
      <c r="C886" s="124"/>
      <c r="D886" s="121"/>
      <c r="E886" s="121"/>
      <c r="F886" s="18"/>
      <c r="G886" s="18"/>
      <c r="H886" s="18"/>
      <c r="I886" s="124"/>
      <c r="J886" s="18"/>
      <c r="K886" s="18"/>
      <c r="L886" s="18"/>
      <c r="M886" s="121"/>
    </row>
    <row r="887" spans="1:13">
      <c r="A887" s="18"/>
      <c r="B887" s="18"/>
      <c r="C887" s="124"/>
      <c r="D887" s="121"/>
      <c r="E887" s="121"/>
      <c r="F887" s="18"/>
      <c r="G887" s="18"/>
      <c r="H887" s="18"/>
      <c r="I887" s="124"/>
      <c r="J887" s="18"/>
      <c r="K887" s="18"/>
      <c r="L887" s="18"/>
      <c r="M887" s="121"/>
    </row>
    <row r="888" spans="1:13">
      <c r="A888" s="18"/>
      <c r="B888" s="18"/>
      <c r="C888" s="124"/>
      <c r="D888" s="121"/>
      <c r="E888" s="121"/>
      <c r="F888" s="18"/>
      <c r="G888" s="18"/>
      <c r="H888" s="18"/>
      <c r="I888" s="124"/>
      <c r="J888" s="18"/>
      <c r="K888" s="18"/>
      <c r="L888" s="18"/>
      <c r="M888" s="121"/>
    </row>
    <row r="889" spans="1:13">
      <c r="A889" s="18"/>
      <c r="B889" s="18"/>
      <c r="C889" s="124"/>
      <c r="D889" s="121"/>
      <c r="E889" s="121"/>
      <c r="F889" s="18"/>
      <c r="G889" s="18"/>
      <c r="H889" s="18"/>
      <c r="I889" s="124"/>
      <c r="J889" s="18"/>
      <c r="K889" s="18"/>
      <c r="L889" s="18"/>
      <c r="M889" s="121"/>
    </row>
    <row r="890" spans="1:13">
      <c r="A890" s="18"/>
      <c r="B890" s="18"/>
      <c r="C890" s="124"/>
      <c r="D890" s="121"/>
      <c r="E890" s="121"/>
      <c r="F890" s="18"/>
      <c r="G890" s="18"/>
      <c r="H890" s="18"/>
      <c r="I890" s="124"/>
      <c r="J890" s="18"/>
      <c r="K890" s="18"/>
      <c r="L890" s="18"/>
      <c r="M890" s="121"/>
    </row>
    <row r="891" spans="1:13">
      <c r="A891" s="18"/>
      <c r="B891" s="18"/>
      <c r="C891" s="124"/>
      <c r="D891" s="121"/>
      <c r="E891" s="121"/>
      <c r="F891" s="18"/>
      <c r="G891" s="18"/>
      <c r="H891" s="18"/>
      <c r="I891" s="124"/>
      <c r="J891" s="18"/>
      <c r="K891" s="18"/>
      <c r="L891" s="18"/>
      <c r="M891" s="121"/>
    </row>
    <row r="892" spans="1:13">
      <c r="A892" s="18"/>
      <c r="B892" s="18"/>
      <c r="C892" s="124"/>
      <c r="D892" s="121"/>
      <c r="E892" s="121"/>
      <c r="F892" s="18"/>
      <c r="G892" s="18"/>
      <c r="H892" s="18"/>
      <c r="I892" s="124"/>
      <c r="J892" s="18"/>
      <c r="K892" s="18"/>
      <c r="L892" s="18"/>
      <c r="M892" s="121"/>
    </row>
    <row r="893" spans="1:13">
      <c r="A893" s="18"/>
      <c r="B893" s="18"/>
      <c r="C893" s="124"/>
      <c r="D893" s="121"/>
      <c r="E893" s="121"/>
      <c r="F893" s="18"/>
      <c r="G893" s="18"/>
      <c r="H893" s="18"/>
      <c r="I893" s="124"/>
      <c r="J893" s="18"/>
      <c r="K893" s="18"/>
      <c r="L893" s="18"/>
      <c r="M893" s="121"/>
    </row>
    <row r="894" spans="1:13">
      <c r="A894" s="18"/>
      <c r="B894" s="18"/>
      <c r="C894" s="124"/>
      <c r="D894" s="121"/>
      <c r="E894" s="121"/>
      <c r="F894" s="18"/>
      <c r="G894" s="18"/>
      <c r="H894" s="18"/>
      <c r="I894" s="124"/>
      <c r="J894" s="18"/>
      <c r="K894" s="18"/>
      <c r="L894" s="18"/>
      <c r="M894" s="121"/>
    </row>
    <row r="895" spans="1:13">
      <c r="A895" s="18"/>
      <c r="B895" s="18"/>
      <c r="C895" s="124"/>
      <c r="D895" s="121"/>
      <c r="E895" s="121"/>
      <c r="F895" s="18"/>
      <c r="G895" s="18"/>
      <c r="H895" s="18"/>
      <c r="I895" s="124"/>
      <c r="J895" s="18"/>
      <c r="K895" s="18"/>
      <c r="L895" s="18"/>
      <c r="M895" s="121"/>
    </row>
    <row r="896" spans="1:13">
      <c r="A896" s="18"/>
      <c r="B896" s="18"/>
      <c r="C896" s="124"/>
      <c r="D896" s="121"/>
      <c r="E896" s="121"/>
      <c r="F896" s="18"/>
      <c r="G896" s="18"/>
      <c r="H896" s="18"/>
      <c r="I896" s="124"/>
      <c r="J896" s="18"/>
      <c r="K896" s="18"/>
      <c r="L896" s="18"/>
      <c r="M896" s="121"/>
    </row>
    <row r="897" spans="1:13">
      <c r="A897" s="18"/>
      <c r="B897" s="18"/>
      <c r="C897" s="124"/>
      <c r="D897" s="121"/>
      <c r="E897" s="121"/>
      <c r="F897" s="18"/>
      <c r="G897" s="18"/>
      <c r="H897" s="18"/>
      <c r="I897" s="124"/>
      <c r="J897" s="18"/>
      <c r="K897" s="18"/>
      <c r="L897" s="18"/>
      <c r="M897" s="121"/>
    </row>
    <row r="898" spans="1:13">
      <c r="A898" s="18"/>
      <c r="B898" s="18"/>
      <c r="C898" s="124"/>
      <c r="D898" s="121"/>
      <c r="E898" s="121"/>
      <c r="F898" s="18"/>
      <c r="G898" s="18"/>
      <c r="H898" s="18"/>
      <c r="I898" s="124"/>
      <c r="J898" s="18"/>
      <c r="K898" s="18"/>
      <c r="L898" s="18"/>
      <c r="M898" s="121"/>
    </row>
    <row r="899" spans="1:13">
      <c r="A899" s="18"/>
      <c r="B899" s="18"/>
      <c r="C899" s="124"/>
      <c r="D899" s="121"/>
      <c r="E899" s="121"/>
      <c r="F899" s="18"/>
      <c r="G899" s="18"/>
      <c r="H899" s="18"/>
      <c r="I899" s="124"/>
      <c r="J899" s="18"/>
      <c r="K899" s="18"/>
      <c r="L899" s="18"/>
      <c r="M899" s="121"/>
    </row>
    <row r="900" spans="1:13">
      <c r="A900" s="18"/>
      <c r="B900" s="18"/>
      <c r="C900" s="124"/>
      <c r="D900" s="121"/>
      <c r="E900" s="121"/>
      <c r="F900" s="18"/>
      <c r="G900" s="18"/>
      <c r="H900" s="18"/>
      <c r="I900" s="124"/>
      <c r="J900" s="18"/>
      <c r="K900" s="18"/>
      <c r="L900" s="18"/>
      <c r="M900" s="121"/>
    </row>
    <row r="901" spans="1:13">
      <c r="A901" s="18"/>
      <c r="B901" s="18"/>
      <c r="C901" s="124"/>
      <c r="D901" s="121"/>
      <c r="E901" s="121"/>
      <c r="F901" s="18"/>
      <c r="G901" s="18"/>
      <c r="H901" s="18"/>
      <c r="I901" s="124"/>
      <c r="J901" s="18"/>
      <c r="K901" s="18"/>
      <c r="L901" s="18"/>
      <c r="M901" s="121"/>
    </row>
    <row r="902" spans="1:13">
      <c r="A902" s="18"/>
      <c r="B902" s="18"/>
      <c r="C902" s="124"/>
      <c r="D902" s="121"/>
      <c r="E902" s="121"/>
      <c r="F902" s="18"/>
      <c r="G902" s="18"/>
      <c r="H902" s="18"/>
      <c r="I902" s="124"/>
      <c r="J902" s="18"/>
      <c r="K902" s="18"/>
      <c r="L902" s="18"/>
      <c r="M902" s="121"/>
    </row>
    <row r="903" spans="1:13">
      <c r="A903" s="18"/>
      <c r="B903" s="18"/>
      <c r="C903" s="124"/>
      <c r="D903" s="121"/>
      <c r="E903" s="121"/>
      <c r="F903" s="18"/>
      <c r="G903" s="18"/>
      <c r="H903" s="18"/>
      <c r="I903" s="124"/>
      <c r="J903" s="18"/>
      <c r="K903" s="18"/>
      <c r="L903" s="18"/>
      <c r="M903" s="121"/>
    </row>
    <row r="904" spans="1:13">
      <c r="A904" s="18"/>
      <c r="B904" s="18"/>
      <c r="C904" s="124"/>
      <c r="D904" s="121"/>
      <c r="E904" s="121"/>
      <c r="F904" s="18"/>
      <c r="G904" s="18"/>
      <c r="H904" s="18"/>
      <c r="I904" s="124"/>
      <c r="J904" s="18"/>
      <c r="K904" s="18"/>
      <c r="L904" s="18"/>
      <c r="M904" s="121"/>
    </row>
    <row r="905" spans="1:13">
      <c r="A905" s="18"/>
      <c r="B905" s="18"/>
      <c r="C905" s="124"/>
      <c r="D905" s="121"/>
      <c r="E905" s="121"/>
      <c r="F905" s="18"/>
      <c r="G905" s="18"/>
      <c r="H905" s="18"/>
      <c r="I905" s="124"/>
      <c r="J905" s="18"/>
      <c r="K905" s="18"/>
      <c r="L905" s="18"/>
      <c r="M905" s="121"/>
    </row>
    <row r="906" spans="1:13">
      <c r="A906" s="18"/>
      <c r="B906" s="18"/>
      <c r="C906" s="124"/>
      <c r="D906" s="121"/>
      <c r="E906" s="121"/>
      <c r="F906" s="18"/>
      <c r="G906" s="18"/>
      <c r="H906" s="18"/>
      <c r="I906" s="124"/>
      <c r="J906" s="18"/>
      <c r="K906" s="18"/>
      <c r="L906" s="18"/>
      <c r="M906" s="121"/>
    </row>
    <row r="907" spans="1:13">
      <c r="A907" s="18"/>
      <c r="B907" s="18"/>
      <c r="C907" s="124"/>
      <c r="D907" s="121"/>
      <c r="E907" s="121"/>
      <c r="F907" s="18"/>
      <c r="G907" s="18"/>
      <c r="H907" s="18"/>
      <c r="I907" s="124"/>
      <c r="J907" s="18"/>
      <c r="K907" s="18"/>
      <c r="L907" s="18"/>
      <c r="M907" s="121"/>
    </row>
    <row r="908" spans="1:13">
      <c r="A908" s="18"/>
      <c r="B908" s="18"/>
      <c r="C908" s="124"/>
      <c r="D908" s="121"/>
      <c r="E908" s="121"/>
      <c r="F908" s="18"/>
      <c r="G908" s="18"/>
      <c r="H908" s="18"/>
      <c r="I908" s="124"/>
      <c r="J908" s="18"/>
      <c r="K908" s="18"/>
      <c r="L908" s="18"/>
      <c r="M908" s="121"/>
    </row>
    <row r="909" spans="1:13">
      <c r="A909" s="18"/>
      <c r="B909" s="18"/>
      <c r="C909" s="124"/>
      <c r="D909" s="121"/>
      <c r="E909" s="121"/>
      <c r="F909" s="18"/>
      <c r="G909" s="18"/>
      <c r="H909" s="18"/>
      <c r="I909" s="124"/>
      <c r="J909" s="18"/>
      <c r="K909" s="18"/>
      <c r="L909" s="18"/>
      <c r="M909" s="121"/>
    </row>
    <row r="910" spans="1:13">
      <c r="A910" s="18"/>
      <c r="B910" s="18"/>
      <c r="C910" s="124"/>
      <c r="D910" s="121"/>
      <c r="E910" s="121"/>
      <c r="F910" s="18"/>
      <c r="G910" s="18"/>
      <c r="H910" s="18"/>
      <c r="I910" s="124"/>
      <c r="J910" s="18"/>
      <c r="K910" s="18"/>
      <c r="L910" s="18"/>
      <c r="M910" s="121"/>
    </row>
    <row r="911" spans="1:13">
      <c r="A911" s="18"/>
      <c r="B911" s="18"/>
      <c r="C911" s="124"/>
      <c r="D911" s="121"/>
      <c r="E911" s="121"/>
      <c r="F911" s="18"/>
      <c r="G911" s="18"/>
      <c r="H911" s="18"/>
      <c r="I911" s="124"/>
      <c r="J911" s="18"/>
      <c r="K911" s="18"/>
      <c r="L911" s="18"/>
      <c r="M911" s="121"/>
    </row>
    <row r="912" spans="1:13">
      <c r="A912" s="18"/>
      <c r="B912" s="18"/>
      <c r="C912" s="124"/>
      <c r="D912" s="121"/>
      <c r="E912" s="121"/>
      <c r="F912" s="18"/>
      <c r="G912" s="18"/>
      <c r="H912" s="18"/>
      <c r="I912" s="124"/>
      <c r="J912" s="18"/>
      <c r="K912" s="18"/>
      <c r="L912" s="18"/>
      <c r="M912" s="121"/>
    </row>
    <row r="913" spans="1:13">
      <c r="A913" s="18"/>
      <c r="B913" s="18"/>
      <c r="C913" s="124"/>
      <c r="D913" s="121"/>
      <c r="E913" s="121"/>
      <c r="F913" s="18"/>
      <c r="G913" s="18"/>
      <c r="H913" s="18"/>
      <c r="I913" s="124"/>
      <c r="J913" s="18"/>
      <c r="K913" s="18"/>
      <c r="L913" s="18"/>
      <c r="M913" s="121"/>
    </row>
    <row r="914" spans="1:13">
      <c r="A914" s="18"/>
      <c r="B914" s="18"/>
      <c r="C914" s="124"/>
      <c r="D914" s="121"/>
      <c r="E914" s="121"/>
      <c r="F914" s="18"/>
      <c r="G914" s="18"/>
      <c r="H914" s="18"/>
      <c r="I914" s="124"/>
      <c r="J914" s="18"/>
      <c r="K914" s="18"/>
      <c r="L914" s="18"/>
      <c r="M914" s="121"/>
    </row>
    <row r="915" spans="1:13">
      <c r="A915" s="18"/>
      <c r="B915" s="18"/>
      <c r="C915" s="124"/>
      <c r="D915" s="121"/>
      <c r="E915" s="121"/>
      <c r="F915" s="18"/>
      <c r="G915" s="18"/>
      <c r="H915" s="18"/>
      <c r="I915" s="124"/>
      <c r="J915" s="18"/>
      <c r="K915" s="18"/>
      <c r="L915" s="18"/>
      <c r="M915" s="121"/>
    </row>
    <row r="916" spans="1:13">
      <c r="A916" s="18"/>
      <c r="B916" s="18"/>
      <c r="C916" s="124"/>
      <c r="D916" s="121"/>
      <c r="E916" s="121"/>
      <c r="F916" s="18"/>
      <c r="G916" s="18"/>
      <c r="H916" s="18"/>
      <c r="I916" s="124"/>
      <c r="J916" s="18"/>
      <c r="K916" s="18"/>
      <c r="L916" s="18"/>
      <c r="M916" s="121"/>
    </row>
    <row r="917" spans="1:13">
      <c r="A917" s="18"/>
      <c r="B917" s="18"/>
      <c r="C917" s="124"/>
      <c r="D917" s="121"/>
      <c r="E917" s="121"/>
      <c r="F917" s="18"/>
      <c r="G917" s="18"/>
      <c r="H917" s="18"/>
      <c r="I917" s="124"/>
      <c r="J917" s="18"/>
      <c r="K917" s="18"/>
      <c r="L917" s="18"/>
      <c r="M917" s="121"/>
    </row>
    <row r="918" spans="1:13">
      <c r="A918" s="18"/>
      <c r="B918" s="18"/>
      <c r="C918" s="124"/>
      <c r="D918" s="121"/>
      <c r="E918" s="121"/>
      <c r="F918" s="18"/>
      <c r="G918" s="18"/>
      <c r="H918" s="18"/>
      <c r="I918" s="124"/>
      <c r="J918" s="18"/>
      <c r="K918" s="18"/>
      <c r="L918" s="18"/>
      <c r="M918" s="121"/>
    </row>
    <row r="919" spans="1:13">
      <c r="A919" s="18"/>
      <c r="B919" s="18"/>
      <c r="C919" s="124"/>
      <c r="D919" s="121"/>
      <c r="E919" s="121"/>
      <c r="F919" s="18"/>
      <c r="G919" s="18"/>
      <c r="H919" s="18"/>
      <c r="I919" s="124"/>
      <c r="J919" s="18"/>
      <c r="K919" s="18"/>
      <c r="L919" s="18"/>
      <c r="M919" s="121"/>
    </row>
    <row r="920" spans="1:13">
      <c r="A920" s="18"/>
      <c r="B920" s="18"/>
      <c r="C920" s="124"/>
      <c r="D920" s="121"/>
      <c r="E920" s="121"/>
      <c r="F920" s="18"/>
      <c r="G920" s="18"/>
      <c r="H920" s="18"/>
      <c r="I920" s="124"/>
      <c r="J920" s="18"/>
      <c r="K920" s="18"/>
      <c r="L920" s="18"/>
      <c r="M920" s="121"/>
    </row>
    <row r="921" spans="1:13">
      <c r="A921" s="18"/>
      <c r="B921" s="18"/>
      <c r="C921" s="124"/>
      <c r="D921" s="121"/>
      <c r="E921" s="121"/>
      <c r="F921" s="18"/>
      <c r="G921" s="18"/>
      <c r="H921" s="18"/>
      <c r="I921" s="124"/>
      <c r="J921" s="18"/>
      <c r="K921" s="18"/>
      <c r="L921" s="18"/>
      <c r="M921" s="121"/>
    </row>
    <row r="922" spans="1:13">
      <c r="A922" s="18"/>
      <c r="B922" s="18"/>
      <c r="C922" s="124"/>
      <c r="D922" s="121"/>
      <c r="E922" s="121"/>
      <c r="F922" s="18"/>
      <c r="G922" s="18"/>
      <c r="H922" s="18"/>
      <c r="I922" s="124"/>
      <c r="J922" s="18"/>
      <c r="K922" s="18"/>
      <c r="L922" s="18"/>
      <c r="M922" s="121"/>
    </row>
    <row r="923" spans="1:13">
      <c r="A923" s="18"/>
      <c r="B923" s="18"/>
      <c r="C923" s="124"/>
      <c r="D923" s="121"/>
      <c r="E923" s="121"/>
      <c r="F923" s="18"/>
      <c r="G923" s="18"/>
      <c r="H923" s="18"/>
      <c r="I923" s="124"/>
      <c r="J923" s="18"/>
      <c r="K923" s="18"/>
      <c r="L923" s="18"/>
      <c r="M923" s="121"/>
    </row>
    <row r="924" spans="1:13">
      <c r="A924" s="18"/>
      <c r="B924" s="18"/>
      <c r="C924" s="124"/>
      <c r="D924" s="121"/>
      <c r="E924" s="121"/>
      <c r="F924" s="18"/>
      <c r="G924" s="18"/>
      <c r="H924" s="18"/>
      <c r="I924" s="124"/>
      <c r="J924" s="18"/>
      <c r="K924" s="18"/>
      <c r="L924" s="18"/>
      <c r="M924" s="121"/>
    </row>
    <row r="925" spans="1:13">
      <c r="A925" s="18"/>
      <c r="B925" s="18"/>
      <c r="C925" s="124"/>
      <c r="D925" s="121"/>
      <c r="E925" s="121"/>
      <c r="F925" s="18"/>
      <c r="G925" s="18"/>
      <c r="H925" s="18"/>
      <c r="I925" s="124"/>
      <c r="J925" s="18"/>
      <c r="K925" s="18"/>
      <c r="L925" s="18"/>
      <c r="M925" s="121"/>
    </row>
    <row r="926" spans="1:13">
      <c r="A926" s="18"/>
      <c r="B926" s="18"/>
      <c r="C926" s="124"/>
      <c r="D926" s="121"/>
      <c r="E926" s="121"/>
      <c r="F926" s="18"/>
      <c r="G926" s="18"/>
      <c r="H926" s="18"/>
      <c r="I926" s="124"/>
      <c r="J926" s="18"/>
      <c r="K926" s="18"/>
      <c r="L926" s="18"/>
      <c r="M926" s="121"/>
    </row>
    <row r="927" spans="1:13">
      <c r="A927" s="18"/>
      <c r="B927" s="18"/>
      <c r="C927" s="124"/>
      <c r="D927" s="121"/>
      <c r="E927" s="121"/>
      <c r="F927" s="18"/>
      <c r="G927" s="18"/>
      <c r="H927" s="18"/>
      <c r="I927" s="124"/>
      <c r="J927" s="18"/>
      <c r="K927" s="18"/>
      <c r="L927" s="18"/>
      <c r="M927" s="121"/>
    </row>
    <row r="928" spans="1:13">
      <c r="A928" s="18"/>
      <c r="B928" s="18"/>
      <c r="C928" s="124"/>
      <c r="D928" s="121"/>
      <c r="E928" s="121"/>
      <c r="F928" s="18"/>
      <c r="G928" s="18"/>
      <c r="H928" s="18"/>
      <c r="I928" s="124"/>
      <c r="J928" s="18"/>
      <c r="K928" s="18"/>
      <c r="L928" s="18"/>
      <c r="M928" s="121"/>
    </row>
    <row r="929" spans="1:13">
      <c r="A929" s="18"/>
      <c r="B929" s="18"/>
      <c r="C929" s="124"/>
      <c r="D929" s="121"/>
      <c r="E929" s="121"/>
      <c r="F929" s="18"/>
      <c r="G929" s="18"/>
      <c r="H929" s="18"/>
      <c r="I929" s="124"/>
      <c r="J929" s="18"/>
      <c r="K929" s="18"/>
      <c r="L929" s="18"/>
      <c r="M929" s="121"/>
    </row>
    <row r="930" spans="1:13">
      <c r="A930" s="18"/>
      <c r="B930" s="18"/>
      <c r="C930" s="124"/>
      <c r="D930" s="121"/>
      <c r="E930" s="121"/>
      <c r="F930" s="18"/>
      <c r="G930" s="18"/>
      <c r="H930" s="18"/>
      <c r="I930" s="124"/>
      <c r="J930" s="18"/>
      <c r="K930" s="18"/>
      <c r="L930" s="18"/>
      <c r="M930" s="121"/>
    </row>
    <row r="931" spans="1:13">
      <c r="A931" s="18"/>
      <c r="B931" s="18"/>
      <c r="C931" s="124"/>
      <c r="D931" s="121"/>
      <c r="E931" s="121"/>
      <c r="F931" s="18"/>
      <c r="G931" s="18"/>
      <c r="H931" s="18"/>
      <c r="I931" s="124"/>
      <c r="J931" s="18"/>
      <c r="K931" s="18"/>
      <c r="L931" s="18"/>
      <c r="M931" s="121"/>
    </row>
    <row r="932" spans="1:13">
      <c r="A932" s="18"/>
      <c r="B932" s="18"/>
      <c r="C932" s="124"/>
      <c r="D932" s="121"/>
      <c r="E932" s="121"/>
      <c r="F932" s="18"/>
      <c r="G932" s="18"/>
      <c r="H932" s="18"/>
      <c r="I932" s="124"/>
      <c r="J932" s="18"/>
      <c r="K932" s="18"/>
      <c r="L932" s="18"/>
      <c r="M932" s="121"/>
    </row>
    <row r="933" spans="1:13">
      <c r="A933" s="18"/>
      <c r="B933" s="18"/>
      <c r="C933" s="124"/>
      <c r="D933" s="121"/>
      <c r="E933" s="121"/>
      <c r="F933" s="18"/>
      <c r="G933" s="18"/>
      <c r="H933" s="18"/>
      <c r="I933" s="124"/>
      <c r="J933" s="18"/>
      <c r="K933" s="18"/>
      <c r="L933" s="18"/>
      <c r="M933" s="121"/>
    </row>
    <row r="934" spans="1:13">
      <c r="A934" s="18"/>
      <c r="B934" s="18"/>
      <c r="C934" s="124"/>
      <c r="D934" s="121"/>
      <c r="E934" s="121"/>
      <c r="F934" s="18"/>
      <c r="G934" s="18"/>
      <c r="H934" s="18"/>
      <c r="I934" s="124"/>
      <c r="J934" s="18"/>
      <c r="K934" s="18"/>
      <c r="L934" s="18"/>
      <c r="M934" s="121"/>
    </row>
    <row r="935" spans="1:13">
      <c r="A935" s="18"/>
      <c r="B935" s="18"/>
      <c r="C935" s="124"/>
      <c r="D935" s="121"/>
      <c r="E935" s="121"/>
      <c r="F935" s="18"/>
      <c r="G935" s="18"/>
      <c r="H935" s="18"/>
      <c r="I935" s="124"/>
      <c r="J935" s="18"/>
      <c r="K935" s="18"/>
      <c r="L935" s="18"/>
      <c r="M935" s="121"/>
    </row>
    <row r="936" spans="1:13">
      <c r="A936" s="18"/>
      <c r="B936" s="18"/>
      <c r="C936" s="124"/>
      <c r="D936" s="121"/>
      <c r="E936" s="121"/>
      <c r="F936" s="18"/>
      <c r="G936" s="18"/>
      <c r="H936" s="18"/>
      <c r="I936" s="124"/>
      <c r="J936" s="18"/>
      <c r="K936" s="18"/>
      <c r="L936" s="18"/>
      <c r="M936" s="121"/>
    </row>
    <row r="937" spans="1:13">
      <c r="A937" s="18"/>
      <c r="B937" s="18"/>
      <c r="C937" s="124"/>
      <c r="D937" s="121"/>
      <c r="E937" s="121"/>
      <c r="F937" s="18"/>
      <c r="G937" s="18"/>
      <c r="H937" s="18"/>
      <c r="I937" s="124"/>
      <c r="J937" s="18"/>
      <c r="K937" s="18"/>
      <c r="L937" s="18"/>
      <c r="M937" s="121"/>
    </row>
    <row r="938" spans="1:13">
      <c r="A938" s="18"/>
      <c r="B938" s="18"/>
      <c r="C938" s="124"/>
      <c r="D938" s="121"/>
      <c r="E938" s="121"/>
      <c r="F938" s="18"/>
      <c r="G938" s="18"/>
      <c r="H938" s="18"/>
      <c r="I938" s="124"/>
      <c r="J938" s="18"/>
      <c r="K938" s="18"/>
      <c r="L938" s="18"/>
      <c r="M938" s="121"/>
    </row>
    <row r="939" spans="1:13">
      <c r="A939" s="18"/>
      <c r="B939" s="18"/>
      <c r="C939" s="124"/>
      <c r="D939" s="121"/>
      <c r="E939" s="121"/>
      <c r="F939" s="18"/>
      <c r="G939" s="18"/>
      <c r="H939" s="18"/>
      <c r="I939" s="124"/>
      <c r="J939" s="18"/>
      <c r="K939" s="18"/>
      <c r="L939" s="18"/>
      <c r="M939" s="121"/>
    </row>
    <row r="940" spans="1:13">
      <c r="A940" s="18"/>
      <c r="B940" s="18"/>
      <c r="C940" s="124"/>
      <c r="D940" s="121"/>
      <c r="E940" s="121"/>
      <c r="F940" s="18"/>
      <c r="G940" s="18"/>
      <c r="H940" s="18"/>
      <c r="I940" s="124"/>
      <c r="J940" s="18"/>
      <c r="K940" s="18"/>
      <c r="L940" s="18"/>
      <c r="M940" s="121"/>
    </row>
    <row r="941" spans="1:13">
      <c r="A941" s="18"/>
      <c r="B941" s="18"/>
      <c r="C941" s="124"/>
      <c r="D941" s="121"/>
      <c r="E941" s="121"/>
      <c r="F941" s="18"/>
      <c r="G941" s="18"/>
      <c r="H941" s="18"/>
      <c r="I941" s="124"/>
      <c r="J941" s="18"/>
      <c r="K941" s="18"/>
      <c r="L941" s="18"/>
      <c r="M941" s="121"/>
    </row>
    <row r="942" spans="1:13">
      <c r="A942" s="18"/>
      <c r="B942" s="18"/>
      <c r="C942" s="124"/>
      <c r="D942" s="121"/>
      <c r="E942" s="121"/>
      <c r="F942" s="18"/>
      <c r="G942" s="18"/>
      <c r="H942" s="18"/>
      <c r="I942" s="124"/>
      <c r="J942" s="18"/>
      <c r="K942" s="18"/>
      <c r="L942" s="18"/>
      <c r="M942" s="121"/>
    </row>
    <row r="943" spans="1:13">
      <c r="A943" s="18"/>
      <c r="B943" s="18"/>
      <c r="C943" s="124"/>
      <c r="D943" s="121"/>
      <c r="E943" s="121"/>
      <c r="F943" s="18"/>
      <c r="G943" s="18"/>
      <c r="H943" s="18"/>
      <c r="I943" s="124"/>
      <c r="J943" s="18"/>
      <c r="K943" s="18"/>
      <c r="L943" s="18"/>
      <c r="M943" s="121"/>
    </row>
    <row r="944" spans="1:13">
      <c r="A944" s="18"/>
      <c r="B944" s="18"/>
      <c r="C944" s="124"/>
      <c r="D944" s="121"/>
      <c r="E944" s="121"/>
      <c r="F944" s="18"/>
      <c r="G944" s="18"/>
      <c r="H944" s="18"/>
      <c r="I944" s="124"/>
      <c r="J944" s="18"/>
      <c r="K944" s="18"/>
      <c r="L944" s="18"/>
      <c r="M944" s="121"/>
    </row>
    <row r="945" spans="1:13">
      <c r="A945" s="18"/>
      <c r="B945" s="18"/>
      <c r="C945" s="124"/>
      <c r="D945" s="121"/>
      <c r="E945" s="121"/>
      <c r="F945" s="18"/>
      <c r="G945" s="18"/>
      <c r="H945" s="18"/>
      <c r="I945" s="124"/>
      <c r="J945" s="18"/>
      <c r="K945" s="18"/>
      <c r="L945" s="18"/>
      <c r="M945" s="121"/>
    </row>
    <row r="946" spans="1:13">
      <c r="A946" s="18"/>
      <c r="B946" s="18"/>
      <c r="C946" s="124"/>
      <c r="D946" s="121"/>
      <c r="E946" s="121"/>
      <c r="F946" s="18"/>
      <c r="G946" s="18"/>
      <c r="H946" s="18"/>
      <c r="I946" s="124"/>
      <c r="J946" s="18"/>
      <c r="K946" s="18"/>
      <c r="L946" s="18"/>
      <c r="M946" s="121"/>
    </row>
    <row r="947" spans="1:13">
      <c r="A947" s="18"/>
      <c r="B947" s="18"/>
      <c r="C947" s="124"/>
      <c r="D947" s="121"/>
      <c r="E947" s="121"/>
      <c r="F947" s="18"/>
      <c r="G947" s="18"/>
      <c r="H947" s="18"/>
      <c r="I947" s="124"/>
      <c r="J947" s="18"/>
      <c r="K947" s="18"/>
      <c r="L947" s="18"/>
      <c r="M947" s="121"/>
    </row>
    <row r="948" spans="1:13">
      <c r="A948" s="18"/>
      <c r="B948" s="18"/>
      <c r="C948" s="124"/>
      <c r="D948" s="121"/>
      <c r="E948" s="121"/>
      <c r="F948" s="18"/>
      <c r="G948" s="18"/>
      <c r="H948" s="18"/>
      <c r="I948" s="124"/>
      <c r="J948" s="18"/>
      <c r="K948" s="18"/>
      <c r="L948" s="18"/>
      <c r="M948" s="121"/>
    </row>
    <row r="949" spans="1:13">
      <c r="A949" s="18"/>
      <c r="B949" s="18"/>
      <c r="C949" s="124"/>
      <c r="D949" s="121"/>
      <c r="E949" s="121"/>
      <c r="F949" s="18"/>
      <c r="G949" s="18"/>
      <c r="H949" s="18"/>
      <c r="I949" s="124"/>
      <c r="J949" s="18"/>
      <c r="K949" s="18"/>
      <c r="L949" s="18"/>
      <c r="M949" s="121"/>
    </row>
    <row r="950" spans="1:13">
      <c r="A950" s="18"/>
      <c r="B950" s="18"/>
      <c r="C950" s="124"/>
      <c r="D950" s="121"/>
      <c r="E950" s="121"/>
      <c r="F950" s="18"/>
      <c r="G950" s="18"/>
      <c r="H950" s="18"/>
      <c r="I950" s="124"/>
      <c r="J950" s="18"/>
      <c r="K950" s="18"/>
      <c r="L950" s="18"/>
      <c r="M950" s="121"/>
    </row>
    <row r="951" spans="1:13">
      <c r="A951" s="18"/>
      <c r="B951" s="18"/>
      <c r="C951" s="124"/>
      <c r="D951" s="121"/>
      <c r="E951" s="121"/>
      <c r="F951" s="18"/>
      <c r="G951" s="18"/>
      <c r="H951" s="18"/>
      <c r="I951" s="124"/>
      <c r="J951" s="18"/>
      <c r="K951" s="18"/>
      <c r="L951" s="18"/>
      <c r="M951" s="121"/>
    </row>
    <row r="952" spans="1:13">
      <c r="A952" s="18"/>
      <c r="B952" s="18"/>
      <c r="C952" s="124"/>
      <c r="D952" s="121"/>
      <c r="E952" s="121"/>
      <c r="F952" s="18"/>
      <c r="G952" s="18"/>
      <c r="H952" s="18"/>
      <c r="I952" s="124"/>
      <c r="J952" s="18"/>
      <c r="K952" s="18"/>
      <c r="L952" s="18"/>
      <c r="M952" s="121"/>
    </row>
    <row r="953" spans="1:13">
      <c r="A953" s="18"/>
      <c r="B953" s="18"/>
      <c r="C953" s="124"/>
      <c r="D953" s="121"/>
      <c r="E953" s="121"/>
      <c r="F953" s="18"/>
      <c r="G953" s="18"/>
      <c r="H953" s="18"/>
      <c r="I953" s="124"/>
      <c r="J953" s="18"/>
      <c r="K953" s="18"/>
      <c r="L953" s="18"/>
      <c r="M953" s="121"/>
    </row>
    <row r="954" spans="1:13">
      <c r="A954" s="18"/>
      <c r="B954" s="18"/>
      <c r="C954" s="124"/>
      <c r="D954" s="121"/>
      <c r="E954" s="121"/>
      <c r="F954" s="18"/>
      <c r="G954" s="18"/>
      <c r="H954" s="18"/>
      <c r="I954" s="124"/>
      <c r="J954" s="18"/>
      <c r="K954" s="18"/>
      <c r="L954" s="18"/>
      <c r="M954" s="121"/>
    </row>
    <row r="955" spans="1:13">
      <c r="A955" s="18"/>
      <c r="B955" s="18"/>
      <c r="C955" s="124"/>
      <c r="D955" s="121"/>
      <c r="E955" s="121"/>
      <c r="F955" s="18"/>
      <c r="G955" s="18"/>
      <c r="H955" s="18"/>
      <c r="I955" s="124"/>
      <c r="J955" s="18"/>
      <c r="K955" s="18"/>
      <c r="L955" s="18"/>
      <c r="M955" s="121"/>
    </row>
    <row r="956" spans="1:13">
      <c r="A956" s="18"/>
      <c r="B956" s="18"/>
      <c r="C956" s="124"/>
      <c r="D956" s="121"/>
      <c r="E956" s="121"/>
      <c r="F956" s="18"/>
      <c r="G956" s="18"/>
      <c r="H956" s="18"/>
      <c r="I956" s="124"/>
      <c r="J956" s="18"/>
      <c r="K956" s="18"/>
      <c r="L956" s="18"/>
      <c r="M956" s="121"/>
    </row>
    <row r="957" spans="1:13">
      <c r="A957" s="18"/>
      <c r="B957" s="18"/>
      <c r="C957" s="124"/>
      <c r="D957" s="121"/>
      <c r="E957" s="121"/>
      <c r="F957" s="18"/>
      <c r="G957" s="18"/>
      <c r="H957" s="18"/>
      <c r="I957" s="124"/>
      <c r="J957" s="18"/>
      <c r="K957" s="18"/>
      <c r="L957" s="18"/>
      <c r="M957" s="121"/>
    </row>
    <row r="958" spans="1:13">
      <c r="A958" s="18"/>
      <c r="B958" s="18"/>
      <c r="C958" s="124"/>
      <c r="D958" s="121"/>
      <c r="E958" s="121"/>
      <c r="F958" s="18"/>
      <c r="G958" s="18"/>
      <c r="H958" s="18"/>
      <c r="I958" s="124"/>
      <c r="J958" s="18"/>
      <c r="K958" s="18"/>
      <c r="L958" s="18"/>
      <c r="M958" s="121"/>
    </row>
    <row r="959" spans="1:13">
      <c r="A959" s="18"/>
      <c r="B959" s="18"/>
      <c r="C959" s="124"/>
      <c r="D959" s="121"/>
      <c r="E959" s="121"/>
      <c r="F959" s="18"/>
      <c r="G959" s="18"/>
      <c r="H959" s="18"/>
      <c r="I959" s="124"/>
      <c r="J959" s="18"/>
      <c r="K959" s="18"/>
      <c r="L959" s="18"/>
      <c r="M959" s="121"/>
    </row>
    <row r="960" spans="1:13">
      <c r="A960" s="18"/>
      <c r="B960" s="18"/>
      <c r="C960" s="124"/>
      <c r="D960" s="121"/>
      <c r="E960" s="121"/>
      <c r="F960" s="18"/>
      <c r="G960" s="18"/>
      <c r="H960" s="18"/>
      <c r="I960" s="124"/>
      <c r="J960" s="18"/>
      <c r="K960" s="18"/>
      <c r="L960" s="18"/>
      <c r="M960" s="121"/>
    </row>
    <row r="961" spans="1:13">
      <c r="A961" s="18"/>
      <c r="B961" s="18"/>
      <c r="C961" s="124"/>
      <c r="D961" s="121"/>
      <c r="E961" s="121"/>
      <c r="F961" s="18"/>
      <c r="G961" s="18"/>
      <c r="H961" s="18"/>
      <c r="I961" s="124"/>
      <c r="J961" s="18"/>
      <c r="K961" s="18"/>
      <c r="L961" s="18"/>
      <c r="M961" s="121"/>
    </row>
    <row r="962" spans="1:13">
      <c r="A962" s="18"/>
      <c r="B962" s="18"/>
      <c r="C962" s="124"/>
      <c r="D962" s="121"/>
      <c r="E962" s="121"/>
      <c r="F962" s="18"/>
      <c r="G962" s="18"/>
      <c r="H962" s="18"/>
      <c r="I962" s="124"/>
      <c r="J962" s="18"/>
      <c r="K962" s="18"/>
      <c r="L962" s="18"/>
      <c r="M962" s="121"/>
    </row>
    <row r="963" spans="1:13">
      <c r="A963" s="18"/>
      <c r="B963" s="18"/>
      <c r="C963" s="124"/>
      <c r="D963" s="121"/>
      <c r="E963" s="121"/>
      <c r="F963" s="18"/>
      <c r="G963" s="18"/>
      <c r="H963" s="18"/>
      <c r="I963" s="124"/>
      <c r="J963" s="18"/>
      <c r="K963" s="18"/>
      <c r="L963" s="18"/>
      <c r="M963" s="121"/>
    </row>
    <row r="964" spans="1:13">
      <c r="A964" s="18"/>
      <c r="B964" s="18"/>
      <c r="C964" s="124"/>
      <c r="D964" s="121"/>
      <c r="E964" s="121"/>
      <c r="F964" s="18"/>
      <c r="G964" s="18"/>
      <c r="H964" s="18"/>
      <c r="I964" s="124"/>
      <c r="J964" s="18"/>
      <c r="K964" s="18"/>
      <c r="L964" s="18"/>
      <c r="M964" s="121"/>
    </row>
    <row r="965" spans="1:13">
      <c r="A965" s="18"/>
      <c r="B965" s="18"/>
      <c r="C965" s="124"/>
      <c r="D965" s="121"/>
      <c r="E965" s="121"/>
      <c r="F965" s="18"/>
      <c r="G965" s="18"/>
      <c r="H965" s="18"/>
      <c r="I965" s="124"/>
      <c r="J965" s="18"/>
      <c r="K965" s="18"/>
      <c r="L965" s="18"/>
      <c r="M965" s="121"/>
    </row>
    <row r="966" spans="1:13">
      <c r="A966" s="18"/>
      <c r="B966" s="18"/>
      <c r="C966" s="124"/>
      <c r="D966" s="121"/>
      <c r="E966" s="121"/>
      <c r="F966" s="18"/>
      <c r="G966" s="18"/>
      <c r="H966" s="18"/>
      <c r="I966" s="124"/>
      <c r="J966" s="18"/>
      <c r="K966" s="18"/>
      <c r="L966" s="18"/>
      <c r="M966" s="121"/>
    </row>
    <row r="967" spans="1:13">
      <c r="A967" s="18"/>
      <c r="B967" s="18"/>
      <c r="C967" s="124"/>
      <c r="D967" s="121"/>
      <c r="E967" s="121"/>
      <c r="F967" s="18"/>
      <c r="G967" s="18"/>
      <c r="H967" s="18"/>
      <c r="I967" s="124"/>
      <c r="J967" s="18"/>
      <c r="K967" s="18"/>
      <c r="L967" s="18"/>
      <c r="M967" s="121"/>
    </row>
    <row r="968" spans="1:13">
      <c r="A968" s="18"/>
      <c r="B968" s="18"/>
      <c r="C968" s="124"/>
      <c r="D968" s="121"/>
      <c r="E968" s="121"/>
      <c r="F968" s="18"/>
      <c r="G968" s="18"/>
      <c r="H968" s="18"/>
      <c r="I968" s="124"/>
      <c r="J968" s="18"/>
      <c r="K968" s="18"/>
      <c r="L968" s="18"/>
      <c r="M968" s="121"/>
    </row>
    <row r="969" spans="1:13">
      <c r="A969" s="18"/>
      <c r="B969" s="18"/>
      <c r="C969" s="124"/>
      <c r="D969" s="121"/>
      <c r="E969" s="121"/>
      <c r="F969" s="18"/>
      <c r="G969" s="18"/>
      <c r="H969" s="18"/>
      <c r="I969" s="124"/>
      <c r="J969" s="18"/>
      <c r="K969" s="18"/>
      <c r="L969" s="18"/>
      <c r="M969" s="121"/>
    </row>
    <row r="970" spans="1:13">
      <c r="A970" s="18"/>
      <c r="B970" s="18"/>
      <c r="C970" s="124"/>
      <c r="D970" s="121"/>
      <c r="E970" s="121"/>
      <c r="F970" s="18"/>
      <c r="G970" s="18"/>
      <c r="H970" s="18"/>
      <c r="I970" s="124"/>
      <c r="J970" s="18"/>
      <c r="K970" s="18"/>
      <c r="L970" s="18"/>
      <c r="M970" s="121"/>
    </row>
    <row r="971" spans="1:13">
      <c r="A971" s="18"/>
      <c r="B971" s="18"/>
      <c r="C971" s="124"/>
      <c r="D971" s="121"/>
      <c r="E971" s="121"/>
      <c r="F971" s="18"/>
      <c r="G971" s="18"/>
      <c r="H971" s="18"/>
      <c r="I971" s="124"/>
      <c r="J971" s="18"/>
      <c r="K971" s="18"/>
      <c r="L971" s="18"/>
      <c r="M971" s="121"/>
    </row>
    <row r="972" spans="1:13">
      <c r="A972" s="18"/>
      <c r="B972" s="18"/>
      <c r="C972" s="124"/>
      <c r="D972" s="121"/>
      <c r="E972" s="121"/>
      <c r="F972" s="18"/>
      <c r="G972" s="18"/>
      <c r="H972" s="18"/>
      <c r="I972" s="124"/>
      <c r="J972" s="18"/>
      <c r="K972" s="18"/>
      <c r="L972" s="18"/>
      <c r="M972" s="121"/>
    </row>
    <row r="973" spans="1:13">
      <c r="A973" s="18"/>
      <c r="B973" s="18"/>
      <c r="C973" s="124"/>
      <c r="D973" s="121"/>
      <c r="E973" s="121"/>
      <c r="F973" s="18"/>
      <c r="G973" s="18"/>
      <c r="H973" s="18"/>
      <c r="I973" s="124"/>
      <c r="J973" s="18"/>
      <c r="K973" s="18"/>
      <c r="L973" s="18"/>
      <c r="M973" s="121"/>
    </row>
    <row r="974" spans="1:13">
      <c r="A974" s="18"/>
      <c r="B974" s="18"/>
      <c r="C974" s="124"/>
      <c r="D974" s="121"/>
      <c r="E974" s="121"/>
      <c r="F974" s="18"/>
      <c r="G974" s="18"/>
      <c r="H974" s="18"/>
      <c r="I974" s="124"/>
      <c r="J974" s="18"/>
      <c r="K974" s="18"/>
      <c r="L974" s="18"/>
      <c r="M974" s="121"/>
    </row>
    <row r="975" spans="1:13">
      <c r="A975" s="18"/>
      <c r="B975" s="18"/>
      <c r="C975" s="124"/>
      <c r="D975" s="121"/>
      <c r="E975" s="121"/>
      <c r="F975" s="18"/>
      <c r="G975" s="18"/>
      <c r="H975" s="18"/>
      <c r="I975" s="124"/>
      <c r="J975" s="18"/>
      <c r="K975" s="18"/>
      <c r="L975" s="18"/>
      <c r="M975" s="121"/>
    </row>
    <row r="976" spans="1:13">
      <c r="A976" s="18"/>
      <c r="B976" s="18"/>
      <c r="C976" s="124"/>
      <c r="D976" s="121"/>
      <c r="E976" s="121"/>
      <c r="F976" s="18"/>
      <c r="G976" s="18"/>
      <c r="H976" s="18"/>
      <c r="I976" s="124"/>
      <c r="J976" s="18"/>
      <c r="K976" s="18"/>
      <c r="L976" s="18"/>
      <c r="M976" s="121"/>
    </row>
    <row r="977" spans="1:13">
      <c r="A977" s="18"/>
      <c r="B977" s="18"/>
      <c r="C977" s="124"/>
      <c r="D977" s="121"/>
      <c r="E977" s="121"/>
      <c r="F977" s="18"/>
      <c r="G977" s="18"/>
      <c r="H977" s="18"/>
      <c r="I977" s="124"/>
      <c r="J977" s="18"/>
      <c r="K977" s="18"/>
      <c r="L977" s="18"/>
      <c r="M977" s="121"/>
    </row>
    <row r="978" spans="1:13">
      <c r="A978" s="18"/>
      <c r="B978" s="18"/>
      <c r="C978" s="124"/>
      <c r="D978" s="121"/>
      <c r="E978" s="121"/>
      <c r="F978" s="18"/>
      <c r="G978" s="18"/>
      <c r="H978" s="18"/>
      <c r="I978" s="124"/>
      <c r="J978" s="18"/>
      <c r="K978" s="18"/>
      <c r="L978" s="18"/>
      <c r="M978" s="121"/>
    </row>
    <row r="979" spans="1:13">
      <c r="A979" s="18"/>
      <c r="B979" s="18"/>
      <c r="C979" s="124"/>
      <c r="D979" s="121"/>
      <c r="E979" s="121"/>
      <c r="F979" s="18"/>
      <c r="G979" s="18"/>
      <c r="H979" s="18"/>
      <c r="I979" s="124"/>
      <c r="J979" s="18"/>
      <c r="K979" s="18"/>
      <c r="L979" s="18"/>
      <c r="M979" s="121"/>
    </row>
    <row r="980" spans="1:13">
      <c r="A980" s="18"/>
      <c r="B980" s="18"/>
      <c r="C980" s="124"/>
      <c r="D980" s="121"/>
      <c r="E980" s="121"/>
      <c r="F980" s="18"/>
      <c r="G980" s="18"/>
      <c r="H980" s="18"/>
      <c r="I980" s="124"/>
      <c r="J980" s="18"/>
      <c r="K980" s="18"/>
      <c r="L980" s="18"/>
      <c r="M980" s="121"/>
    </row>
    <row r="981" spans="1:13">
      <c r="A981" s="18"/>
      <c r="B981" s="18"/>
      <c r="C981" s="124"/>
      <c r="D981" s="121"/>
      <c r="E981" s="121"/>
      <c r="F981" s="18"/>
      <c r="G981" s="18"/>
      <c r="H981" s="18"/>
      <c r="I981" s="124"/>
      <c r="J981" s="18"/>
      <c r="K981" s="18"/>
      <c r="L981" s="18"/>
      <c r="M981" s="121"/>
    </row>
    <row r="982" spans="1:13">
      <c r="A982" s="18"/>
      <c r="B982" s="18"/>
      <c r="C982" s="124"/>
      <c r="D982" s="121"/>
      <c r="E982" s="121"/>
      <c r="F982" s="18"/>
      <c r="G982" s="18"/>
      <c r="H982" s="18"/>
      <c r="I982" s="124"/>
      <c r="J982" s="18"/>
      <c r="K982" s="18"/>
      <c r="L982" s="18"/>
      <c r="M982" s="121"/>
    </row>
    <row r="983" spans="1:13">
      <c r="A983" s="18"/>
      <c r="B983" s="18"/>
      <c r="C983" s="124"/>
      <c r="D983" s="121"/>
      <c r="E983" s="121"/>
      <c r="F983" s="18"/>
      <c r="G983" s="18"/>
      <c r="H983" s="18"/>
      <c r="I983" s="124"/>
      <c r="J983" s="18"/>
      <c r="K983" s="18"/>
      <c r="L983" s="18"/>
      <c r="M983" s="121"/>
    </row>
    <row r="984" spans="1:13">
      <c r="A984" s="18"/>
      <c r="B984" s="18"/>
      <c r="C984" s="124"/>
      <c r="D984" s="121"/>
      <c r="E984" s="121"/>
      <c r="F984" s="18"/>
      <c r="G984" s="18"/>
      <c r="H984" s="18"/>
      <c r="I984" s="124"/>
      <c r="J984" s="18"/>
      <c r="K984" s="18"/>
      <c r="L984" s="18"/>
      <c r="M984" s="121"/>
    </row>
    <row r="985" spans="1:13">
      <c r="A985" s="18"/>
      <c r="B985" s="18"/>
      <c r="C985" s="124"/>
      <c r="D985" s="121"/>
      <c r="E985" s="121"/>
      <c r="F985" s="18"/>
      <c r="G985" s="18"/>
      <c r="H985" s="18"/>
      <c r="I985" s="124"/>
      <c r="J985" s="18"/>
      <c r="K985" s="18"/>
      <c r="L985" s="18"/>
      <c r="M985" s="121"/>
    </row>
    <row r="986" spans="1:13">
      <c r="A986" s="18"/>
      <c r="B986" s="18"/>
      <c r="C986" s="124"/>
      <c r="D986" s="121"/>
      <c r="E986" s="121"/>
      <c r="F986" s="18"/>
      <c r="G986" s="18"/>
      <c r="H986" s="18"/>
      <c r="I986" s="124"/>
      <c r="J986" s="18"/>
      <c r="K986" s="18"/>
      <c r="L986" s="18"/>
      <c r="M986" s="121"/>
    </row>
    <row r="987" spans="1:13">
      <c r="A987" s="18"/>
      <c r="B987" s="18"/>
      <c r="C987" s="124"/>
      <c r="D987" s="121"/>
      <c r="E987" s="121"/>
      <c r="F987" s="18"/>
      <c r="G987" s="18"/>
      <c r="H987" s="18"/>
      <c r="I987" s="124"/>
      <c r="J987" s="18"/>
      <c r="K987" s="18"/>
      <c r="L987" s="18"/>
      <c r="M987" s="121"/>
    </row>
    <row r="988" spans="1:13">
      <c r="A988" s="18"/>
      <c r="B988" s="18"/>
      <c r="C988" s="124"/>
      <c r="D988" s="121"/>
      <c r="E988" s="121"/>
      <c r="F988" s="18"/>
      <c r="G988" s="18"/>
      <c r="H988" s="18"/>
      <c r="I988" s="124"/>
      <c r="J988" s="18"/>
      <c r="K988" s="18"/>
      <c r="L988" s="18"/>
      <c r="M988" s="121"/>
    </row>
    <row r="989" spans="1:13">
      <c r="A989" s="18"/>
      <c r="B989" s="18"/>
      <c r="C989" s="124"/>
      <c r="D989" s="121"/>
      <c r="E989" s="121"/>
      <c r="F989" s="18"/>
      <c r="G989" s="18"/>
      <c r="H989" s="18"/>
      <c r="I989" s="124"/>
      <c r="J989" s="18"/>
      <c r="K989" s="18"/>
      <c r="L989" s="18"/>
      <c r="M989" s="121"/>
    </row>
    <row r="990" spans="1:13">
      <c r="A990" s="18"/>
      <c r="B990" s="18"/>
      <c r="C990" s="124"/>
      <c r="D990" s="121"/>
      <c r="E990" s="121"/>
      <c r="F990" s="18"/>
      <c r="G990" s="18"/>
      <c r="H990" s="18"/>
      <c r="I990" s="124"/>
      <c r="J990" s="18"/>
      <c r="K990" s="18"/>
      <c r="L990" s="18"/>
      <c r="M990" s="121"/>
    </row>
    <row r="991" spans="1:13">
      <c r="A991" s="18"/>
      <c r="B991" s="18"/>
      <c r="C991" s="124"/>
      <c r="D991" s="121"/>
      <c r="E991" s="121"/>
      <c r="F991" s="18"/>
      <c r="G991" s="18"/>
      <c r="H991" s="18"/>
      <c r="I991" s="124"/>
      <c r="J991" s="18"/>
      <c r="K991" s="18"/>
      <c r="L991" s="18"/>
      <c r="M991" s="121"/>
    </row>
    <row r="992" spans="1:13">
      <c r="A992" s="18"/>
      <c r="B992" s="18"/>
      <c r="C992" s="124"/>
      <c r="D992" s="121"/>
      <c r="E992" s="121"/>
      <c r="F992" s="18"/>
      <c r="G992" s="18"/>
      <c r="H992" s="18"/>
      <c r="I992" s="124"/>
      <c r="J992" s="18"/>
      <c r="K992" s="18"/>
      <c r="L992" s="18"/>
      <c r="M992" s="121"/>
    </row>
    <row r="993" spans="1:13">
      <c r="A993" s="18"/>
      <c r="B993" s="18"/>
      <c r="C993" s="124"/>
      <c r="D993" s="121"/>
      <c r="E993" s="121"/>
      <c r="F993" s="18"/>
      <c r="G993" s="18"/>
      <c r="H993" s="18"/>
      <c r="I993" s="124"/>
      <c r="J993" s="18"/>
      <c r="K993" s="18"/>
      <c r="L993" s="18"/>
      <c r="M993" s="121"/>
    </row>
    <row r="994" spans="1:13">
      <c r="A994" s="18"/>
      <c r="B994" s="18"/>
      <c r="C994" s="124"/>
      <c r="D994" s="121"/>
      <c r="E994" s="121"/>
      <c r="F994" s="18"/>
      <c r="G994" s="18"/>
      <c r="H994" s="18"/>
      <c r="I994" s="124"/>
      <c r="J994" s="18"/>
      <c r="K994" s="18"/>
      <c r="L994" s="18"/>
      <c r="M994" s="121"/>
    </row>
    <row r="995" spans="1:13">
      <c r="A995" s="18"/>
      <c r="B995" s="18"/>
      <c r="C995" s="124"/>
      <c r="D995" s="121"/>
      <c r="E995" s="121"/>
      <c r="F995" s="18"/>
      <c r="G995" s="18"/>
      <c r="H995" s="18"/>
      <c r="I995" s="124"/>
      <c r="J995" s="18"/>
      <c r="K995" s="18"/>
      <c r="L995" s="18"/>
      <c r="M995" s="121"/>
    </row>
    <row r="996" spans="1:13">
      <c r="A996" s="18"/>
      <c r="B996" s="18"/>
      <c r="C996" s="124"/>
      <c r="D996" s="121"/>
      <c r="E996" s="121"/>
      <c r="F996" s="18"/>
      <c r="G996" s="18"/>
      <c r="H996" s="18"/>
      <c r="I996" s="124"/>
      <c r="J996" s="18"/>
      <c r="K996" s="18"/>
      <c r="L996" s="18"/>
      <c r="M996" s="121"/>
    </row>
    <row r="997" spans="1:13">
      <c r="A997" s="18"/>
      <c r="B997" s="18"/>
      <c r="C997" s="124"/>
      <c r="D997" s="121"/>
      <c r="E997" s="121"/>
      <c r="F997" s="18"/>
      <c r="G997" s="18"/>
      <c r="H997" s="18"/>
      <c r="I997" s="124"/>
      <c r="J997" s="18"/>
      <c r="K997" s="18"/>
      <c r="L997" s="18"/>
      <c r="M997" s="121"/>
    </row>
    <row r="998" spans="1:13">
      <c r="A998" s="18"/>
      <c r="B998" s="18"/>
      <c r="C998" s="124"/>
      <c r="D998" s="121"/>
      <c r="E998" s="121"/>
      <c r="F998" s="18"/>
      <c r="G998" s="18"/>
      <c r="H998" s="18"/>
      <c r="I998" s="124"/>
      <c r="J998" s="18"/>
      <c r="K998" s="18"/>
      <c r="L998" s="18"/>
      <c r="M998" s="121"/>
    </row>
    <row r="999" spans="1:13">
      <c r="A999" s="18"/>
      <c r="B999" s="18"/>
      <c r="C999" s="124"/>
      <c r="D999" s="121"/>
      <c r="E999" s="121"/>
      <c r="F999" s="18"/>
      <c r="G999" s="18"/>
      <c r="H999" s="18"/>
      <c r="I999" s="124"/>
      <c r="J999" s="18"/>
      <c r="K999" s="18"/>
      <c r="L999" s="18"/>
      <c r="M999" s="121"/>
    </row>
    <row r="1000" spans="1:13">
      <c r="A1000" s="18"/>
      <c r="B1000" s="18"/>
      <c r="C1000" s="124"/>
      <c r="D1000" s="121"/>
      <c r="E1000" s="121"/>
      <c r="F1000" s="18"/>
      <c r="G1000" s="18"/>
      <c r="H1000" s="18"/>
      <c r="I1000" s="124"/>
      <c r="J1000" s="18"/>
      <c r="K1000" s="18"/>
      <c r="L1000" s="18"/>
      <c r="M1000" s="121"/>
    </row>
    <row r="1001" spans="1:13">
      <c r="A1001" s="18"/>
      <c r="B1001" s="18"/>
      <c r="C1001" s="124"/>
      <c r="D1001" s="121"/>
      <c r="E1001" s="121"/>
      <c r="F1001" s="18"/>
      <c r="G1001" s="18"/>
      <c r="H1001" s="18"/>
      <c r="I1001" s="124"/>
      <c r="J1001" s="18"/>
      <c r="K1001" s="18"/>
      <c r="L1001" s="18"/>
      <c r="M1001" s="121"/>
    </row>
    <row r="1002" spans="1:13">
      <c r="A1002" s="18"/>
      <c r="B1002" s="18"/>
      <c r="C1002" s="124"/>
      <c r="D1002" s="121"/>
      <c r="E1002" s="121"/>
      <c r="F1002" s="18"/>
      <c r="G1002" s="18"/>
      <c r="H1002" s="18"/>
      <c r="I1002" s="124"/>
      <c r="J1002" s="18"/>
      <c r="K1002" s="18"/>
      <c r="L1002" s="18"/>
      <c r="M1002" s="121"/>
    </row>
    <row r="1003" spans="1:13">
      <c r="A1003" s="18"/>
      <c r="B1003" s="18"/>
      <c r="C1003" s="124"/>
      <c r="D1003" s="121"/>
      <c r="E1003" s="121"/>
      <c r="F1003" s="18"/>
      <c r="G1003" s="18"/>
      <c r="H1003" s="18"/>
      <c r="I1003" s="124"/>
      <c r="J1003" s="18"/>
      <c r="K1003" s="18"/>
      <c r="L1003" s="18"/>
      <c r="M1003" s="121"/>
    </row>
    <row r="1004" spans="1:13">
      <c r="A1004" s="18"/>
      <c r="B1004" s="18"/>
      <c r="C1004" s="124"/>
      <c r="D1004" s="121"/>
      <c r="E1004" s="121"/>
      <c r="F1004" s="18"/>
      <c r="G1004" s="18"/>
      <c r="H1004" s="18"/>
      <c r="I1004" s="124"/>
      <c r="J1004" s="18"/>
      <c r="K1004" s="18"/>
      <c r="L1004" s="18"/>
      <c r="M1004" s="121"/>
    </row>
    <row r="1005" spans="1:13">
      <c r="A1005" s="18"/>
      <c r="B1005" s="18"/>
      <c r="C1005" s="124"/>
      <c r="D1005" s="121"/>
      <c r="E1005" s="121"/>
      <c r="F1005" s="18"/>
      <c r="G1005" s="18"/>
      <c r="H1005" s="18"/>
      <c r="I1005" s="124"/>
      <c r="J1005" s="18"/>
      <c r="K1005" s="18"/>
      <c r="L1005" s="18"/>
      <c r="M1005" s="121"/>
    </row>
    <row r="1006" spans="1:13">
      <c r="A1006" s="18"/>
      <c r="B1006" s="18"/>
      <c r="C1006" s="124"/>
      <c r="D1006" s="121"/>
      <c r="E1006" s="121"/>
      <c r="F1006" s="18"/>
      <c r="G1006" s="18"/>
      <c r="H1006" s="18"/>
      <c r="I1006" s="124"/>
      <c r="J1006" s="18"/>
      <c r="K1006" s="18"/>
      <c r="L1006" s="18"/>
      <c r="M1006" s="121"/>
    </row>
    <row r="1007" spans="1:13">
      <c r="A1007" s="18"/>
      <c r="B1007" s="18"/>
      <c r="C1007" s="124"/>
      <c r="D1007" s="121"/>
      <c r="E1007" s="121"/>
      <c r="F1007" s="18"/>
      <c r="G1007" s="18"/>
      <c r="H1007" s="18"/>
      <c r="I1007" s="124"/>
      <c r="J1007" s="18"/>
      <c r="K1007" s="18"/>
      <c r="L1007" s="18"/>
      <c r="M1007" s="121"/>
    </row>
    <row r="1008" spans="1:13">
      <c r="A1008" s="18"/>
      <c r="B1008" s="18"/>
      <c r="C1008" s="124"/>
      <c r="D1008" s="121"/>
      <c r="E1008" s="121"/>
      <c r="F1008" s="18"/>
      <c r="G1008" s="18"/>
      <c r="H1008" s="18"/>
      <c r="I1008" s="124"/>
      <c r="J1008" s="18"/>
      <c r="K1008" s="18"/>
      <c r="L1008" s="18"/>
      <c r="M1008" s="121"/>
    </row>
    <row r="1009" spans="1:13">
      <c r="A1009" s="18"/>
      <c r="B1009" s="18"/>
      <c r="C1009" s="124"/>
      <c r="D1009" s="121"/>
      <c r="E1009" s="121"/>
      <c r="F1009" s="18"/>
      <c r="G1009" s="18"/>
      <c r="H1009" s="18"/>
      <c r="I1009" s="124"/>
      <c r="J1009" s="18"/>
      <c r="K1009" s="18"/>
      <c r="L1009" s="18"/>
      <c r="M1009" s="121"/>
    </row>
    <row r="1010" spans="1:13">
      <c r="A1010" s="18"/>
      <c r="B1010" s="18"/>
      <c r="C1010" s="124"/>
      <c r="D1010" s="121"/>
      <c r="E1010" s="121"/>
      <c r="F1010" s="18"/>
      <c r="G1010" s="18"/>
      <c r="H1010" s="18"/>
      <c r="I1010" s="124"/>
      <c r="J1010" s="18"/>
      <c r="K1010" s="18"/>
      <c r="L1010" s="18"/>
      <c r="M1010" s="121"/>
    </row>
    <row r="1011" spans="1:13">
      <c r="A1011" s="18"/>
      <c r="B1011" s="18"/>
      <c r="C1011" s="124"/>
      <c r="D1011" s="121"/>
      <c r="E1011" s="121"/>
      <c r="F1011" s="18"/>
      <c r="G1011" s="18"/>
      <c r="H1011" s="18"/>
      <c r="I1011" s="124"/>
      <c r="J1011" s="18"/>
      <c r="K1011" s="18"/>
      <c r="L1011" s="18"/>
      <c r="M1011" s="121"/>
    </row>
    <row r="1012" spans="1:13">
      <c r="A1012" s="18"/>
      <c r="B1012" s="18"/>
      <c r="C1012" s="124"/>
      <c r="D1012" s="121"/>
      <c r="E1012" s="121"/>
      <c r="F1012" s="18"/>
      <c r="G1012" s="18"/>
      <c r="H1012" s="18"/>
      <c r="I1012" s="124"/>
      <c r="J1012" s="18"/>
      <c r="K1012" s="18"/>
      <c r="L1012" s="18"/>
      <c r="M1012" s="121"/>
    </row>
    <row r="1013" spans="1:13">
      <c r="A1013" s="18"/>
      <c r="B1013" s="18"/>
      <c r="C1013" s="124"/>
      <c r="D1013" s="121"/>
      <c r="E1013" s="121"/>
      <c r="F1013" s="18"/>
      <c r="G1013" s="18"/>
      <c r="H1013" s="18"/>
      <c r="I1013" s="124"/>
      <c r="J1013" s="18"/>
      <c r="K1013" s="18"/>
      <c r="L1013" s="18"/>
      <c r="M1013" s="121"/>
    </row>
    <row r="1014" spans="1:13">
      <c r="A1014" s="18"/>
      <c r="B1014" s="18"/>
      <c r="C1014" s="124"/>
      <c r="D1014" s="121"/>
      <c r="E1014" s="121"/>
      <c r="F1014" s="18"/>
      <c r="G1014" s="18"/>
      <c r="H1014" s="18"/>
      <c r="I1014" s="124"/>
      <c r="J1014" s="18"/>
      <c r="K1014" s="18"/>
      <c r="L1014" s="18"/>
      <c r="M1014" s="121"/>
    </row>
    <row r="1015" spans="1:13">
      <c r="A1015" s="18"/>
      <c r="B1015" s="18"/>
      <c r="C1015" s="124"/>
      <c r="D1015" s="121"/>
      <c r="E1015" s="121"/>
      <c r="F1015" s="18"/>
      <c r="G1015" s="18"/>
      <c r="H1015" s="18"/>
      <c r="I1015" s="124"/>
      <c r="J1015" s="18"/>
      <c r="K1015" s="18"/>
      <c r="L1015" s="18"/>
      <c r="M1015" s="121"/>
    </row>
    <row r="1016" spans="1:13">
      <c r="A1016" s="18"/>
      <c r="B1016" s="18"/>
      <c r="C1016" s="124"/>
      <c r="D1016" s="121"/>
      <c r="E1016" s="121"/>
      <c r="F1016" s="18"/>
      <c r="G1016" s="18"/>
      <c r="H1016" s="18"/>
      <c r="I1016" s="124"/>
      <c r="J1016" s="18"/>
      <c r="K1016" s="18"/>
      <c r="L1016" s="18"/>
      <c r="M1016" s="121"/>
    </row>
    <row r="1017" spans="1:13">
      <c r="A1017" s="18"/>
      <c r="B1017" s="18"/>
      <c r="C1017" s="124"/>
      <c r="D1017" s="121"/>
      <c r="E1017" s="121"/>
      <c r="F1017" s="18"/>
      <c r="G1017" s="18"/>
      <c r="H1017" s="18"/>
      <c r="I1017" s="124"/>
      <c r="J1017" s="18"/>
      <c r="K1017" s="18"/>
      <c r="L1017" s="18"/>
      <c r="M1017" s="121"/>
    </row>
    <row r="1018" spans="1:13">
      <c r="A1018" s="18"/>
      <c r="B1018" s="18"/>
      <c r="C1018" s="124"/>
      <c r="D1018" s="121"/>
      <c r="E1018" s="121"/>
      <c r="F1018" s="18"/>
      <c r="G1018" s="18"/>
      <c r="H1018" s="18"/>
      <c r="I1018" s="124"/>
      <c r="J1018" s="18"/>
      <c r="K1018" s="18"/>
      <c r="L1018" s="18"/>
      <c r="M1018" s="121"/>
    </row>
    <row r="1019" spans="1:13">
      <c r="A1019" s="18"/>
      <c r="B1019" s="18"/>
      <c r="C1019" s="124"/>
      <c r="D1019" s="121"/>
      <c r="E1019" s="121"/>
      <c r="F1019" s="18"/>
      <c r="G1019" s="18"/>
      <c r="H1019" s="18"/>
      <c r="I1019" s="124"/>
      <c r="J1019" s="18"/>
      <c r="K1019" s="18"/>
      <c r="L1019" s="18"/>
      <c r="M1019" s="121"/>
    </row>
    <row r="1020" spans="1:13">
      <c r="A1020" s="18"/>
      <c r="B1020" s="18"/>
      <c r="C1020" s="124"/>
      <c r="D1020" s="121"/>
      <c r="E1020" s="121"/>
      <c r="F1020" s="18"/>
      <c r="G1020" s="18"/>
      <c r="H1020" s="18"/>
      <c r="I1020" s="124"/>
      <c r="J1020" s="18"/>
      <c r="K1020" s="18"/>
      <c r="L1020" s="18"/>
      <c r="M1020" s="121"/>
    </row>
    <row r="1021" spans="1:13">
      <c r="A1021" s="18"/>
      <c r="B1021" s="18"/>
      <c r="C1021" s="124"/>
      <c r="D1021" s="121"/>
      <c r="E1021" s="121"/>
      <c r="F1021" s="18"/>
      <c r="G1021" s="18"/>
      <c r="H1021" s="18"/>
      <c r="I1021" s="124"/>
      <c r="J1021" s="18"/>
      <c r="K1021" s="18"/>
      <c r="L1021" s="18"/>
      <c r="M1021" s="121"/>
    </row>
    <row r="1022" spans="1:13">
      <c r="A1022" s="18"/>
      <c r="B1022" s="18"/>
      <c r="C1022" s="124"/>
      <c r="D1022" s="121"/>
      <c r="E1022" s="121"/>
      <c r="F1022" s="18"/>
      <c r="G1022" s="18"/>
      <c r="H1022" s="18"/>
      <c r="I1022" s="124"/>
      <c r="J1022" s="18"/>
      <c r="K1022" s="18"/>
      <c r="L1022" s="18"/>
      <c r="M1022" s="121"/>
    </row>
    <row r="1023" spans="1:13">
      <c r="A1023" s="18"/>
      <c r="B1023" s="18"/>
      <c r="C1023" s="124"/>
      <c r="D1023" s="121"/>
      <c r="E1023" s="121"/>
      <c r="F1023" s="18"/>
      <c r="G1023" s="18"/>
      <c r="H1023" s="18"/>
      <c r="I1023" s="124"/>
      <c r="J1023" s="18"/>
      <c r="K1023" s="18"/>
      <c r="L1023" s="18"/>
      <c r="M1023" s="121"/>
    </row>
    <row r="1024" spans="1:13">
      <c r="A1024" s="18"/>
      <c r="B1024" s="18"/>
      <c r="C1024" s="124"/>
      <c r="D1024" s="121"/>
      <c r="E1024" s="121"/>
      <c r="F1024" s="18"/>
      <c r="G1024" s="18"/>
      <c r="H1024" s="18"/>
      <c r="I1024" s="124"/>
      <c r="J1024" s="18"/>
      <c r="K1024" s="18"/>
      <c r="L1024" s="18"/>
      <c r="M1024" s="121"/>
    </row>
    <row r="1025" spans="1:13">
      <c r="A1025" s="18"/>
      <c r="B1025" s="18"/>
      <c r="C1025" s="124"/>
      <c r="D1025" s="121"/>
      <c r="E1025" s="121"/>
      <c r="F1025" s="18"/>
      <c r="G1025" s="18"/>
      <c r="H1025" s="18"/>
      <c r="I1025" s="124"/>
      <c r="J1025" s="18"/>
      <c r="K1025" s="18"/>
      <c r="L1025" s="18"/>
      <c r="M1025" s="121"/>
    </row>
    <row r="1026" spans="1:13">
      <c r="A1026" s="18"/>
      <c r="B1026" s="18"/>
      <c r="C1026" s="124"/>
      <c r="D1026" s="121"/>
      <c r="E1026" s="121"/>
      <c r="F1026" s="18"/>
      <c r="G1026" s="18"/>
      <c r="H1026" s="18"/>
      <c r="I1026" s="124"/>
      <c r="J1026" s="18"/>
      <c r="K1026" s="18"/>
      <c r="L1026" s="18"/>
      <c r="M1026" s="121"/>
    </row>
    <row r="1027" spans="1:13">
      <c r="A1027" s="18"/>
      <c r="B1027" s="18"/>
      <c r="C1027" s="124"/>
      <c r="D1027" s="121"/>
      <c r="E1027" s="121"/>
      <c r="F1027" s="18"/>
      <c r="G1027" s="18"/>
      <c r="H1027" s="18"/>
      <c r="I1027" s="124"/>
      <c r="J1027" s="18"/>
      <c r="K1027" s="18"/>
      <c r="L1027" s="18"/>
      <c r="M1027" s="121"/>
    </row>
    <row r="1028" spans="1:13">
      <c r="A1028" s="18"/>
      <c r="B1028" s="18"/>
      <c r="C1028" s="124"/>
      <c r="D1028" s="121"/>
      <c r="E1028" s="121"/>
      <c r="F1028" s="18"/>
      <c r="G1028" s="18"/>
      <c r="H1028" s="18"/>
      <c r="I1028" s="124"/>
      <c r="J1028" s="18"/>
      <c r="K1028" s="18"/>
      <c r="L1028" s="18"/>
      <c r="M1028" s="121"/>
    </row>
    <row r="1029" spans="1:13">
      <c r="A1029" s="18"/>
      <c r="B1029" s="18"/>
      <c r="C1029" s="124"/>
      <c r="D1029" s="121"/>
      <c r="E1029" s="121"/>
      <c r="F1029" s="18"/>
      <c r="G1029" s="18"/>
      <c r="H1029" s="18"/>
      <c r="I1029" s="124"/>
      <c r="J1029" s="18"/>
      <c r="K1029" s="18"/>
      <c r="L1029" s="18"/>
      <c r="M1029" s="121"/>
    </row>
    <row r="1030" spans="1:13">
      <c r="A1030" s="18"/>
      <c r="B1030" s="18"/>
      <c r="C1030" s="124"/>
      <c r="D1030" s="121"/>
      <c r="E1030" s="121"/>
      <c r="F1030" s="18"/>
      <c r="G1030" s="18"/>
      <c r="H1030" s="18"/>
      <c r="I1030" s="124"/>
      <c r="J1030" s="18"/>
      <c r="K1030" s="18"/>
      <c r="L1030" s="18"/>
      <c r="M1030" s="121"/>
    </row>
    <row r="1031" spans="1:13">
      <c r="A1031" s="18"/>
      <c r="B1031" s="18"/>
      <c r="C1031" s="124"/>
      <c r="D1031" s="121"/>
      <c r="E1031" s="121"/>
      <c r="F1031" s="18"/>
      <c r="G1031" s="18"/>
      <c r="H1031" s="18"/>
      <c r="I1031" s="124"/>
      <c r="J1031" s="18"/>
      <c r="K1031" s="18"/>
      <c r="L1031" s="18"/>
      <c r="M1031" s="121"/>
    </row>
    <row r="1032" spans="1:13">
      <c r="A1032" s="18"/>
      <c r="B1032" s="18"/>
      <c r="C1032" s="124"/>
      <c r="D1032" s="121"/>
      <c r="E1032" s="121"/>
      <c r="F1032" s="18"/>
      <c r="G1032" s="18"/>
      <c r="H1032" s="18"/>
      <c r="I1032" s="124"/>
      <c r="J1032" s="18"/>
      <c r="K1032" s="18"/>
      <c r="L1032" s="18"/>
      <c r="M1032" s="121"/>
    </row>
    <row r="1033" spans="1:13">
      <c r="A1033" s="18"/>
      <c r="B1033" s="18"/>
      <c r="C1033" s="124"/>
      <c r="D1033" s="121"/>
      <c r="E1033" s="121"/>
      <c r="F1033" s="18"/>
      <c r="G1033" s="18"/>
      <c r="H1033" s="18"/>
      <c r="I1033" s="124"/>
      <c r="J1033" s="18"/>
      <c r="K1033" s="18"/>
      <c r="L1033" s="18"/>
      <c r="M1033" s="121"/>
    </row>
    <row r="1034" spans="1:13">
      <c r="A1034" s="18"/>
      <c r="B1034" s="18"/>
      <c r="C1034" s="124"/>
      <c r="D1034" s="121"/>
      <c r="E1034" s="121"/>
      <c r="F1034" s="18"/>
      <c r="G1034" s="18"/>
      <c r="H1034" s="18"/>
      <c r="I1034" s="124"/>
      <c r="J1034" s="18"/>
      <c r="K1034" s="18"/>
      <c r="L1034" s="18"/>
      <c r="M1034" s="121"/>
    </row>
    <row r="1035" spans="1:13">
      <c r="A1035" s="18"/>
      <c r="B1035" s="18"/>
      <c r="C1035" s="124"/>
      <c r="D1035" s="121"/>
      <c r="E1035" s="121"/>
      <c r="F1035" s="18"/>
      <c r="G1035" s="18"/>
      <c r="H1035" s="18"/>
      <c r="I1035" s="124"/>
      <c r="J1035" s="18"/>
      <c r="K1035" s="18"/>
      <c r="L1035" s="18"/>
      <c r="M1035" s="121"/>
    </row>
    <row r="1036" spans="1:13">
      <c r="A1036" s="18"/>
      <c r="B1036" s="18"/>
      <c r="C1036" s="124"/>
      <c r="D1036" s="121"/>
      <c r="E1036" s="121"/>
      <c r="F1036" s="18"/>
      <c r="G1036" s="18"/>
      <c r="H1036" s="18"/>
      <c r="I1036" s="124"/>
      <c r="J1036" s="18"/>
      <c r="K1036" s="18"/>
      <c r="L1036" s="18"/>
      <c r="M1036" s="121"/>
    </row>
    <row r="1037" spans="1:13">
      <c r="A1037" s="18"/>
      <c r="B1037" s="18"/>
      <c r="C1037" s="124"/>
      <c r="D1037" s="121"/>
      <c r="E1037" s="121"/>
      <c r="F1037" s="18"/>
      <c r="G1037" s="18"/>
      <c r="H1037" s="18"/>
      <c r="I1037" s="124"/>
      <c r="J1037" s="18"/>
      <c r="K1037" s="18"/>
      <c r="L1037" s="18"/>
      <c r="M1037" s="121"/>
    </row>
    <row r="1038" spans="1:13">
      <c r="A1038" s="18"/>
      <c r="B1038" s="18"/>
      <c r="C1038" s="124"/>
      <c r="D1038" s="121"/>
      <c r="E1038" s="121"/>
      <c r="F1038" s="18"/>
      <c r="G1038" s="18"/>
      <c r="H1038" s="18"/>
      <c r="I1038" s="124"/>
      <c r="J1038" s="18"/>
      <c r="K1038" s="18"/>
      <c r="L1038" s="18"/>
      <c r="M1038" s="121"/>
    </row>
    <row r="1039" spans="1:13">
      <c r="A1039" s="18"/>
      <c r="B1039" s="18"/>
      <c r="C1039" s="124"/>
      <c r="D1039" s="121"/>
      <c r="E1039" s="121"/>
      <c r="F1039" s="18"/>
      <c r="G1039" s="18"/>
      <c r="H1039" s="18"/>
      <c r="I1039" s="124"/>
      <c r="J1039" s="18"/>
      <c r="K1039" s="18"/>
      <c r="L1039" s="18"/>
      <c r="M1039" s="121"/>
    </row>
    <row r="1040" spans="1:13">
      <c r="A1040" s="18"/>
      <c r="B1040" s="18"/>
      <c r="C1040" s="124"/>
      <c r="D1040" s="121"/>
      <c r="E1040" s="121"/>
      <c r="F1040" s="18"/>
      <c r="G1040" s="18"/>
      <c r="H1040" s="18"/>
      <c r="I1040" s="124"/>
      <c r="J1040" s="18"/>
      <c r="K1040" s="18"/>
      <c r="L1040" s="18"/>
      <c r="M1040" s="121"/>
    </row>
    <row r="1041" spans="1:13">
      <c r="A1041" s="18"/>
      <c r="B1041" s="18"/>
      <c r="C1041" s="124"/>
      <c r="D1041" s="121"/>
      <c r="E1041" s="121"/>
      <c r="F1041" s="18"/>
      <c r="G1041" s="18"/>
      <c r="H1041" s="18"/>
      <c r="I1041" s="124"/>
      <c r="J1041" s="18"/>
      <c r="K1041" s="18"/>
      <c r="L1041" s="18"/>
      <c r="M1041" s="121"/>
    </row>
    <row r="1042" spans="1:13">
      <c r="A1042" s="18"/>
      <c r="B1042" s="18"/>
      <c r="C1042" s="124"/>
      <c r="D1042" s="121"/>
      <c r="E1042" s="121"/>
      <c r="F1042" s="18"/>
      <c r="G1042" s="18"/>
      <c r="H1042" s="18"/>
      <c r="I1042" s="124"/>
      <c r="J1042" s="18"/>
      <c r="K1042" s="18"/>
      <c r="L1042" s="18"/>
      <c r="M1042" s="121"/>
    </row>
    <row r="1043" spans="1:13">
      <c r="A1043" s="18"/>
      <c r="B1043" s="18"/>
      <c r="C1043" s="124"/>
      <c r="D1043" s="121"/>
      <c r="E1043" s="121"/>
      <c r="F1043" s="18"/>
      <c r="G1043" s="18"/>
      <c r="H1043" s="18"/>
      <c r="I1043" s="124"/>
      <c r="J1043" s="18"/>
      <c r="K1043" s="18"/>
      <c r="L1043" s="18"/>
      <c r="M1043" s="121"/>
    </row>
    <row r="1044" spans="1:13">
      <c r="A1044" s="18"/>
      <c r="B1044" s="18"/>
      <c r="C1044" s="124"/>
      <c r="D1044" s="121"/>
      <c r="E1044" s="121"/>
      <c r="F1044" s="18"/>
      <c r="G1044" s="18"/>
      <c r="H1044" s="18"/>
      <c r="I1044" s="124"/>
      <c r="J1044" s="18"/>
      <c r="K1044" s="18"/>
      <c r="L1044" s="18"/>
      <c r="M1044" s="121"/>
    </row>
    <row r="1045" spans="1:13">
      <c r="A1045" s="18"/>
      <c r="B1045" s="18"/>
      <c r="C1045" s="124"/>
      <c r="D1045" s="121"/>
      <c r="E1045" s="121"/>
      <c r="F1045" s="18"/>
      <c r="G1045" s="18"/>
      <c r="H1045" s="18"/>
      <c r="I1045" s="124"/>
      <c r="J1045" s="18"/>
      <c r="K1045" s="18"/>
      <c r="L1045" s="18"/>
      <c r="M1045" s="121"/>
    </row>
    <row r="1046" spans="1:13">
      <c r="A1046" s="18"/>
      <c r="B1046" s="18"/>
      <c r="C1046" s="124"/>
      <c r="D1046" s="121"/>
      <c r="E1046" s="121"/>
      <c r="F1046" s="18"/>
      <c r="G1046" s="18"/>
      <c r="H1046" s="18"/>
      <c r="I1046" s="124"/>
      <c r="J1046" s="18"/>
      <c r="K1046" s="18"/>
      <c r="L1046" s="18"/>
      <c r="M1046" s="121"/>
    </row>
    <row r="1047" spans="1:13">
      <c r="A1047" s="18"/>
      <c r="B1047" s="18"/>
      <c r="C1047" s="124"/>
      <c r="D1047" s="121"/>
      <c r="E1047" s="121"/>
      <c r="F1047" s="18"/>
      <c r="G1047" s="18"/>
      <c r="H1047" s="18"/>
      <c r="I1047" s="124"/>
      <c r="J1047" s="18"/>
      <c r="K1047" s="18"/>
      <c r="L1047" s="18"/>
      <c r="M1047" s="121"/>
    </row>
    <row r="1048" spans="1:13">
      <c r="A1048" s="18"/>
      <c r="B1048" s="18"/>
      <c r="C1048" s="124"/>
      <c r="D1048" s="121"/>
      <c r="E1048" s="121"/>
      <c r="F1048" s="18"/>
      <c r="G1048" s="18"/>
      <c r="H1048" s="18"/>
      <c r="I1048" s="124"/>
      <c r="J1048" s="18"/>
      <c r="K1048" s="18"/>
      <c r="L1048" s="18"/>
      <c r="M1048" s="121"/>
    </row>
    <row r="1049" spans="1:13">
      <c r="A1049" s="18"/>
      <c r="B1049" s="18"/>
      <c r="C1049" s="124"/>
      <c r="D1049" s="121"/>
      <c r="E1049" s="121"/>
      <c r="F1049" s="18"/>
      <c r="G1049" s="18"/>
      <c r="H1049" s="18"/>
      <c r="I1049" s="124"/>
      <c r="J1049" s="18"/>
      <c r="K1049" s="18"/>
      <c r="L1049" s="18"/>
      <c r="M1049" s="121"/>
    </row>
    <row r="1050" spans="1:13">
      <c r="A1050" s="18"/>
      <c r="B1050" s="18"/>
      <c r="C1050" s="124"/>
      <c r="D1050" s="121"/>
      <c r="E1050" s="121"/>
      <c r="F1050" s="18"/>
      <c r="G1050" s="18"/>
      <c r="H1050" s="18"/>
      <c r="I1050" s="124"/>
      <c r="J1050" s="18"/>
      <c r="K1050" s="18"/>
      <c r="L1050" s="18"/>
      <c r="M1050" s="121"/>
    </row>
    <row r="1051" spans="1:13">
      <c r="A1051" s="18"/>
      <c r="B1051" s="18"/>
      <c r="C1051" s="124"/>
      <c r="D1051" s="121"/>
      <c r="E1051" s="121"/>
      <c r="F1051" s="18"/>
      <c r="G1051" s="18"/>
      <c r="H1051" s="18"/>
      <c r="I1051" s="124"/>
      <c r="J1051" s="18"/>
      <c r="K1051" s="18"/>
      <c r="L1051" s="18"/>
      <c r="M1051" s="121"/>
    </row>
    <row r="1052" spans="1:13">
      <c r="A1052" s="18"/>
      <c r="B1052" s="18"/>
      <c r="C1052" s="124"/>
      <c r="D1052" s="121"/>
      <c r="E1052" s="121"/>
      <c r="F1052" s="18"/>
      <c r="G1052" s="18"/>
      <c r="H1052" s="18"/>
      <c r="I1052" s="124"/>
      <c r="J1052" s="18"/>
      <c r="K1052" s="18"/>
      <c r="L1052" s="18"/>
      <c r="M1052" s="121"/>
    </row>
    <row r="1053" spans="1:13">
      <c r="A1053" s="18"/>
      <c r="B1053" s="18"/>
      <c r="C1053" s="124"/>
      <c r="D1053" s="121"/>
      <c r="E1053" s="121"/>
      <c r="F1053" s="18"/>
      <c r="G1053" s="18"/>
      <c r="H1053" s="18"/>
      <c r="I1053" s="124"/>
      <c r="J1053" s="18"/>
      <c r="K1053" s="18"/>
      <c r="L1053" s="18"/>
      <c r="M1053" s="121"/>
    </row>
    <row r="1054" spans="1:13">
      <c r="A1054" s="18"/>
      <c r="B1054" s="18"/>
      <c r="C1054" s="124"/>
      <c r="D1054" s="121"/>
      <c r="E1054" s="121"/>
      <c r="F1054" s="18"/>
      <c r="G1054" s="18"/>
      <c r="H1054" s="18"/>
      <c r="I1054" s="124"/>
      <c r="J1054" s="18"/>
      <c r="K1054" s="18"/>
      <c r="L1054" s="18"/>
      <c r="M1054" s="121"/>
    </row>
    <row r="1055" spans="1:13">
      <c r="A1055" s="18"/>
      <c r="B1055" s="18"/>
      <c r="C1055" s="124"/>
      <c r="D1055" s="121"/>
      <c r="E1055" s="121"/>
      <c r="F1055" s="18"/>
      <c r="G1055" s="18"/>
      <c r="H1055" s="18"/>
      <c r="I1055" s="124"/>
      <c r="J1055" s="18"/>
      <c r="K1055" s="18"/>
      <c r="L1055" s="18"/>
      <c r="M1055" s="121"/>
    </row>
    <row r="1056" spans="1:13">
      <c r="A1056" s="18"/>
      <c r="B1056" s="18"/>
      <c r="C1056" s="124"/>
      <c r="D1056" s="121"/>
      <c r="E1056" s="121"/>
      <c r="F1056" s="18"/>
      <c r="G1056" s="18"/>
      <c r="H1056" s="18"/>
      <c r="I1056" s="124"/>
      <c r="J1056" s="18"/>
      <c r="K1056" s="18"/>
      <c r="L1056" s="18"/>
      <c r="M1056" s="121"/>
    </row>
    <row r="1057" spans="1:13">
      <c r="A1057" s="18"/>
      <c r="B1057" s="18"/>
      <c r="C1057" s="124"/>
      <c r="D1057" s="121"/>
      <c r="E1057" s="121"/>
      <c r="F1057" s="18"/>
      <c r="G1057" s="18"/>
      <c r="H1057" s="18"/>
      <c r="I1057" s="124"/>
      <c r="J1057" s="18"/>
      <c r="K1057" s="18"/>
      <c r="L1057" s="18"/>
      <c r="M1057" s="121"/>
    </row>
    <row r="1058" spans="1:13">
      <c r="A1058" s="18"/>
      <c r="B1058" s="18"/>
      <c r="C1058" s="124"/>
      <c r="D1058" s="121"/>
      <c r="E1058" s="121"/>
      <c r="F1058" s="18"/>
      <c r="G1058" s="18"/>
      <c r="H1058" s="18"/>
      <c r="I1058" s="124"/>
      <c r="J1058" s="18"/>
      <c r="K1058" s="18"/>
      <c r="L1058" s="18"/>
      <c r="M1058" s="121"/>
    </row>
    <row r="1059" spans="1:13">
      <c r="A1059" s="18"/>
      <c r="B1059" s="18"/>
      <c r="C1059" s="124"/>
      <c r="D1059" s="121"/>
      <c r="E1059" s="121"/>
      <c r="F1059" s="18"/>
      <c r="G1059" s="18"/>
      <c r="H1059" s="18"/>
      <c r="I1059" s="124"/>
      <c r="J1059" s="18"/>
      <c r="K1059" s="18"/>
      <c r="L1059" s="18"/>
      <c r="M1059" s="121"/>
    </row>
    <row r="1060" spans="1:13">
      <c r="A1060" s="18"/>
      <c r="B1060" s="18"/>
      <c r="C1060" s="124"/>
      <c r="D1060" s="121"/>
      <c r="E1060" s="121"/>
      <c r="F1060" s="18"/>
      <c r="G1060" s="18"/>
      <c r="H1060" s="18"/>
      <c r="I1060" s="124"/>
      <c r="J1060" s="18"/>
      <c r="K1060" s="18"/>
      <c r="L1060" s="18"/>
      <c r="M1060" s="121"/>
    </row>
    <row r="1061" spans="1:13">
      <c r="A1061" s="18"/>
      <c r="B1061" s="18"/>
      <c r="C1061" s="124"/>
      <c r="D1061" s="121"/>
      <c r="E1061" s="121"/>
      <c r="F1061" s="18"/>
      <c r="G1061" s="18"/>
      <c r="H1061" s="18"/>
      <c r="I1061" s="124"/>
      <c r="J1061" s="18"/>
      <c r="K1061" s="18"/>
      <c r="L1061" s="18"/>
      <c r="M1061" s="121"/>
    </row>
    <row r="1062" spans="1:13">
      <c r="A1062" s="18"/>
      <c r="B1062" s="18"/>
      <c r="C1062" s="124"/>
      <c r="D1062" s="121"/>
      <c r="E1062" s="121"/>
      <c r="F1062" s="18"/>
      <c r="G1062" s="18"/>
      <c r="H1062" s="18"/>
      <c r="I1062" s="124"/>
      <c r="J1062" s="18"/>
      <c r="K1062" s="18"/>
      <c r="L1062" s="18"/>
      <c r="M1062" s="121"/>
    </row>
    <row r="1063" spans="1:13">
      <c r="A1063" s="18"/>
      <c r="B1063" s="18"/>
      <c r="C1063" s="124"/>
      <c r="D1063" s="121"/>
      <c r="E1063" s="121"/>
      <c r="F1063" s="18"/>
      <c r="G1063" s="18"/>
      <c r="H1063" s="18"/>
      <c r="I1063" s="124"/>
      <c r="J1063" s="18"/>
      <c r="K1063" s="18"/>
      <c r="L1063" s="18"/>
      <c r="M1063" s="121"/>
    </row>
    <row r="1064" spans="1:13">
      <c r="A1064" s="18"/>
      <c r="B1064" s="18"/>
      <c r="C1064" s="124"/>
      <c r="D1064" s="121"/>
      <c r="E1064" s="121"/>
      <c r="F1064" s="18"/>
      <c r="G1064" s="18"/>
      <c r="H1064" s="18"/>
      <c r="I1064" s="124"/>
      <c r="J1064" s="18"/>
      <c r="K1064" s="18"/>
      <c r="L1064" s="18"/>
      <c r="M1064" s="121"/>
    </row>
    <row r="1065" spans="1:13">
      <c r="A1065" s="18"/>
      <c r="B1065" s="18"/>
      <c r="C1065" s="124"/>
      <c r="D1065" s="121"/>
      <c r="E1065" s="121"/>
      <c r="F1065" s="18"/>
      <c r="G1065" s="18"/>
      <c r="H1065" s="18"/>
      <c r="I1065" s="124"/>
      <c r="J1065" s="18"/>
      <c r="K1065" s="18"/>
      <c r="L1065" s="18"/>
      <c r="M1065" s="121"/>
    </row>
    <row r="1066" spans="1:13">
      <c r="A1066" s="18"/>
      <c r="B1066" s="18"/>
      <c r="C1066" s="124"/>
      <c r="D1066" s="121"/>
      <c r="E1066" s="121"/>
      <c r="F1066" s="18"/>
      <c r="G1066" s="18"/>
      <c r="H1066" s="18"/>
      <c r="I1066" s="124"/>
      <c r="J1066" s="18"/>
      <c r="K1066" s="18"/>
      <c r="L1066" s="18"/>
      <c r="M1066" s="121"/>
    </row>
    <row r="1067" spans="1:13">
      <c r="A1067" s="18"/>
      <c r="B1067" s="18"/>
      <c r="C1067" s="124"/>
      <c r="D1067" s="121"/>
      <c r="E1067" s="121"/>
      <c r="F1067" s="18"/>
      <c r="G1067" s="18"/>
      <c r="H1067" s="18"/>
      <c r="I1067" s="124"/>
      <c r="J1067" s="18"/>
      <c r="K1067" s="18"/>
      <c r="L1067" s="18"/>
      <c r="M1067" s="121"/>
    </row>
    <row r="1068" spans="1:13">
      <c r="A1068" s="18"/>
      <c r="B1068" s="18"/>
      <c r="C1068" s="124"/>
      <c r="D1068" s="121"/>
      <c r="E1068" s="121"/>
      <c r="F1068" s="18"/>
      <c r="G1068" s="18"/>
      <c r="H1068" s="18"/>
      <c r="I1068" s="124"/>
      <c r="J1068" s="18"/>
      <c r="K1068" s="18"/>
      <c r="L1068" s="18"/>
      <c r="M1068" s="121"/>
    </row>
    <row r="1069" spans="1:13">
      <c r="A1069" s="18"/>
      <c r="B1069" s="18"/>
      <c r="C1069" s="124"/>
      <c r="D1069" s="121"/>
      <c r="E1069" s="121"/>
      <c r="F1069" s="18"/>
      <c r="G1069" s="18"/>
      <c r="H1069" s="18"/>
      <c r="I1069" s="124"/>
      <c r="J1069" s="18"/>
      <c r="K1069" s="18"/>
      <c r="L1069" s="18"/>
      <c r="M1069" s="121"/>
    </row>
    <row r="1070" spans="1:13">
      <c r="A1070" s="18"/>
      <c r="B1070" s="18"/>
      <c r="C1070" s="124"/>
      <c r="D1070" s="121"/>
      <c r="E1070" s="121"/>
      <c r="F1070" s="18"/>
      <c r="G1070" s="18"/>
      <c r="H1070" s="18"/>
      <c r="I1070" s="124"/>
      <c r="J1070" s="18"/>
      <c r="K1070" s="18"/>
      <c r="L1070" s="18"/>
      <c r="M1070" s="121"/>
    </row>
    <row r="1071" spans="1:13">
      <c r="A1071" s="18"/>
      <c r="B1071" s="18"/>
      <c r="C1071" s="124"/>
      <c r="D1071" s="121"/>
      <c r="E1071" s="121"/>
      <c r="F1071" s="18"/>
      <c r="G1071" s="18"/>
      <c r="H1071" s="18"/>
      <c r="I1071" s="124"/>
      <c r="J1071" s="18"/>
      <c r="K1071" s="18"/>
      <c r="L1071" s="18"/>
      <c r="M1071" s="121"/>
    </row>
    <row r="1072" spans="1:13">
      <c r="A1072" s="18"/>
      <c r="B1072" s="18"/>
      <c r="C1072" s="124"/>
      <c r="D1072" s="121"/>
      <c r="E1072" s="121"/>
      <c r="F1072" s="18"/>
      <c r="G1072" s="18"/>
      <c r="H1072" s="18"/>
      <c r="I1072" s="124"/>
      <c r="J1072" s="18"/>
      <c r="K1072" s="18"/>
      <c r="L1072" s="18"/>
      <c r="M1072" s="121"/>
    </row>
    <row r="1073" spans="1:13">
      <c r="A1073" s="18"/>
      <c r="B1073" s="18"/>
      <c r="C1073" s="124"/>
      <c r="D1073" s="121"/>
      <c r="E1073" s="121"/>
      <c r="F1073" s="18"/>
      <c r="G1073" s="18"/>
      <c r="H1073" s="18"/>
      <c r="I1073" s="124"/>
      <c r="J1073" s="18"/>
      <c r="K1073" s="18"/>
      <c r="L1073" s="18"/>
      <c r="M1073" s="121"/>
    </row>
    <row r="1074" spans="1:13">
      <c r="A1074" s="18"/>
      <c r="B1074" s="18"/>
      <c r="C1074" s="124"/>
      <c r="D1074" s="121"/>
      <c r="E1074" s="121"/>
      <c r="F1074" s="18"/>
      <c r="G1074" s="18"/>
      <c r="H1074" s="18"/>
      <c r="I1074" s="124"/>
      <c r="J1074" s="18"/>
      <c r="K1074" s="18"/>
      <c r="L1074" s="18"/>
      <c r="M1074" s="121"/>
    </row>
    <row r="1075" spans="1:13">
      <c r="A1075" s="18"/>
      <c r="B1075" s="18"/>
      <c r="C1075" s="124"/>
      <c r="D1075" s="121"/>
      <c r="E1075" s="121"/>
      <c r="F1075" s="18"/>
      <c r="G1075" s="18"/>
      <c r="H1075" s="18"/>
      <c r="I1075" s="124"/>
      <c r="J1075" s="18"/>
      <c r="K1075" s="18"/>
      <c r="L1075" s="18"/>
      <c r="M1075" s="121"/>
    </row>
    <row r="1076" spans="1:13">
      <c r="A1076" s="18"/>
      <c r="B1076" s="18"/>
      <c r="C1076" s="124"/>
      <c r="D1076" s="121"/>
      <c r="E1076" s="121"/>
      <c r="F1076" s="18"/>
      <c r="G1076" s="18"/>
      <c r="H1076" s="18"/>
      <c r="I1076" s="124"/>
      <c r="J1076" s="18"/>
      <c r="K1076" s="18"/>
      <c r="L1076" s="18"/>
      <c r="M1076" s="121"/>
    </row>
    <row r="1077" spans="1:13">
      <c r="A1077" s="18"/>
      <c r="B1077" s="18"/>
      <c r="C1077" s="124"/>
      <c r="D1077" s="121"/>
      <c r="E1077" s="121"/>
      <c r="F1077" s="18"/>
      <c r="G1077" s="18"/>
      <c r="H1077" s="18"/>
      <c r="I1077" s="124"/>
      <c r="J1077" s="18"/>
      <c r="K1077" s="18"/>
      <c r="L1077" s="18"/>
      <c r="M1077" s="121"/>
    </row>
    <row r="1078" spans="1:13">
      <c r="A1078" s="18"/>
      <c r="B1078" s="18"/>
      <c r="C1078" s="124"/>
      <c r="D1078" s="121"/>
      <c r="E1078" s="121"/>
      <c r="F1078" s="18"/>
      <c r="G1078" s="18"/>
      <c r="H1078" s="18"/>
      <c r="I1078" s="124"/>
      <c r="J1078" s="18"/>
      <c r="K1078" s="18"/>
      <c r="L1078" s="18"/>
      <c r="M1078" s="121"/>
    </row>
    <row r="1079" spans="1:13">
      <c r="A1079" s="18"/>
      <c r="B1079" s="18"/>
      <c r="C1079" s="124"/>
      <c r="D1079" s="121"/>
      <c r="E1079" s="121"/>
      <c r="F1079" s="18"/>
      <c r="G1079" s="18"/>
      <c r="H1079" s="18"/>
      <c r="I1079" s="124"/>
      <c r="J1079" s="18"/>
      <c r="K1079" s="18"/>
      <c r="L1079" s="18"/>
      <c r="M1079" s="121"/>
    </row>
    <row r="1080" spans="1:13">
      <c r="A1080" s="18"/>
      <c r="B1080" s="18"/>
      <c r="C1080" s="124"/>
      <c r="D1080" s="121"/>
      <c r="E1080" s="121"/>
      <c r="F1080" s="18"/>
      <c r="G1080" s="18"/>
      <c r="H1080" s="18"/>
      <c r="I1080" s="124"/>
      <c r="J1080" s="18"/>
      <c r="K1080" s="18"/>
      <c r="L1080" s="18"/>
      <c r="M1080" s="121"/>
    </row>
    <row r="1081" spans="1:13">
      <c r="A1081" s="18"/>
      <c r="B1081" s="18"/>
      <c r="C1081" s="124"/>
      <c r="D1081" s="121"/>
      <c r="E1081" s="121"/>
      <c r="F1081" s="18"/>
      <c r="G1081" s="18"/>
      <c r="H1081" s="18"/>
      <c r="I1081" s="124"/>
      <c r="J1081" s="18"/>
      <c r="K1081" s="18"/>
      <c r="L1081" s="18"/>
      <c r="M1081" s="121"/>
    </row>
    <row r="1082" spans="1:13">
      <c r="A1082" s="18"/>
      <c r="B1082" s="18"/>
      <c r="C1082" s="124"/>
      <c r="D1082" s="121"/>
      <c r="E1082" s="121"/>
      <c r="F1082" s="18"/>
      <c r="G1082" s="18"/>
      <c r="H1082" s="18"/>
      <c r="I1082" s="124"/>
      <c r="J1082" s="18"/>
      <c r="K1082" s="18"/>
      <c r="L1082" s="18"/>
      <c r="M1082" s="121"/>
    </row>
    <row r="1083" spans="1:13">
      <c r="A1083" s="18"/>
      <c r="B1083" s="18"/>
      <c r="C1083" s="124"/>
      <c r="D1083" s="121"/>
      <c r="E1083" s="121"/>
      <c r="F1083" s="18"/>
      <c r="G1083" s="18"/>
      <c r="H1083" s="18"/>
      <c r="I1083" s="124"/>
      <c r="J1083" s="18"/>
      <c r="K1083" s="18"/>
      <c r="L1083" s="18"/>
      <c r="M1083" s="121"/>
    </row>
    <row r="1084" spans="1:13">
      <c r="A1084" s="18"/>
      <c r="B1084" s="18"/>
      <c r="C1084" s="124"/>
      <c r="D1084" s="121"/>
      <c r="E1084" s="121"/>
      <c r="F1084" s="18"/>
      <c r="G1084" s="18"/>
      <c r="H1084" s="18"/>
      <c r="I1084" s="124"/>
      <c r="J1084" s="18"/>
      <c r="K1084" s="18"/>
      <c r="L1084" s="18"/>
      <c r="M1084" s="121"/>
    </row>
    <row r="1085" spans="1:13">
      <c r="A1085" s="18"/>
      <c r="B1085" s="18"/>
      <c r="C1085" s="124"/>
      <c r="D1085" s="121"/>
      <c r="E1085" s="121"/>
      <c r="F1085" s="18"/>
      <c r="G1085" s="18"/>
      <c r="H1085" s="18"/>
      <c r="I1085" s="124"/>
      <c r="J1085" s="18"/>
      <c r="K1085" s="18"/>
      <c r="L1085" s="18"/>
      <c r="M1085" s="121"/>
    </row>
    <row r="1086" spans="1:13">
      <c r="A1086" s="18"/>
      <c r="B1086" s="18"/>
      <c r="C1086" s="124"/>
      <c r="D1086" s="121"/>
      <c r="E1086" s="121"/>
      <c r="F1086" s="18"/>
      <c r="G1086" s="18"/>
      <c r="H1086" s="18"/>
      <c r="I1086" s="124"/>
      <c r="J1086" s="18"/>
      <c r="K1086" s="18"/>
      <c r="L1086" s="18"/>
      <c r="M1086" s="121"/>
    </row>
    <row r="1087" spans="1:13">
      <c r="A1087" s="18"/>
      <c r="B1087" s="18"/>
      <c r="C1087" s="124"/>
      <c r="D1087" s="121"/>
      <c r="E1087" s="121"/>
      <c r="F1087" s="18"/>
      <c r="G1087" s="18"/>
      <c r="H1087" s="18"/>
      <c r="I1087" s="124"/>
      <c r="J1087" s="18"/>
      <c r="K1087" s="18"/>
      <c r="L1087" s="18"/>
      <c r="M1087" s="121"/>
    </row>
    <row r="1088" spans="1:13">
      <c r="A1088" s="18"/>
      <c r="B1088" s="18"/>
      <c r="C1088" s="124"/>
      <c r="D1088" s="121"/>
      <c r="E1088" s="121"/>
      <c r="F1088" s="18"/>
      <c r="G1088" s="18"/>
      <c r="H1088" s="18"/>
      <c r="I1088" s="124"/>
      <c r="J1088" s="18"/>
      <c r="K1088" s="18"/>
      <c r="L1088" s="18"/>
      <c r="M1088" s="121"/>
    </row>
    <row r="1089" spans="1:13">
      <c r="A1089" s="18"/>
      <c r="B1089" s="18"/>
      <c r="C1089" s="124"/>
      <c r="D1089" s="121"/>
      <c r="E1089" s="121"/>
      <c r="F1089" s="18"/>
      <c r="G1089" s="18"/>
      <c r="H1089" s="18"/>
      <c r="I1089" s="124"/>
      <c r="J1089" s="18"/>
      <c r="K1089" s="18"/>
      <c r="L1089" s="18"/>
      <c r="M1089" s="121"/>
    </row>
    <row r="1090" spans="1:13">
      <c r="A1090" s="18"/>
      <c r="B1090" s="18"/>
      <c r="C1090" s="124"/>
      <c r="D1090" s="121"/>
      <c r="E1090" s="121"/>
      <c r="F1090" s="18"/>
      <c r="G1090" s="18"/>
      <c r="H1090" s="18"/>
      <c r="I1090" s="124"/>
      <c r="J1090" s="18"/>
      <c r="K1090" s="18"/>
      <c r="L1090" s="18"/>
      <c r="M1090" s="121"/>
    </row>
    <row r="1091" spans="1:13">
      <c r="A1091" s="18"/>
      <c r="B1091" s="18"/>
      <c r="C1091" s="124"/>
      <c r="D1091" s="121"/>
      <c r="E1091" s="121"/>
      <c r="F1091" s="18"/>
      <c r="G1091" s="18"/>
      <c r="H1091" s="18"/>
      <c r="I1091" s="124"/>
      <c r="J1091" s="18"/>
      <c r="K1091" s="18"/>
      <c r="L1091" s="18"/>
      <c r="M1091" s="121"/>
    </row>
    <row r="1092" spans="1:13">
      <c r="A1092" s="18"/>
      <c r="B1092" s="18"/>
      <c r="C1092" s="124"/>
      <c r="D1092" s="121"/>
      <c r="E1092" s="121"/>
      <c r="F1092" s="18"/>
      <c r="G1092" s="18"/>
      <c r="H1092" s="18"/>
      <c r="I1092" s="124"/>
      <c r="J1092" s="18"/>
      <c r="K1092" s="18"/>
      <c r="L1092" s="18"/>
      <c r="M1092" s="121"/>
    </row>
    <row r="1093" spans="1:13">
      <c r="A1093" s="18"/>
      <c r="B1093" s="18"/>
      <c r="C1093" s="124"/>
      <c r="D1093" s="121"/>
      <c r="E1093" s="121"/>
      <c r="F1093" s="18"/>
      <c r="G1093" s="18"/>
      <c r="H1093" s="18"/>
      <c r="I1093" s="124"/>
      <c r="J1093" s="18"/>
      <c r="K1093" s="18"/>
      <c r="L1093" s="18"/>
      <c r="M1093" s="121"/>
    </row>
    <row r="1094" spans="1:13">
      <c r="A1094" s="18"/>
      <c r="B1094" s="18"/>
      <c r="C1094" s="124"/>
      <c r="D1094" s="121"/>
      <c r="E1094" s="121"/>
      <c r="F1094" s="18"/>
      <c r="G1094" s="18"/>
      <c r="H1094" s="18"/>
      <c r="I1094" s="124"/>
      <c r="J1094" s="18"/>
      <c r="K1094" s="18"/>
      <c r="L1094" s="18"/>
      <c r="M1094" s="121"/>
    </row>
    <row r="1095" spans="1:13">
      <c r="A1095" s="18"/>
      <c r="B1095" s="18"/>
      <c r="C1095" s="124"/>
      <c r="D1095" s="121"/>
      <c r="E1095" s="121"/>
      <c r="F1095" s="18"/>
      <c r="G1095" s="18"/>
      <c r="H1095" s="18"/>
      <c r="I1095" s="124"/>
      <c r="J1095" s="18"/>
      <c r="K1095" s="18"/>
      <c r="L1095" s="18"/>
      <c r="M1095" s="121"/>
    </row>
    <row r="1096" spans="1:13">
      <c r="A1096" s="18"/>
      <c r="B1096" s="18"/>
      <c r="C1096" s="124"/>
      <c r="D1096" s="121"/>
      <c r="E1096" s="121"/>
      <c r="F1096" s="18"/>
      <c r="G1096" s="18"/>
      <c r="H1096" s="18"/>
      <c r="I1096" s="124"/>
      <c r="J1096" s="18"/>
      <c r="K1096" s="18"/>
      <c r="L1096" s="18"/>
      <c r="M1096" s="121"/>
    </row>
    <row r="1097" spans="1:13">
      <c r="A1097" s="18"/>
      <c r="B1097" s="18"/>
      <c r="C1097" s="124"/>
      <c r="D1097" s="121"/>
      <c r="E1097" s="121"/>
      <c r="F1097" s="18"/>
      <c r="G1097" s="18"/>
      <c r="H1097" s="18"/>
      <c r="I1097" s="124"/>
      <c r="J1097" s="18"/>
      <c r="K1097" s="18"/>
      <c r="L1097" s="18"/>
      <c r="M1097" s="121"/>
    </row>
    <row r="1098" spans="1:13">
      <c r="A1098" s="18"/>
      <c r="B1098" s="18"/>
      <c r="C1098" s="124"/>
      <c r="D1098" s="121"/>
      <c r="E1098" s="121"/>
      <c r="F1098" s="18"/>
      <c r="G1098" s="18"/>
      <c r="H1098" s="18"/>
      <c r="I1098" s="124"/>
      <c r="J1098" s="18"/>
      <c r="K1098" s="18"/>
      <c r="L1098" s="18"/>
      <c r="M1098" s="121"/>
    </row>
    <row r="1099" spans="1:13">
      <c r="A1099" s="18"/>
      <c r="B1099" s="18"/>
      <c r="C1099" s="124"/>
      <c r="D1099" s="121"/>
      <c r="E1099" s="121"/>
      <c r="F1099" s="18"/>
      <c r="G1099" s="18"/>
      <c r="H1099" s="18"/>
      <c r="I1099" s="124"/>
      <c r="J1099" s="18"/>
      <c r="K1099" s="18"/>
      <c r="L1099" s="18"/>
      <c r="M1099" s="121"/>
    </row>
    <row r="1100" spans="1:13">
      <c r="A1100" s="18"/>
      <c r="B1100" s="18"/>
      <c r="C1100" s="124"/>
      <c r="D1100" s="121"/>
      <c r="E1100" s="121"/>
      <c r="F1100" s="18"/>
      <c r="G1100" s="18"/>
      <c r="H1100" s="18"/>
      <c r="I1100" s="124"/>
      <c r="J1100" s="18"/>
      <c r="K1100" s="18"/>
      <c r="L1100" s="18"/>
      <c r="M1100" s="121"/>
    </row>
    <row r="1101" spans="1:13">
      <c r="A1101" s="18"/>
      <c r="B1101" s="18"/>
      <c r="C1101" s="124"/>
      <c r="D1101" s="121"/>
      <c r="E1101" s="121"/>
      <c r="F1101" s="18"/>
      <c r="G1101" s="18"/>
      <c r="H1101" s="18"/>
      <c r="I1101" s="124"/>
      <c r="J1101" s="18"/>
      <c r="K1101" s="18"/>
      <c r="L1101" s="18"/>
      <c r="M1101" s="121"/>
    </row>
    <row r="1102" spans="1:13">
      <c r="A1102" s="18"/>
      <c r="B1102" s="18"/>
      <c r="C1102" s="124"/>
      <c r="D1102" s="121"/>
      <c r="E1102" s="121"/>
      <c r="F1102" s="18"/>
      <c r="G1102" s="18"/>
      <c r="H1102" s="18"/>
      <c r="I1102" s="124"/>
      <c r="J1102" s="18"/>
      <c r="K1102" s="18"/>
      <c r="L1102" s="18"/>
      <c r="M1102" s="121"/>
    </row>
    <row r="1103" spans="1:13">
      <c r="A1103" s="18"/>
      <c r="B1103" s="18"/>
      <c r="C1103" s="124"/>
      <c r="D1103" s="121"/>
      <c r="E1103" s="121"/>
      <c r="F1103" s="18"/>
      <c r="G1103" s="18"/>
      <c r="H1103" s="18"/>
      <c r="I1103" s="124"/>
      <c r="J1103" s="18"/>
      <c r="K1103" s="18"/>
      <c r="L1103" s="18"/>
      <c r="M1103" s="121"/>
    </row>
    <row r="1104" spans="1:13">
      <c r="A1104" s="18"/>
      <c r="B1104" s="18"/>
      <c r="C1104" s="124"/>
      <c r="D1104" s="121"/>
      <c r="E1104" s="121"/>
      <c r="F1104" s="18"/>
      <c r="G1104" s="18"/>
      <c r="H1104" s="18"/>
      <c r="I1104" s="124"/>
      <c r="J1104" s="18"/>
      <c r="K1104" s="18"/>
      <c r="L1104" s="18"/>
      <c r="M1104" s="121"/>
    </row>
    <row r="1105" spans="1:13">
      <c r="A1105" s="18"/>
      <c r="B1105" s="18"/>
      <c r="C1105" s="124"/>
      <c r="D1105" s="121"/>
      <c r="E1105" s="121"/>
      <c r="F1105" s="18"/>
      <c r="G1105" s="18"/>
      <c r="H1105" s="18"/>
      <c r="I1105" s="124"/>
      <c r="J1105" s="18"/>
      <c r="K1105" s="18"/>
      <c r="L1105" s="18"/>
      <c r="M1105" s="121"/>
    </row>
    <row r="1106" spans="1:13">
      <c r="A1106" s="18"/>
      <c r="B1106" s="18"/>
      <c r="C1106" s="124"/>
      <c r="D1106" s="121"/>
      <c r="E1106" s="121"/>
      <c r="F1106" s="18"/>
      <c r="G1106" s="18"/>
      <c r="H1106" s="18"/>
      <c r="I1106" s="124"/>
      <c r="J1106" s="18"/>
      <c r="K1106" s="18"/>
      <c r="L1106" s="18"/>
      <c r="M1106" s="121"/>
    </row>
    <row r="1107" spans="1:13">
      <c r="A1107" s="18"/>
      <c r="B1107" s="18"/>
      <c r="C1107" s="124"/>
      <c r="D1107" s="121"/>
      <c r="E1107" s="121"/>
      <c r="F1107" s="18"/>
      <c r="G1107" s="18"/>
      <c r="H1107" s="18"/>
      <c r="I1107" s="124"/>
      <c r="J1107" s="18"/>
      <c r="K1107" s="18"/>
      <c r="L1107" s="18"/>
      <c r="M1107" s="121"/>
    </row>
    <row r="1108" spans="1:13">
      <c r="A1108" s="18"/>
      <c r="B1108" s="18"/>
      <c r="C1108" s="124"/>
      <c r="D1108" s="121"/>
      <c r="E1108" s="121"/>
      <c r="F1108" s="18"/>
      <c r="G1108" s="18"/>
      <c r="H1108" s="18"/>
      <c r="I1108" s="124"/>
      <c r="J1108" s="18"/>
      <c r="K1108" s="18"/>
      <c r="L1108" s="18"/>
      <c r="M1108" s="121"/>
    </row>
    <row r="1109" spans="1:13">
      <c r="A1109" s="18"/>
      <c r="B1109" s="18"/>
      <c r="C1109" s="124"/>
      <c r="D1109" s="121"/>
      <c r="E1109" s="121"/>
      <c r="F1109" s="18"/>
      <c r="G1109" s="18"/>
      <c r="H1109" s="18"/>
      <c r="I1109" s="124"/>
      <c r="J1109" s="18"/>
      <c r="K1109" s="18"/>
      <c r="L1109" s="18"/>
      <c r="M1109" s="121"/>
    </row>
    <row r="1110" spans="1:13">
      <c r="A1110" s="18"/>
      <c r="B1110" s="18"/>
      <c r="C1110" s="124"/>
      <c r="D1110" s="121"/>
      <c r="E1110" s="121"/>
      <c r="F1110" s="18"/>
      <c r="G1110" s="18"/>
      <c r="H1110" s="18"/>
      <c r="I1110" s="124"/>
      <c r="J1110" s="18"/>
      <c r="K1110" s="18"/>
      <c r="L1110" s="18"/>
      <c r="M1110" s="121"/>
    </row>
    <row r="1111" spans="1:13">
      <c r="A1111" s="18"/>
      <c r="B1111" s="18"/>
      <c r="C1111" s="124"/>
      <c r="D1111" s="121"/>
      <c r="E1111" s="121"/>
      <c r="F1111" s="18"/>
      <c r="G1111" s="18"/>
      <c r="H1111" s="18"/>
      <c r="I1111" s="124"/>
      <c r="J1111" s="18"/>
      <c r="K1111" s="18"/>
      <c r="L1111" s="18"/>
      <c r="M1111" s="121"/>
    </row>
    <row r="1112" spans="1:13">
      <c r="A1112" s="18"/>
      <c r="B1112" s="18"/>
      <c r="C1112" s="124"/>
      <c r="D1112" s="121"/>
      <c r="E1112" s="121"/>
      <c r="F1112" s="18"/>
      <c r="G1112" s="18"/>
      <c r="H1112" s="18"/>
      <c r="I1112" s="124"/>
      <c r="J1112" s="18"/>
      <c r="K1112" s="18"/>
      <c r="L1112" s="18"/>
      <c r="M1112" s="121"/>
    </row>
    <row r="1113" spans="1:13">
      <c r="A1113" s="18"/>
      <c r="B1113" s="18"/>
      <c r="C1113" s="124"/>
      <c r="D1113" s="121"/>
      <c r="E1113" s="121"/>
      <c r="F1113" s="18"/>
      <c r="G1113" s="18"/>
      <c r="H1113" s="18"/>
      <c r="I1113" s="124"/>
      <c r="J1113" s="18"/>
      <c r="K1113" s="18"/>
      <c r="L1113" s="18"/>
      <c r="M1113" s="121"/>
    </row>
    <row r="1114" spans="1:13">
      <c r="A1114" s="18"/>
      <c r="B1114" s="18"/>
      <c r="C1114" s="124"/>
      <c r="D1114" s="121"/>
      <c r="E1114" s="121"/>
      <c r="F1114" s="18"/>
      <c r="G1114" s="18"/>
      <c r="H1114" s="18"/>
      <c r="I1114" s="124"/>
      <c r="J1114" s="18"/>
      <c r="K1114" s="18"/>
      <c r="L1114" s="18"/>
      <c r="M1114" s="121"/>
    </row>
    <row r="1115" spans="1:13">
      <c r="A1115" s="18"/>
      <c r="B1115" s="18"/>
      <c r="C1115" s="124"/>
      <c r="D1115" s="121"/>
      <c r="E1115" s="121"/>
      <c r="F1115" s="18"/>
      <c r="G1115" s="18"/>
      <c r="H1115" s="18"/>
      <c r="I1115" s="124"/>
      <c r="J1115" s="18"/>
      <c r="K1115" s="18"/>
      <c r="L1115" s="18"/>
      <c r="M1115" s="121"/>
    </row>
    <row r="1116" spans="1:13">
      <c r="A1116" s="18"/>
      <c r="B1116" s="18"/>
      <c r="C1116" s="124"/>
      <c r="D1116" s="121"/>
      <c r="E1116" s="121"/>
      <c r="F1116" s="18"/>
      <c r="G1116" s="18"/>
      <c r="H1116" s="18"/>
      <c r="I1116" s="124"/>
      <c r="J1116" s="18"/>
      <c r="K1116" s="18"/>
      <c r="L1116" s="18"/>
      <c r="M1116" s="121"/>
    </row>
    <row r="1117" spans="1:13">
      <c r="A1117" s="18"/>
      <c r="B1117" s="18"/>
      <c r="C1117" s="124"/>
      <c r="D1117" s="121"/>
      <c r="E1117" s="121"/>
      <c r="F1117" s="18"/>
      <c r="G1117" s="18"/>
      <c r="H1117" s="18"/>
      <c r="I1117" s="124"/>
      <c r="J1117" s="18"/>
      <c r="K1117" s="18"/>
      <c r="L1117" s="18"/>
      <c r="M1117" s="121"/>
    </row>
    <row r="1118" spans="1:13">
      <c r="A1118" s="18"/>
      <c r="B1118" s="18"/>
      <c r="C1118" s="124"/>
      <c r="D1118" s="121"/>
      <c r="E1118" s="121"/>
      <c r="F1118" s="18"/>
      <c r="G1118" s="18"/>
      <c r="H1118" s="18"/>
      <c r="I1118" s="124"/>
      <c r="J1118" s="18"/>
      <c r="K1118" s="18"/>
      <c r="L1118" s="18"/>
      <c r="M1118" s="121"/>
    </row>
    <row r="1119" spans="1:13">
      <c r="A1119" s="18"/>
      <c r="B1119" s="18"/>
      <c r="C1119" s="124"/>
      <c r="D1119" s="121"/>
      <c r="E1119" s="121"/>
      <c r="F1119" s="18"/>
      <c r="G1119" s="18"/>
      <c r="H1119" s="18"/>
      <c r="I1119" s="124"/>
      <c r="J1119" s="18"/>
      <c r="K1119" s="18"/>
      <c r="L1119" s="18"/>
      <c r="M1119" s="121"/>
    </row>
    <row r="1120" spans="1:13">
      <c r="A1120" s="18"/>
      <c r="B1120" s="18"/>
      <c r="C1120" s="124"/>
      <c r="D1120" s="121"/>
      <c r="E1120" s="121"/>
      <c r="F1120" s="18"/>
      <c r="G1120" s="18"/>
      <c r="H1120" s="18"/>
      <c r="I1120" s="124"/>
      <c r="J1120" s="18"/>
      <c r="K1120" s="18"/>
      <c r="L1120" s="18"/>
      <c r="M1120" s="121"/>
    </row>
    <row r="1121" spans="1:13">
      <c r="A1121" s="18"/>
      <c r="B1121" s="18"/>
      <c r="C1121" s="124"/>
      <c r="D1121" s="121"/>
      <c r="E1121" s="121"/>
      <c r="F1121" s="18"/>
      <c r="G1121" s="18"/>
      <c r="H1121" s="18"/>
      <c r="I1121" s="124"/>
      <c r="J1121" s="18"/>
      <c r="K1121" s="18"/>
      <c r="L1121" s="18"/>
      <c r="M1121" s="121"/>
    </row>
    <row r="1122" spans="1:13">
      <c r="A1122" s="18"/>
      <c r="B1122" s="18"/>
      <c r="C1122" s="124"/>
      <c r="D1122" s="121"/>
      <c r="E1122" s="121"/>
      <c r="F1122" s="18"/>
      <c r="G1122" s="18"/>
      <c r="H1122" s="18"/>
      <c r="I1122" s="124"/>
      <c r="J1122" s="18"/>
      <c r="K1122" s="18"/>
      <c r="L1122" s="18"/>
      <c r="M1122" s="121"/>
    </row>
    <row r="1123" spans="1:13">
      <c r="A1123" s="18"/>
      <c r="B1123" s="18"/>
      <c r="C1123" s="124"/>
      <c r="D1123" s="121"/>
      <c r="E1123" s="121"/>
      <c r="F1123" s="18"/>
      <c r="G1123" s="18"/>
      <c r="H1123" s="18"/>
      <c r="I1123" s="124"/>
      <c r="J1123" s="18"/>
      <c r="K1123" s="18"/>
      <c r="L1123" s="18"/>
      <c r="M1123" s="121"/>
    </row>
    <row r="1124" spans="1:13">
      <c r="A1124" s="18"/>
      <c r="B1124" s="18"/>
      <c r="C1124" s="124"/>
      <c r="D1124" s="121"/>
      <c r="E1124" s="121"/>
      <c r="F1124" s="18"/>
      <c r="G1124" s="18"/>
      <c r="H1124" s="18"/>
      <c r="I1124" s="124"/>
      <c r="J1124" s="18"/>
      <c r="K1124" s="18"/>
      <c r="L1124" s="18"/>
      <c r="M1124" s="121"/>
    </row>
    <row r="1125" spans="1:13">
      <c r="A1125" s="18"/>
      <c r="B1125" s="18"/>
      <c r="C1125" s="124"/>
      <c r="D1125" s="121"/>
      <c r="E1125" s="121"/>
      <c r="F1125" s="18"/>
      <c r="G1125" s="18"/>
      <c r="H1125" s="18"/>
      <c r="I1125" s="124"/>
      <c r="J1125" s="18"/>
      <c r="K1125" s="18"/>
      <c r="L1125" s="18"/>
      <c r="M1125" s="121"/>
    </row>
    <row r="1126" spans="1:13">
      <c r="A1126" s="18"/>
      <c r="B1126" s="18"/>
      <c r="C1126" s="124"/>
      <c r="D1126" s="121"/>
      <c r="E1126" s="121"/>
      <c r="F1126" s="18"/>
      <c r="G1126" s="18"/>
      <c r="H1126" s="18"/>
      <c r="I1126" s="124"/>
      <c r="J1126" s="18"/>
      <c r="K1126" s="18"/>
      <c r="L1126" s="18"/>
      <c r="M1126" s="121"/>
    </row>
    <row r="1127" spans="1:13">
      <c r="A1127" s="18"/>
      <c r="B1127" s="18"/>
      <c r="C1127" s="124"/>
      <c r="D1127" s="121"/>
      <c r="E1127" s="121"/>
      <c r="F1127" s="18"/>
      <c r="G1127" s="18"/>
      <c r="H1127" s="18"/>
      <c r="I1127" s="124"/>
      <c r="J1127" s="18"/>
      <c r="K1127" s="18"/>
      <c r="L1127" s="18"/>
      <c r="M1127" s="121"/>
    </row>
    <row r="1128" spans="1:13">
      <c r="A1128" s="18"/>
      <c r="B1128" s="18"/>
      <c r="C1128" s="124"/>
      <c r="D1128" s="121"/>
      <c r="E1128" s="121"/>
      <c r="F1128" s="18"/>
      <c r="G1128" s="18"/>
      <c r="H1128" s="18"/>
      <c r="I1128" s="124"/>
      <c r="J1128" s="18"/>
      <c r="K1128" s="18"/>
      <c r="L1128" s="18"/>
      <c r="M1128" s="121"/>
    </row>
    <row r="1129" spans="1:13">
      <c r="A1129" s="18"/>
      <c r="B1129" s="18"/>
      <c r="C1129" s="124"/>
      <c r="D1129" s="121"/>
      <c r="E1129" s="121"/>
      <c r="F1129" s="18"/>
      <c r="G1129" s="18"/>
      <c r="H1129" s="18"/>
      <c r="I1129" s="124"/>
      <c r="J1129" s="18"/>
      <c r="K1129" s="18"/>
      <c r="L1129" s="18"/>
      <c r="M1129" s="121"/>
    </row>
    <row r="1130" spans="1:13">
      <c r="A1130" s="18"/>
      <c r="B1130" s="18"/>
      <c r="C1130" s="124"/>
      <c r="D1130" s="121"/>
      <c r="E1130" s="121"/>
      <c r="F1130" s="18"/>
      <c r="G1130" s="18"/>
      <c r="H1130" s="18"/>
      <c r="I1130" s="124"/>
      <c r="J1130" s="18"/>
      <c r="K1130" s="18"/>
      <c r="L1130" s="18"/>
      <c r="M1130" s="121"/>
    </row>
    <row r="1131" spans="1:13">
      <c r="A1131" s="18"/>
      <c r="B1131" s="18"/>
      <c r="C1131" s="124"/>
      <c r="D1131" s="121"/>
      <c r="E1131" s="121"/>
      <c r="F1131" s="18"/>
      <c r="G1131" s="18"/>
      <c r="H1131" s="18"/>
      <c r="I1131" s="124"/>
      <c r="J1131" s="18"/>
      <c r="K1131" s="18"/>
      <c r="L1131" s="18"/>
      <c r="M1131" s="121"/>
    </row>
    <row r="1132" spans="1:13">
      <c r="A1132" s="18"/>
      <c r="B1132" s="18"/>
      <c r="C1132" s="124"/>
      <c r="D1132" s="121"/>
      <c r="E1132" s="121"/>
      <c r="F1132" s="18"/>
      <c r="G1132" s="18"/>
      <c r="H1132" s="18"/>
      <c r="I1132" s="124"/>
      <c r="J1132" s="18"/>
      <c r="K1132" s="18"/>
      <c r="L1132" s="18"/>
      <c r="M1132" s="121"/>
    </row>
    <row r="1133" spans="1:13">
      <c r="A1133" s="18"/>
      <c r="B1133" s="18"/>
      <c r="C1133" s="124"/>
      <c r="D1133" s="121"/>
      <c r="E1133" s="121"/>
      <c r="F1133" s="18"/>
      <c r="G1133" s="18"/>
      <c r="H1133" s="18"/>
      <c r="I1133" s="124"/>
      <c r="J1133" s="18"/>
      <c r="K1133" s="18"/>
      <c r="L1133" s="18"/>
      <c r="M1133" s="121"/>
    </row>
    <row r="1134" spans="1:13">
      <c r="A1134" s="18"/>
      <c r="B1134" s="18"/>
      <c r="C1134" s="124"/>
      <c r="D1134" s="121"/>
      <c r="E1134" s="121"/>
      <c r="F1134" s="18"/>
      <c r="G1134" s="18"/>
      <c r="H1134" s="18"/>
      <c r="I1134" s="124"/>
      <c r="J1134" s="18"/>
      <c r="K1134" s="18"/>
      <c r="L1134" s="18"/>
      <c r="M1134" s="121"/>
    </row>
    <row r="1135" spans="1:13">
      <c r="A1135" s="18"/>
      <c r="B1135" s="18"/>
      <c r="C1135" s="124"/>
      <c r="D1135" s="121"/>
      <c r="E1135" s="121"/>
      <c r="F1135" s="18"/>
      <c r="G1135" s="18"/>
      <c r="H1135" s="18"/>
      <c r="I1135" s="124"/>
      <c r="J1135" s="18"/>
      <c r="K1135" s="18"/>
      <c r="L1135" s="18"/>
      <c r="M1135" s="121"/>
    </row>
    <row r="1136" spans="1:13">
      <c r="A1136" s="18"/>
      <c r="B1136" s="18"/>
      <c r="C1136" s="124"/>
      <c r="D1136" s="121"/>
      <c r="E1136" s="121"/>
      <c r="F1136" s="18"/>
      <c r="G1136" s="18"/>
      <c r="H1136" s="18"/>
      <c r="I1136" s="124"/>
      <c r="J1136" s="18"/>
      <c r="K1136" s="18"/>
      <c r="L1136" s="18"/>
      <c r="M1136" s="121"/>
    </row>
    <row r="1137" spans="1:13">
      <c r="A1137" s="18"/>
      <c r="B1137" s="18"/>
      <c r="C1137" s="124"/>
      <c r="D1137" s="121"/>
      <c r="E1137" s="121"/>
      <c r="F1137" s="18"/>
      <c r="G1137" s="18"/>
      <c r="H1137" s="18"/>
      <c r="I1137" s="124"/>
      <c r="J1137" s="18"/>
      <c r="K1137" s="18"/>
      <c r="L1137" s="18"/>
      <c r="M1137" s="121"/>
    </row>
    <row r="1138" spans="1:13">
      <c r="A1138" s="18"/>
      <c r="B1138" s="18"/>
      <c r="C1138" s="124"/>
      <c r="D1138" s="121"/>
      <c r="E1138" s="121"/>
      <c r="F1138" s="18"/>
      <c r="G1138" s="18"/>
      <c r="H1138" s="18"/>
      <c r="I1138" s="124"/>
      <c r="J1138" s="18"/>
      <c r="K1138" s="18"/>
      <c r="L1138" s="18"/>
      <c r="M1138" s="121"/>
    </row>
    <row r="1139" spans="1:13">
      <c r="A1139" s="18"/>
      <c r="B1139" s="18"/>
      <c r="C1139" s="124"/>
      <c r="D1139" s="121"/>
      <c r="E1139" s="121"/>
      <c r="F1139" s="18"/>
      <c r="G1139" s="18"/>
      <c r="H1139" s="18"/>
      <c r="I1139" s="124"/>
      <c r="J1139" s="18"/>
      <c r="K1139" s="18"/>
      <c r="L1139" s="18"/>
      <c r="M1139" s="121"/>
    </row>
    <row r="1140" spans="1:13">
      <c r="A1140" s="18"/>
      <c r="B1140" s="18"/>
      <c r="C1140" s="124"/>
      <c r="D1140" s="121"/>
      <c r="E1140" s="121"/>
      <c r="F1140" s="18"/>
      <c r="G1140" s="18"/>
      <c r="H1140" s="18"/>
      <c r="I1140" s="124"/>
      <c r="J1140" s="18"/>
      <c r="K1140" s="18"/>
      <c r="L1140" s="18"/>
      <c r="M1140" s="121"/>
    </row>
    <row r="1141" spans="1:13">
      <c r="A1141" s="18"/>
      <c r="B1141" s="18"/>
      <c r="C1141" s="124"/>
      <c r="D1141" s="121"/>
      <c r="E1141" s="121"/>
      <c r="F1141" s="18"/>
      <c r="G1141" s="18"/>
      <c r="H1141" s="18"/>
      <c r="I1141" s="124"/>
      <c r="J1141" s="18"/>
      <c r="K1141" s="18"/>
      <c r="L1141" s="18"/>
      <c r="M1141" s="121"/>
    </row>
    <row r="1142" spans="1:13">
      <c r="A1142" s="18"/>
      <c r="B1142" s="18"/>
      <c r="C1142" s="124"/>
      <c r="D1142" s="121"/>
      <c r="E1142" s="121"/>
      <c r="F1142" s="18"/>
      <c r="G1142" s="18"/>
      <c r="H1142" s="18"/>
      <c r="I1142" s="124"/>
      <c r="J1142" s="18"/>
      <c r="K1142" s="18"/>
      <c r="L1142" s="18"/>
      <c r="M1142" s="121"/>
    </row>
    <row r="1143" spans="1:13">
      <c r="A1143" s="18"/>
      <c r="B1143" s="18"/>
      <c r="C1143" s="124"/>
      <c r="D1143" s="121"/>
      <c r="E1143" s="121"/>
      <c r="F1143" s="18"/>
      <c r="G1143" s="18"/>
      <c r="H1143" s="18"/>
      <c r="I1143" s="124"/>
      <c r="J1143" s="18"/>
      <c r="K1143" s="18"/>
      <c r="L1143" s="18"/>
      <c r="M1143" s="121"/>
    </row>
    <row r="1144" spans="1:13">
      <c r="A1144" s="18"/>
      <c r="B1144" s="18"/>
      <c r="C1144" s="124"/>
      <c r="D1144" s="121"/>
      <c r="E1144" s="121"/>
      <c r="F1144" s="18"/>
      <c r="G1144" s="18"/>
      <c r="H1144" s="18"/>
      <c r="I1144" s="124"/>
      <c r="J1144" s="18"/>
      <c r="K1144" s="18"/>
      <c r="L1144" s="18"/>
      <c r="M1144" s="121"/>
    </row>
    <row r="1145" spans="1:13">
      <c r="A1145" s="18"/>
      <c r="B1145" s="18"/>
      <c r="C1145" s="124"/>
      <c r="D1145" s="121"/>
      <c r="E1145" s="121"/>
      <c r="F1145" s="18"/>
      <c r="G1145" s="18"/>
      <c r="H1145" s="18"/>
      <c r="I1145" s="124"/>
      <c r="J1145" s="18"/>
      <c r="K1145" s="18"/>
      <c r="L1145" s="18"/>
      <c r="M1145" s="121"/>
    </row>
    <row r="1146" spans="1:13">
      <c r="A1146" s="18"/>
      <c r="B1146" s="18"/>
      <c r="C1146" s="124"/>
      <c r="D1146" s="121"/>
      <c r="E1146" s="121"/>
      <c r="F1146" s="18"/>
      <c r="G1146" s="18"/>
      <c r="H1146" s="18"/>
      <c r="I1146" s="124"/>
      <c r="J1146" s="18"/>
      <c r="K1146" s="18"/>
      <c r="L1146" s="18"/>
      <c r="M1146" s="121"/>
    </row>
    <row r="1147" spans="1:13">
      <c r="A1147" s="18"/>
      <c r="B1147" s="18"/>
      <c r="C1147" s="124"/>
      <c r="D1147" s="121"/>
      <c r="E1147" s="121"/>
      <c r="F1147" s="18"/>
      <c r="G1147" s="18"/>
      <c r="H1147" s="18"/>
      <c r="I1147" s="124"/>
      <c r="J1147" s="18"/>
      <c r="K1147" s="18"/>
      <c r="L1147" s="18"/>
      <c r="M1147" s="121"/>
    </row>
    <row r="1148" spans="1:13">
      <c r="A1148" s="18"/>
      <c r="B1148" s="18"/>
      <c r="C1148" s="124"/>
      <c r="D1148" s="121"/>
      <c r="E1148" s="121"/>
      <c r="F1148" s="18"/>
      <c r="G1148" s="18"/>
      <c r="H1148" s="18"/>
      <c r="I1148" s="124"/>
      <c r="J1148" s="18"/>
      <c r="K1148" s="18"/>
      <c r="L1148" s="18"/>
      <c r="M1148" s="121"/>
    </row>
    <row r="1149" spans="1:13">
      <c r="A1149" s="18"/>
      <c r="B1149" s="18"/>
      <c r="C1149" s="124"/>
      <c r="D1149" s="121"/>
      <c r="E1149" s="121"/>
      <c r="F1149" s="18"/>
      <c r="G1149" s="18"/>
      <c r="H1149" s="18"/>
      <c r="I1149" s="124"/>
      <c r="J1149" s="18"/>
      <c r="K1149" s="18"/>
      <c r="L1149" s="18"/>
      <c r="M1149" s="121"/>
    </row>
    <row r="1150" spans="1:13">
      <c r="A1150" s="18"/>
      <c r="B1150" s="18"/>
      <c r="C1150" s="124"/>
      <c r="D1150" s="121"/>
      <c r="E1150" s="121"/>
      <c r="F1150" s="18"/>
      <c r="G1150" s="18"/>
      <c r="H1150" s="18"/>
      <c r="I1150" s="124"/>
      <c r="J1150" s="18"/>
      <c r="K1150" s="18"/>
      <c r="L1150" s="18"/>
      <c r="M1150" s="121"/>
    </row>
    <row r="1151" spans="1:13">
      <c r="A1151" s="18"/>
      <c r="B1151" s="18"/>
      <c r="C1151" s="124"/>
      <c r="D1151" s="121"/>
      <c r="E1151" s="121"/>
      <c r="F1151" s="18"/>
      <c r="G1151" s="18"/>
      <c r="H1151" s="18"/>
      <c r="I1151" s="124"/>
      <c r="J1151" s="18"/>
      <c r="K1151" s="18"/>
      <c r="L1151" s="18"/>
      <c r="M1151" s="121"/>
    </row>
    <row r="1152" spans="1:13">
      <c r="A1152" s="18"/>
      <c r="B1152" s="18"/>
      <c r="C1152" s="124"/>
      <c r="D1152" s="121"/>
      <c r="E1152" s="121"/>
      <c r="F1152" s="18"/>
      <c r="G1152" s="18"/>
      <c r="H1152" s="18"/>
      <c r="I1152" s="124"/>
      <c r="J1152" s="18"/>
      <c r="K1152" s="18"/>
      <c r="L1152" s="18"/>
      <c r="M1152" s="121"/>
    </row>
    <row r="1153" spans="1:13">
      <c r="A1153" s="18"/>
      <c r="B1153" s="18"/>
      <c r="C1153" s="124"/>
      <c r="D1153" s="121"/>
      <c r="E1153" s="121"/>
      <c r="F1153" s="18"/>
      <c r="G1153" s="18"/>
      <c r="H1153" s="18"/>
      <c r="I1153" s="124"/>
      <c r="J1153" s="18"/>
      <c r="K1153" s="18"/>
      <c r="L1153" s="18"/>
      <c r="M1153" s="121"/>
    </row>
    <row r="1154" spans="1:13">
      <c r="A1154" s="18"/>
      <c r="B1154" s="18"/>
      <c r="C1154" s="124"/>
      <c r="D1154" s="121"/>
      <c r="E1154" s="121"/>
      <c r="F1154" s="18"/>
      <c r="G1154" s="18"/>
      <c r="H1154" s="18"/>
      <c r="I1154" s="124"/>
      <c r="J1154" s="18"/>
      <c r="K1154" s="18"/>
      <c r="L1154" s="18"/>
      <c r="M1154" s="121"/>
    </row>
    <row r="1155" spans="1:13">
      <c r="A1155" s="18"/>
      <c r="B1155" s="18"/>
      <c r="C1155" s="124"/>
      <c r="D1155" s="121"/>
      <c r="E1155" s="121"/>
      <c r="F1155" s="18"/>
      <c r="G1155" s="18"/>
      <c r="H1155" s="18"/>
      <c r="I1155" s="124"/>
      <c r="J1155" s="18"/>
      <c r="K1155" s="18"/>
      <c r="L1155" s="18"/>
      <c r="M1155" s="121"/>
    </row>
    <row r="1156" spans="1:13">
      <c r="A1156" s="18"/>
      <c r="B1156" s="18"/>
      <c r="C1156" s="124"/>
      <c r="D1156" s="121"/>
      <c r="E1156" s="121"/>
      <c r="F1156" s="18"/>
      <c r="G1156" s="18"/>
      <c r="H1156" s="18"/>
      <c r="I1156" s="124"/>
      <c r="J1156" s="18"/>
      <c r="K1156" s="18"/>
      <c r="L1156" s="18"/>
      <c r="M1156" s="121"/>
    </row>
    <row r="1157" spans="1:13">
      <c r="A1157" s="18"/>
      <c r="B1157" s="18"/>
      <c r="C1157" s="124"/>
      <c r="D1157" s="121"/>
      <c r="E1157" s="121"/>
      <c r="F1157" s="18"/>
      <c r="G1157" s="18"/>
      <c r="H1157" s="18"/>
      <c r="I1157" s="124"/>
      <c r="J1157" s="18"/>
      <c r="K1157" s="18"/>
      <c r="L1157" s="18"/>
      <c r="M1157" s="121"/>
    </row>
    <row r="1158" spans="1:13">
      <c r="A1158" s="18"/>
      <c r="B1158" s="18"/>
      <c r="C1158" s="124"/>
      <c r="D1158" s="121"/>
      <c r="E1158" s="121"/>
      <c r="F1158" s="18"/>
      <c r="G1158" s="18"/>
      <c r="H1158" s="18"/>
      <c r="I1158" s="124"/>
      <c r="J1158" s="18"/>
      <c r="K1158" s="18"/>
      <c r="L1158" s="18"/>
      <c r="M1158" s="121"/>
    </row>
    <row r="1159" spans="1:13">
      <c r="A1159" s="18"/>
      <c r="B1159" s="18"/>
      <c r="C1159" s="124"/>
      <c r="D1159" s="121"/>
      <c r="E1159" s="121"/>
      <c r="F1159" s="18"/>
      <c r="G1159" s="18"/>
      <c r="H1159" s="18"/>
      <c r="I1159" s="124"/>
      <c r="J1159" s="18"/>
      <c r="K1159" s="18"/>
      <c r="L1159" s="18"/>
      <c r="M1159" s="121"/>
    </row>
    <row r="1160" spans="1:13">
      <c r="A1160" s="18"/>
      <c r="B1160" s="18"/>
      <c r="C1160" s="124"/>
      <c r="D1160" s="121"/>
      <c r="E1160" s="121"/>
      <c r="F1160" s="18"/>
      <c r="G1160" s="18"/>
      <c r="H1160" s="18"/>
      <c r="I1160" s="124"/>
      <c r="J1160" s="18"/>
      <c r="K1160" s="18"/>
      <c r="L1160" s="18"/>
      <c r="M1160" s="121"/>
    </row>
    <row r="1161" spans="1:13">
      <c r="A1161" s="18"/>
      <c r="B1161" s="18"/>
      <c r="C1161" s="124"/>
      <c r="D1161" s="121"/>
      <c r="E1161" s="121"/>
      <c r="F1161" s="18"/>
      <c r="G1161" s="18"/>
      <c r="H1161" s="18"/>
      <c r="I1161" s="124"/>
      <c r="J1161" s="18"/>
      <c r="K1161" s="18"/>
      <c r="L1161" s="18"/>
      <c r="M1161" s="121"/>
    </row>
    <row r="1162" spans="1:13">
      <c r="A1162" s="18"/>
      <c r="B1162" s="18"/>
      <c r="C1162" s="124"/>
      <c r="D1162" s="121"/>
      <c r="E1162" s="121"/>
      <c r="F1162" s="18"/>
      <c r="G1162" s="18"/>
      <c r="H1162" s="18"/>
      <c r="I1162" s="124"/>
      <c r="J1162" s="18"/>
      <c r="K1162" s="18"/>
      <c r="L1162" s="18"/>
      <c r="M1162" s="121"/>
    </row>
    <row r="1163" spans="1:13">
      <c r="A1163" s="18"/>
      <c r="B1163" s="18"/>
      <c r="C1163" s="124"/>
      <c r="D1163" s="121"/>
      <c r="E1163" s="121"/>
      <c r="F1163" s="18"/>
      <c r="G1163" s="18"/>
      <c r="H1163" s="18"/>
      <c r="I1163" s="124"/>
      <c r="J1163" s="18"/>
      <c r="K1163" s="18"/>
      <c r="L1163" s="18"/>
      <c r="M1163" s="121"/>
    </row>
    <row r="1164" spans="1:13">
      <c r="A1164" s="18"/>
      <c r="B1164" s="18"/>
      <c r="C1164" s="124"/>
      <c r="D1164" s="121"/>
      <c r="E1164" s="121"/>
      <c r="F1164" s="18"/>
      <c r="G1164" s="18"/>
      <c r="H1164" s="18"/>
      <c r="I1164" s="124"/>
      <c r="J1164" s="18"/>
      <c r="K1164" s="18"/>
      <c r="L1164" s="18"/>
      <c r="M1164" s="121"/>
    </row>
    <row r="1165" spans="1:13">
      <c r="A1165" s="18"/>
      <c r="B1165" s="18"/>
      <c r="C1165" s="124"/>
      <c r="D1165" s="121"/>
      <c r="E1165" s="121"/>
      <c r="F1165" s="18"/>
      <c r="G1165" s="18"/>
      <c r="H1165" s="18"/>
      <c r="I1165" s="124"/>
      <c r="J1165" s="18"/>
      <c r="K1165" s="18"/>
      <c r="L1165" s="18"/>
      <c r="M1165" s="121"/>
    </row>
    <row r="1166" s="17" customFormat="1" spans="1:223">
      <c r="A1166" s="18"/>
      <c r="B1166" s="18"/>
      <c r="C1166" s="124"/>
      <c r="D1166" s="121"/>
      <c r="E1166" s="121"/>
      <c r="F1166" s="18"/>
      <c r="G1166" s="18"/>
      <c r="H1166" s="18"/>
      <c r="I1166" s="124"/>
      <c r="J1166" s="18"/>
      <c r="K1166" s="18"/>
      <c r="L1166" s="18"/>
      <c r="M1166" s="121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  <c r="AA1166" s="18"/>
      <c r="AB1166" s="18"/>
      <c r="AC1166" s="18"/>
      <c r="AD1166" s="18"/>
      <c r="AE1166" s="18"/>
      <c r="AF1166" s="18"/>
      <c r="AG1166" s="18"/>
      <c r="AH1166" s="18"/>
      <c r="AI1166" s="18"/>
      <c r="AJ1166" s="18"/>
      <c r="AK1166" s="18"/>
      <c r="AL1166" s="18"/>
      <c r="AM1166" s="18"/>
      <c r="AN1166" s="18"/>
      <c r="AO1166" s="18"/>
      <c r="AP1166" s="18"/>
      <c r="AQ1166" s="18"/>
      <c r="AR1166" s="18"/>
      <c r="AS1166" s="18"/>
      <c r="AT1166" s="18"/>
      <c r="AU1166" s="18"/>
      <c r="AV1166" s="18"/>
      <c r="AW1166" s="18"/>
      <c r="AX1166" s="18"/>
      <c r="AY1166" s="18"/>
      <c r="AZ1166" s="18"/>
      <c r="BA1166" s="18"/>
      <c r="BB1166" s="18"/>
      <c r="BC1166" s="18"/>
      <c r="BD1166" s="18"/>
      <c r="BE1166" s="18"/>
      <c r="BF1166" s="18"/>
      <c r="BG1166" s="18"/>
      <c r="BH1166" s="18"/>
      <c r="BI1166" s="18"/>
      <c r="BJ1166" s="18"/>
      <c r="BK1166" s="18"/>
      <c r="BL1166" s="18"/>
      <c r="BM1166" s="18"/>
      <c r="BN1166" s="18"/>
      <c r="BO1166" s="18"/>
      <c r="BP1166" s="18"/>
      <c r="BQ1166" s="18"/>
      <c r="BR1166" s="18"/>
      <c r="BS1166" s="18"/>
      <c r="BT1166" s="18"/>
      <c r="BU1166" s="18"/>
      <c r="BV1166" s="18"/>
      <c r="BW1166" s="18"/>
      <c r="BX1166" s="18"/>
      <c r="BY1166" s="18"/>
      <c r="BZ1166" s="18"/>
      <c r="CA1166" s="18"/>
      <c r="CB1166" s="18"/>
      <c r="CC1166" s="18"/>
      <c r="CD1166" s="18"/>
      <c r="CE1166" s="18"/>
      <c r="CF1166" s="18"/>
      <c r="CG1166" s="18"/>
      <c r="CH1166" s="18"/>
      <c r="CI1166" s="18"/>
      <c r="CJ1166" s="18"/>
      <c r="CK1166" s="18"/>
      <c r="CL1166" s="18"/>
      <c r="CM1166" s="18"/>
      <c r="CN1166" s="18"/>
      <c r="CO1166" s="18"/>
      <c r="CP1166" s="18"/>
      <c r="CQ1166" s="18"/>
      <c r="CR1166" s="18"/>
      <c r="CS1166" s="18"/>
      <c r="CT1166" s="18"/>
      <c r="CU1166" s="18"/>
      <c r="CV1166" s="18"/>
      <c r="CW1166" s="18"/>
      <c r="CX1166" s="18"/>
      <c r="CY1166" s="18"/>
      <c r="CZ1166" s="18"/>
      <c r="DA1166" s="18"/>
      <c r="DB1166" s="18"/>
      <c r="DC1166" s="18"/>
      <c r="DD1166" s="18"/>
      <c r="DE1166" s="18"/>
      <c r="DF1166" s="18"/>
      <c r="DG1166" s="18"/>
      <c r="DH1166" s="18"/>
      <c r="DI1166" s="18"/>
      <c r="DJ1166" s="18"/>
      <c r="DK1166" s="18"/>
      <c r="DL1166" s="18"/>
      <c r="DM1166" s="18"/>
      <c r="DN1166" s="18"/>
      <c r="DO1166" s="18"/>
      <c r="DP1166" s="18"/>
      <c r="DQ1166" s="18"/>
      <c r="DR1166" s="18"/>
      <c r="DS1166" s="18"/>
      <c r="DT1166" s="18"/>
      <c r="DU1166" s="18"/>
      <c r="DV1166" s="18"/>
      <c r="DW1166" s="18"/>
      <c r="DX1166" s="18"/>
      <c r="DY1166" s="18"/>
      <c r="DZ1166" s="18"/>
      <c r="EA1166" s="18"/>
      <c r="EB1166" s="18"/>
      <c r="EC1166" s="18"/>
      <c r="ED1166" s="18"/>
      <c r="EE1166" s="18"/>
      <c r="EF1166" s="18"/>
      <c r="EG1166" s="18"/>
      <c r="EH1166" s="18"/>
      <c r="EI1166" s="18"/>
      <c r="EJ1166" s="18"/>
      <c r="EK1166" s="18"/>
      <c r="EL1166" s="18"/>
      <c r="EM1166" s="18"/>
      <c r="EN1166" s="18"/>
      <c r="EO1166" s="18"/>
      <c r="EP1166" s="18"/>
      <c r="EQ1166" s="18"/>
      <c r="ER1166" s="18"/>
      <c r="ES1166" s="18"/>
      <c r="ET1166" s="18"/>
      <c r="EU1166" s="18"/>
      <c r="EV1166" s="18"/>
      <c r="EW1166" s="18"/>
      <c r="EX1166" s="18"/>
      <c r="EY1166" s="18"/>
      <c r="EZ1166" s="18"/>
      <c r="FA1166" s="18"/>
      <c r="FB1166" s="18"/>
      <c r="FC1166" s="18"/>
      <c r="FD1166" s="18"/>
      <c r="FE1166" s="18"/>
      <c r="FF1166" s="18"/>
      <c r="FG1166" s="18"/>
      <c r="FH1166" s="18"/>
      <c r="FI1166" s="18"/>
      <c r="FJ1166" s="18"/>
      <c r="FK1166" s="18"/>
      <c r="FL1166" s="18"/>
      <c r="FM1166" s="18"/>
      <c r="FN1166" s="18"/>
      <c r="FO1166" s="18"/>
      <c r="FP1166" s="18"/>
      <c r="FQ1166" s="18"/>
      <c r="FR1166" s="18"/>
      <c r="FS1166" s="18"/>
      <c r="FT1166" s="18"/>
      <c r="FU1166" s="18"/>
      <c r="FV1166" s="18"/>
      <c r="FW1166" s="18"/>
      <c r="FX1166" s="18"/>
      <c r="FY1166" s="18"/>
      <c r="FZ1166" s="18"/>
      <c r="GA1166" s="18"/>
      <c r="GB1166" s="18"/>
      <c r="GC1166" s="18"/>
      <c r="GD1166" s="18"/>
      <c r="GE1166" s="18"/>
      <c r="GF1166" s="18"/>
      <c r="GG1166" s="18"/>
      <c r="GH1166" s="18"/>
      <c r="GI1166" s="18"/>
      <c r="GJ1166" s="18"/>
      <c r="GK1166" s="18"/>
      <c r="GL1166" s="18"/>
      <c r="GM1166" s="18"/>
      <c r="GN1166" s="18"/>
      <c r="GO1166" s="18"/>
      <c r="GP1166" s="18"/>
      <c r="GQ1166" s="18"/>
      <c r="GR1166" s="18"/>
      <c r="GS1166" s="18"/>
      <c r="GT1166" s="18"/>
      <c r="GU1166" s="18"/>
      <c r="GV1166" s="18"/>
      <c r="GW1166" s="18"/>
      <c r="GX1166" s="18"/>
      <c r="GY1166" s="18"/>
      <c r="GZ1166" s="18"/>
      <c r="HA1166" s="18"/>
      <c r="HB1166" s="18"/>
      <c r="HC1166" s="18"/>
      <c r="HD1166" s="18"/>
      <c r="HE1166" s="18"/>
      <c r="HF1166" s="18"/>
      <c r="HG1166" s="18"/>
      <c r="HH1166" s="18"/>
      <c r="HI1166" s="18"/>
      <c r="HJ1166" s="18"/>
      <c r="HK1166" s="18"/>
      <c r="HL1166" s="18"/>
      <c r="HM1166" s="18"/>
      <c r="HN1166" s="18"/>
      <c r="HO1166" s="18"/>
    </row>
    <row r="1167" s="18" customFormat="1" spans="3:13">
      <c r="C1167" s="124"/>
      <c r="D1167" s="121"/>
      <c r="E1167" s="121"/>
      <c r="I1167" s="124"/>
      <c r="M1167" s="121"/>
    </row>
    <row r="1168" s="18" customFormat="1" spans="3:13">
      <c r="C1168" s="124"/>
      <c r="D1168" s="121"/>
      <c r="E1168" s="121"/>
      <c r="I1168" s="124"/>
      <c r="M1168" s="121"/>
    </row>
    <row r="1169" s="18" customFormat="1" spans="3:13">
      <c r="C1169" s="124"/>
      <c r="D1169" s="121"/>
      <c r="E1169" s="121"/>
      <c r="I1169" s="124"/>
      <c r="M1169" s="121"/>
    </row>
    <row r="1170" s="18" customFormat="1" spans="3:13">
      <c r="C1170" s="124"/>
      <c r="D1170" s="121"/>
      <c r="E1170" s="121"/>
      <c r="I1170" s="124"/>
      <c r="M1170" s="121"/>
    </row>
    <row r="1171" s="18" customFormat="1" spans="3:13">
      <c r="C1171" s="124"/>
      <c r="D1171" s="121"/>
      <c r="E1171" s="121"/>
      <c r="I1171" s="124"/>
      <c r="M1171" s="121"/>
    </row>
    <row r="1172" s="18" customFormat="1" spans="3:13">
      <c r="C1172" s="124"/>
      <c r="D1172" s="121"/>
      <c r="E1172" s="121"/>
      <c r="I1172" s="124"/>
      <c r="M1172" s="121"/>
    </row>
    <row r="1173" s="18" customFormat="1" spans="3:13">
      <c r="C1173" s="124"/>
      <c r="D1173" s="121"/>
      <c r="E1173" s="121"/>
      <c r="I1173" s="124"/>
      <c r="M1173" s="121"/>
    </row>
    <row r="1174" s="18" customFormat="1" spans="3:13">
      <c r="C1174" s="124"/>
      <c r="D1174" s="121"/>
      <c r="E1174" s="121"/>
      <c r="I1174" s="124"/>
      <c r="M1174" s="121"/>
    </row>
    <row r="1175" spans="3:5">
      <c r="C1175" s="124"/>
      <c r="D1175" s="121"/>
      <c r="E1175" s="121"/>
    </row>
    <row r="1176" spans="4:5">
      <c r="D1176" s="121"/>
      <c r="E1176" s="121"/>
    </row>
    <row r="1177" spans="4:4">
      <c r="D1177" s="121"/>
    </row>
    <row r="1178" spans="4:4">
      <c r="D1178" s="121"/>
    </row>
  </sheetData>
  <mergeCells count="174">
    <mergeCell ref="A1:J1"/>
    <mergeCell ref="C2:D2"/>
    <mergeCell ref="F2:G2"/>
    <mergeCell ref="C3:D3"/>
    <mergeCell ref="F3:G3"/>
    <mergeCell ref="C4:D4"/>
    <mergeCell ref="F4:G4"/>
    <mergeCell ref="C5:D5"/>
    <mergeCell ref="F5:G5"/>
    <mergeCell ref="A6:M6"/>
    <mergeCell ref="A7:M7"/>
    <mergeCell ref="H8:L8"/>
    <mergeCell ref="A115:M115"/>
    <mergeCell ref="H116:K116"/>
    <mergeCell ref="A220:M220"/>
    <mergeCell ref="H221:K221"/>
    <mergeCell ref="A302:M302"/>
    <mergeCell ref="H303:K303"/>
    <mergeCell ref="A355:M355"/>
    <mergeCell ref="H356:K356"/>
    <mergeCell ref="A444:M444"/>
    <mergeCell ref="H445:J445"/>
    <mergeCell ref="A9:A18"/>
    <mergeCell ref="A19:A24"/>
    <mergeCell ref="A25:A114"/>
    <mergeCell ref="A117:A121"/>
    <mergeCell ref="A122:A138"/>
    <mergeCell ref="A139:A164"/>
    <mergeCell ref="A165:A177"/>
    <mergeCell ref="A178:A180"/>
    <mergeCell ref="A181:A199"/>
    <mergeCell ref="A200:A219"/>
    <mergeCell ref="A222:A225"/>
    <mergeCell ref="A226:A239"/>
    <mergeCell ref="A240:A246"/>
    <mergeCell ref="A247:A267"/>
    <mergeCell ref="A268:A270"/>
    <mergeCell ref="A271:A288"/>
    <mergeCell ref="A289:A301"/>
    <mergeCell ref="A304:A307"/>
    <mergeCell ref="A308:A319"/>
    <mergeCell ref="A320:A334"/>
    <mergeCell ref="A335:A337"/>
    <mergeCell ref="A338:A354"/>
    <mergeCell ref="A357:A363"/>
    <mergeCell ref="A364:A377"/>
    <mergeCell ref="A378:A385"/>
    <mergeCell ref="A386:A403"/>
    <mergeCell ref="A404:A430"/>
    <mergeCell ref="A431:A443"/>
    <mergeCell ref="A446:A447"/>
    <mergeCell ref="A448:A467"/>
    <mergeCell ref="C9:C12"/>
    <mergeCell ref="C13:C16"/>
    <mergeCell ref="C19:C20"/>
    <mergeCell ref="C22:C24"/>
    <mergeCell ref="C25:C61"/>
    <mergeCell ref="C62:C79"/>
    <mergeCell ref="C80:C98"/>
    <mergeCell ref="C99:C114"/>
    <mergeCell ref="C117:C120"/>
    <mergeCell ref="C122:C128"/>
    <mergeCell ref="C129:C138"/>
    <mergeCell ref="C139:C150"/>
    <mergeCell ref="C151:C164"/>
    <mergeCell ref="C165:C167"/>
    <mergeCell ref="C168:C171"/>
    <mergeCell ref="C172:C177"/>
    <mergeCell ref="C181:C190"/>
    <mergeCell ref="C191:C193"/>
    <mergeCell ref="C194:C199"/>
    <mergeCell ref="C200:C210"/>
    <mergeCell ref="C211:C213"/>
    <mergeCell ref="C214:C219"/>
    <mergeCell ref="C222:C224"/>
    <mergeCell ref="C226:C239"/>
    <mergeCell ref="C242:C246"/>
    <mergeCell ref="C248:C252"/>
    <mergeCell ref="C253:C257"/>
    <mergeCell ref="C258:C267"/>
    <mergeCell ref="C271:C281"/>
    <mergeCell ref="C282:C288"/>
    <mergeCell ref="C289:C297"/>
    <mergeCell ref="C298:C301"/>
    <mergeCell ref="C304:C306"/>
    <mergeCell ref="C308:C319"/>
    <mergeCell ref="C321:C328"/>
    <mergeCell ref="C329:C330"/>
    <mergeCell ref="C331:C334"/>
    <mergeCell ref="C338:C346"/>
    <mergeCell ref="C348:C351"/>
    <mergeCell ref="C352:C354"/>
    <mergeCell ref="C357:C361"/>
    <mergeCell ref="C364:C377"/>
    <mergeCell ref="C379:C385"/>
    <mergeCell ref="C387:C403"/>
    <mergeCell ref="C404:C416"/>
    <mergeCell ref="C417:C430"/>
    <mergeCell ref="C431:C443"/>
    <mergeCell ref="C446:C447"/>
    <mergeCell ref="C448:C458"/>
    <mergeCell ref="C459:C463"/>
    <mergeCell ref="C464:C467"/>
    <mergeCell ref="D25:D30"/>
    <mergeCell ref="D31:D36"/>
    <mergeCell ref="D37:D61"/>
    <mergeCell ref="D62:D67"/>
    <mergeCell ref="D68:D72"/>
    <mergeCell ref="D73:D79"/>
    <mergeCell ref="D80:D98"/>
    <mergeCell ref="D99:D114"/>
    <mergeCell ref="D127:D128"/>
    <mergeCell ref="D132:D133"/>
    <mergeCell ref="D134:D135"/>
    <mergeCell ref="D142:D144"/>
    <mergeCell ref="D149:D150"/>
    <mergeCell ref="D154:D156"/>
    <mergeCell ref="D161:D162"/>
    <mergeCell ref="D166:D167"/>
    <mergeCell ref="D169:D170"/>
    <mergeCell ref="D174:D175"/>
    <mergeCell ref="D183:D186"/>
    <mergeCell ref="D194:D195"/>
    <mergeCell ref="D202:D205"/>
    <mergeCell ref="D214:D215"/>
    <mergeCell ref="D227:D229"/>
    <mergeCell ref="D230:D232"/>
    <mergeCell ref="D233:D234"/>
    <mergeCell ref="D236:D237"/>
    <mergeCell ref="D242:D243"/>
    <mergeCell ref="D244:D245"/>
    <mergeCell ref="D250:D252"/>
    <mergeCell ref="D255:D257"/>
    <mergeCell ref="D259:D261"/>
    <mergeCell ref="D266:D267"/>
    <mergeCell ref="D271:D275"/>
    <mergeCell ref="D276:D277"/>
    <mergeCell ref="D278:D279"/>
    <mergeCell ref="D280:D281"/>
    <mergeCell ref="D283:D284"/>
    <mergeCell ref="D285:D286"/>
    <mergeCell ref="D287:D288"/>
    <mergeCell ref="D289:D293"/>
    <mergeCell ref="D294:D295"/>
    <mergeCell ref="D296:D297"/>
    <mergeCell ref="D298:D301"/>
    <mergeCell ref="D309:D311"/>
    <mergeCell ref="D312:D313"/>
    <mergeCell ref="D316:D317"/>
    <mergeCell ref="D327:D328"/>
    <mergeCell ref="D332:D334"/>
    <mergeCell ref="D338:D339"/>
    <mergeCell ref="D340:D341"/>
    <mergeCell ref="D343:D344"/>
    <mergeCell ref="D345:D346"/>
    <mergeCell ref="D352:D354"/>
    <mergeCell ref="D382:D383"/>
    <mergeCell ref="D384:D385"/>
    <mergeCell ref="D387:D389"/>
    <mergeCell ref="D390:D396"/>
    <mergeCell ref="D397:D403"/>
    <mergeCell ref="D405:D407"/>
    <mergeCell ref="D408:D409"/>
    <mergeCell ref="D410:D411"/>
    <mergeCell ref="D412:D416"/>
    <mergeCell ref="D418:D419"/>
    <mergeCell ref="D420:D421"/>
    <mergeCell ref="D422:D424"/>
    <mergeCell ref="D425:D426"/>
    <mergeCell ref="D427:D430"/>
    <mergeCell ref="D432:D433"/>
    <mergeCell ref="D434:D436"/>
    <mergeCell ref="D437:D438"/>
    <mergeCell ref="D439:D443"/>
  </mergeCells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63"/>
  </sheetPr>
  <dimension ref="A1:D36"/>
  <sheetViews>
    <sheetView workbookViewId="0">
      <selection activeCell="C2" sqref="C2"/>
    </sheetView>
  </sheetViews>
  <sheetFormatPr defaultColWidth="9" defaultRowHeight="16.5" outlineLevelCol="3"/>
  <cols>
    <col min="1" max="2" width="9" style="1"/>
    <col min="3" max="3" width="15.25" style="1" customWidth="1"/>
    <col min="4" max="4" width="73.375" style="1" customWidth="1"/>
    <col min="5" max="16384" width="9" style="1"/>
  </cols>
  <sheetData>
    <row r="1" spans="1:4">
      <c r="A1" s="4" t="s">
        <v>1189</v>
      </c>
      <c r="B1" s="4" t="s">
        <v>1190</v>
      </c>
      <c r="C1" s="4" t="s">
        <v>1191</v>
      </c>
      <c r="D1" s="4" t="s">
        <v>1192</v>
      </c>
    </row>
    <row r="2" spans="1:4">
      <c r="A2" s="5"/>
      <c r="B2" s="6"/>
      <c r="C2" s="5"/>
      <c r="D2" s="6"/>
    </row>
    <row r="3" spans="1:4">
      <c r="A3" s="5"/>
      <c r="B3" s="6"/>
      <c r="C3" s="5"/>
      <c r="D3" s="6"/>
    </row>
    <row r="4" spans="1:4">
      <c r="A4" s="5"/>
      <c r="B4" s="6"/>
      <c r="C4" s="5"/>
      <c r="D4" s="7"/>
    </row>
    <row r="5" spans="1:4">
      <c r="A5" s="5"/>
      <c r="B5" s="6"/>
      <c r="C5" s="5"/>
      <c r="D5" s="6"/>
    </row>
    <row r="6" spans="1:4">
      <c r="A6" s="5"/>
      <c r="B6" s="6"/>
      <c r="C6" s="5"/>
      <c r="D6" s="7"/>
    </row>
    <row r="7" spans="1:4">
      <c r="A7" s="5"/>
      <c r="B7" s="6"/>
      <c r="C7" s="5"/>
      <c r="D7" s="7"/>
    </row>
    <row r="8" spans="1:4">
      <c r="A8" s="5"/>
      <c r="B8" s="6"/>
      <c r="C8" s="5"/>
      <c r="D8" s="6"/>
    </row>
    <row r="9" spans="1:4">
      <c r="A9" s="5"/>
      <c r="B9" s="6"/>
      <c r="C9" s="5"/>
      <c r="D9" s="6"/>
    </row>
    <row r="10" spans="1:4">
      <c r="A10" s="5"/>
      <c r="B10" s="6"/>
      <c r="C10" s="5"/>
      <c r="D10" s="7"/>
    </row>
    <row r="11" spans="1:4">
      <c r="A11" s="5"/>
      <c r="B11" s="6"/>
      <c r="C11" s="5"/>
      <c r="D11" s="6"/>
    </row>
    <row r="12" spans="1:4">
      <c r="A12" s="5"/>
      <c r="B12" s="6"/>
      <c r="C12" s="5"/>
      <c r="D12" s="8"/>
    </row>
    <row r="13" spans="1:4">
      <c r="A13" s="5"/>
      <c r="B13" s="6"/>
      <c r="C13" s="5"/>
      <c r="D13" s="8"/>
    </row>
    <row r="14" spans="1:4">
      <c r="A14" s="5"/>
      <c r="B14" s="6"/>
      <c r="C14" s="5"/>
      <c r="D14" s="8"/>
    </row>
    <row r="15" spans="1:4">
      <c r="A15" s="5"/>
      <c r="B15" s="6"/>
      <c r="C15" s="5"/>
      <c r="D15" s="8"/>
    </row>
    <row r="16" spans="1:4">
      <c r="A16" s="5"/>
      <c r="B16" s="6"/>
      <c r="C16" s="5"/>
      <c r="D16" s="9"/>
    </row>
    <row r="17" spans="1:4">
      <c r="A17" s="5"/>
      <c r="B17" s="6"/>
      <c r="C17" s="5"/>
      <c r="D17" s="8"/>
    </row>
    <row r="18" spans="1:4">
      <c r="A18" s="5"/>
      <c r="B18" s="6"/>
      <c r="C18" s="5"/>
      <c r="D18" s="8"/>
    </row>
    <row r="19" spans="1:4">
      <c r="A19" s="5"/>
      <c r="B19" s="6"/>
      <c r="C19" s="5"/>
      <c r="D19" s="8"/>
    </row>
    <row r="20" spans="1:4">
      <c r="A20" s="5"/>
      <c r="B20" s="6"/>
      <c r="C20" s="5"/>
      <c r="D20" s="8"/>
    </row>
    <row r="21" spans="1:4">
      <c r="A21" s="5"/>
      <c r="B21" s="6"/>
      <c r="C21" s="5"/>
      <c r="D21" s="8"/>
    </row>
    <row r="22" spans="1:4">
      <c r="A22" s="10"/>
      <c r="B22" s="11"/>
      <c r="C22" s="12"/>
      <c r="D22" s="8"/>
    </row>
    <row r="23" spans="1:4">
      <c r="A23" s="10"/>
      <c r="B23" s="11"/>
      <c r="C23" s="12"/>
      <c r="D23" s="8"/>
    </row>
    <row r="24" spans="1:4">
      <c r="A24" s="10"/>
      <c r="B24" s="11"/>
      <c r="C24" s="5"/>
      <c r="D24" s="8"/>
    </row>
    <row r="25" spans="1:4">
      <c r="A25" s="10"/>
      <c r="B25" s="11"/>
      <c r="C25" s="12"/>
      <c r="D25" s="8"/>
    </row>
    <row r="26" spans="1:4">
      <c r="A26" s="10"/>
      <c r="B26" s="11"/>
      <c r="C26" s="12"/>
      <c r="D26" s="8"/>
    </row>
    <row r="27" spans="1:4">
      <c r="A27" s="5"/>
      <c r="B27" s="6"/>
      <c r="C27" s="5"/>
      <c r="D27" s="8"/>
    </row>
    <row r="28" spans="1:4">
      <c r="A28" s="5"/>
      <c r="B28" s="6"/>
      <c r="C28" s="5"/>
      <c r="D28" s="8"/>
    </row>
    <row r="29" spans="1:4">
      <c r="A29" s="13"/>
      <c r="B29" s="13"/>
      <c r="C29" s="13"/>
      <c r="D29" s="13"/>
    </row>
    <row r="30" spans="1:4">
      <c r="A30" s="13"/>
      <c r="B30" s="13"/>
      <c r="C30" s="13"/>
      <c r="D30" s="13"/>
    </row>
    <row r="31" spans="1:4">
      <c r="A31" s="13"/>
      <c r="B31" s="13"/>
      <c r="C31" s="13"/>
      <c r="D31" s="13"/>
    </row>
    <row r="32" spans="1:4">
      <c r="A32" s="13"/>
      <c r="B32" s="13"/>
      <c r="C32" s="13"/>
      <c r="D32" s="13"/>
    </row>
    <row r="33" spans="1:4">
      <c r="A33" s="13"/>
      <c r="B33" s="13"/>
      <c r="C33" s="13"/>
      <c r="D33" s="13"/>
    </row>
    <row r="34" spans="1:4">
      <c r="A34" s="13"/>
      <c r="B34" s="13"/>
      <c r="C34" s="13"/>
      <c r="D34" s="13"/>
    </row>
    <row r="35" spans="1:4">
      <c r="A35" s="13"/>
      <c r="B35" s="13"/>
      <c r="C35" s="13"/>
      <c r="D35" s="13"/>
    </row>
    <row r="36" spans="1:4">
      <c r="A36" s="13"/>
      <c r="B36" s="13"/>
      <c r="C36" s="13"/>
      <c r="D36" s="13"/>
    </row>
  </sheetData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7"/>
  <sheetViews>
    <sheetView workbookViewId="0">
      <selection activeCell="A1" sqref="$A1:$XFD1048576"/>
    </sheetView>
  </sheetViews>
  <sheetFormatPr defaultColWidth="9" defaultRowHeight="16.5" outlineLevelCol="5"/>
  <cols>
    <col min="1" max="16384" width="9" style="1"/>
  </cols>
  <sheetData>
    <row r="1" ht="13.5" spans="1:6">
      <c r="A1" s="2" t="s">
        <v>1193</v>
      </c>
      <c r="B1" s="3"/>
      <c r="C1" s="3"/>
      <c r="D1" s="3"/>
      <c r="E1" s="3"/>
      <c r="F1" s="3"/>
    </row>
    <row r="2" ht="13.5" spans="1:6">
      <c r="A2" s="3"/>
      <c r="B2" s="3"/>
      <c r="C2" s="3"/>
      <c r="D2" s="3"/>
      <c r="E2" s="3"/>
      <c r="F2" s="3"/>
    </row>
    <row r="3" ht="13.5" spans="1:6">
      <c r="A3" s="3"/>
      <c r="B3" s="3"/>
      <c r="C3" s="3"/>
      <c r="D3" s="3"/>
      <c r="E3" s="3"/>
      <c r="F3" s="3"/>
    </row>
    <row r="4" ht="13.5" spans="1:6">
      <c r="A4" s="3"/>
      <c r="B4" s="3"/>
      <c r="C4" s="3"/>
      <c r="D4" s="3"/>
      <c r="E4" s="3"/>
      <c r="F4" s="3"/>
    </row>
    <row r="5" ht="13.5" spans="1:6">
      <c r="A5" s="3"/>
      <c r="B5" s="3"/>
      <c r="C5" s="3"/>
      <c r="D5" s="3"/>
      <c r="E5" s="3"/>
      <c r="F5" s="3"/>
    </row>
    <row r="6" ht="13.5" spans="1:6">
      <c r="A6" s="3"/>
      <c r="B6" s="3"/>
      <c r="C6" s="3"/>
      <c r="D6" s="3"/>
      <c r="E6" s="3"/>
      <c r="F6" s="3"/>
    </row>
    <row r="7" ht="13.5" spans="1:6">
      <c r="A7" s="3"/>
      <c r="B7" s="3"/>
      <c r="C7" s="3"/>
      <c r="D7" s="3"/>
      <c r="E7" s="3"/>
      <c r="F7" s="3"/>
    </row>
    <row r="8" ht="13.5" spans="1:6">
      <c r="A8" s="3"/>
      <c r="B8" s="3"/>
      <c r="C8" s="3"/>
      <c r="D8" s="3"/>
      <c r="E8" s="3"/>
      <c r="F8" s="3"/>
    </row>
    <row r="9" ht="13.5" spans="1:6">
      <c r="A9" s="3"/>
      <c r="B9" s="3"/>
      <c r="C9" s="3"/>
      <c r="D9" s="3"/>
      <c r="E9" s="3"/>
      <c r="F9" s="3"/>
    </row>
    <row r="10" ht="13.5" spans="1:6">
      <c r="A10" s="3"/>
      <c r="B10" s="3"/>
      <c r="C10" s="3"/>
      <c r="D10" s="3"/>
      <c r="E10" s="3"/>
      <c r="F10" s="3"/>
    </row>
    <row r="11" ht="13.5" spans="1:6">
      <c r="A11" s="3"/>
      <c r="B11" s="3"/>
      <c r="C11" s="3"/>
      <c r="D11" s="3"/>
      <c r="E11" s="3"/>
      <c r="F11" s="3"/>
    </row>
    <row r="12" ht="13.5" spans="1:6">
      <c r="A12" s="3"/>
      <c r="B12" s="3"/>
      <c r="C12" s="3"/>
      <c r="D12" s="3"/>
      <c r="E12" s="3"/>
      <c r="F12" s="3"/>
    </row>
    <row r="13" ht="13.5" spans="1:6">
      <c r="A13" s="3"/>
      <c r="B13" s="3"/>
      <c r="C13" s="3"/>
      <c r="D13" s="3"/>
      <c r="E13" s="3"/>
      <c r="F13" s="3"/>
    </row>
    <row r="14" ht="13.5" spans="1:6">
      <c r="A14" s="3"/>
      <c r="B14" s="3"/>
      <c r="C14" s="3"/>
      <c r="D14" s="3"/>
      <c r="E14" s="3"/>
      <c r="F14" s="3"/>
    </row>
    <row r="15" ht="13.5" spans="1:6">
      <c r="A15" s="3"/>
      <c r="B15" s="3"/>
      <c r="C15" s="3"/>
      <c r="D15" s="3"/>
      <c r="E15" s="3"/>
      <c r="F15" s="3"/>
    </row>
    <row r="16" ht="13.5" spans="1:6">
      <c r="A16" s="3"/>
      <c r="B16" s="3"/>
      <c r="C16" s="3"/>
      <c r="D16" s="3"/>
      <c r="E16" s="3"/>
      <c r="F16" s="3"/>
    </row>
    <row r="17" ht="13.5" spans="1:6">
      <c r="A17" s="3"/>
      <c r="B17" s="3"/>
      <c r="C17" s="3"/>
      <c r="D17" s="3"/>
      <c r="E17" s="3"/>
      <c r="F17" s="3"/>
    </row>
    <row r="18" ht="13.5" spans="1:6">
      <c r="A18" s="3"/>
      <c r="B18" s="3"/>
      <c r="C18" s="3"/>
      <c r="D18" s="3"/>
      <c r="E18" s="3"/>
      <c r="F18" s="3"/>
    </row>
    <row r="19" ht="13.5" spans="1:6">
      <c r="A19" s="3"/>
      <c r="B19" s="3"/>
      <c r="C19" s="3"/>
      <c r="D19" s="3"/>
      <c r="E19" s="3"/>
      <c r="F19" s="3"/>
    </row>
    <row r="20" ht="13.5" spans="1:6">
      <c r="A20" s="3"/>
      <c r="B20" s="3"/>
      <c r="C20" s="3"/>
      <c r="D20" s="3"/>
      <c r="E20" s="3"/>
      <c r="F20" s="3"/>
    </row>
    <row r="21" ht="13.5" spans="1:6">
      <c r="A21" s="3"/>
      <c r="B21" s="3"/>
      <c r="C21" s="3"/>
      <c r="D21" s="3"/>
      <c r="E21" s="3"/>
      <c r="F21" s="3"/>
    </row>
    <row r="22" ht="13.5" spans="1:6">
      <c r="A22" s="3"/>
      <c r="B22" s="3"/>
      <c r="C22" s="3"/>
      <c r="D22" s="3"/>
      <c r="E22" s="3"/>
      <c r="F22" s="3"/>
    </row>
    <row r="23" ht="13.5" spans="1:6">
      <c r="A23" s="3"/>
      <c r="B23" s="3"/>
      <c r="C23" s="3"/>
      <c r="D23" s="3"/>
      <c r="E23" s="3"/>
      <c r="F23" s="3"/>
    </row>
    <row r="24" ht="13.5" spans="1:6">
      <c r="A24" s="3"/>
      <c r="B24" s="3"/>
      <c r="C24" s="3"/>
      <c r="D24" s="3"/>
      <c r="E24" s="3"/>
      <c r="F24" s="3"/>
    </row>
    <row r="25" ht="13.5" spans="1:6">
      <c r="A25" s="3"/>
      <c r="B25" s="3"/>
      <c r="C25" s="3"/>
      <c r="D25" s="3"/>
      <c r="E25" s="3"/>
      <c r="F25" s="3"/>
    </row>
    <row r="26" ht="13.5" spans="1:6">
      <c r="A26" s="3"/>
      <c r="B26" s="3"/>
      <c r="C26" s="3"/>
      <c r="D26" s="3"/>
      <c r="E26" s="3"/>
      <c r="F26" s="3"/>
    </row>
    <row r="27" ht="13.5" spans="1:6">
      <c r="A27" s="3"/>
      <c r="B27" s="3"/>
      <c r="C27" s="3"/>
      <c r="D27" s="3"/>
      <c r="E27" s="3"/>
      <c r="F27" s="3"/>
    </row>
  </sheetData>
  <mergeCells count="1">
    <mergeCell ref="A1:F27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7"/>
  <sheetViews>
    <sheetView workbookViewId="0">
      <selection activeCell="H21" sqref="H21"/>
    </sheetView>
  </sheetViews>
  <sheetFormatPr defaultColWidth="9" defaultRowHeight="16.5" outlineLevelCol="5"/>
  <cols>
    <col min="1" max="16384" width="9" style="1"/>
  </cols>
  <sheetData>
    <row r="1" ht="13.5" spans="1:6">
      <c r="A1" s="2" t="s">
        <v>1193</v>
      </c>
      <c r="B1" s="3"/>
      <c r="C1" s="3"/>
      <c r="D1" s="3"/>
      <c r="E1" s="3"/>
      <c r="F1" s="3"/>
    </row>
    <row r="2" ht="13.5" spans="1:6">
      <c r="A2" s="3"/>
      <c r="B2" s="3"/>
      <c r="C2" s="3"/>
      <c r="D2" s="3"/>
      <c r="E2" s="3"/>
      <c r="F2" s="3"/>
    </row>
    <row r="3" ht="13.5" spans="1:6">
      <c r="A3" s="3"/>
      <c r="B3" s="3"/>
      <c r="C3" s="3"/>
      <c r="D3" s="3"/>
      <c r="E3" s="3"/>
      <c r="F3" s="3"/>
    </row>
    <row r="4" ht="13.5" spans="1:6">
      <c r="A4" s="3"/>
      <c r="B4" s="3"/>
      <c r="C4" s="3"/>
      <c r="D4" s="3"/>
      <c r="E4" s="3"/>
      <c r="F4" s="3"/>
    </row>
    <row r="5" ht="13.5" spans="1:6">
      <c r="A5" s="3"/>
      <c r="B5" s="3"/>
      <c r="C5" s="3"/>
      <c r="D5" s="3"/>
      <c r="E5" s="3"/>
      <c r="F5" s="3"/>
    </row>
    <row r="6" ht="13.5" spans="1:6">
      <c r="A6" s="3"/>
      <c r="B6" s="3"/>
      <c r="C6" s="3"/>
      <c r="D6" s="3"/>
      <c r="E6" s="3"/>
      <c r="F6" s="3"/>
    </row>
    <row r="7" ht="13.5" spans="1:6">
      <c r="A7" s="3"/>
      <c r="B7" s="3"/>
      <c r="C7" s="3"/>
      <c r="D7" s="3"/>
      <c r="E7" s="3"/>
      <c r="F7" s="3"/>
    </row>
    <row r="8" ht="13.5" spans="1:6">
      <c r="A8" s="3"/>
      <c r="B8" s="3"/>
      <c r="C8" s="3"/>
      <c r="D8" s="3"/>
      <c r="E8" s="3"/>
      <c r="F8" s="3"/>
    </row>
    <row r="9" ht="13.5" spans="1:6">
      <c r="A9" s="3"/>
      <c r="B9" s="3"/>
      <c r="C9" s="3"/>
      <c r="D9" s="3"/>
      <c r="E9" s="3"/>
      <c r="F9" s="3"/>
    </row>
    <row r="10" ht="13.5" spans="1:6">
      <c r="A10" s="3"/>
      <c r="B10" s="3"/>
      <c r="C10" s="3"/>
      <c r="D10" s="3"/>
      <c r="E10" s="3"/>
      <c r="F10" s="3"/>
    </row>
    <row r="11" ht="13.5" spans="1:6">
      <c r="A11" s="3"/>
      <c r="B11" s="3"/>
      <c r="C11" s="3"/>
      <c r="D11" s="3"/>
      <c r="E11" s="3"/>
      <c r="F11" s="3"/>
    </row>
    <row r="12" ht="13.5" spans="1:6">
      <c r="A12" s="3"/>
      <c r="B12" s="3"/>
      <c r="C12" s="3"/>
      <c r="D12" s="3"/>
      <c r="E12" s="3"/>
      <c r="F12" s="3"/>
    </row>
    <row r="13" ht="13.5" spans="1:6">
      <c r="A13" s="3"/>
      <c r="B13" s="3"/>
      <c r="C13" s="3"/>
      <c r="D13" s="3"/>
      <c r="E13" s="3"/>
      <c r="F13" s="3"/>
    </row>
    <row r="14" ht="13.5" spans="1:6">
      <c r="A14" s="3"/>
      <c r="B14" s="3"/>
      <c r="C14" s="3"/>
      <c r="D14" s="3"/>
      <c r="E14" s="3"/>
      <c r="F14" s="3"/>
    </row>
    <row r="15" ht="13.5" spans="1:6">
      <c r="A15" s="3"/>
      <c r="B15" s="3"/>
      <c r="C15" s="3"/>
      <c r="D15" s="3"/>
      <c r="E15" s="3"/>
      <c r="F15" s="3"/>
    </row>
    <row r="16" ht="13.5" spans="1:6">
      <c r="A16" s="3"/>
      <c r="B16" s="3"/>
      <c r="C16" s="3"/>
      <c r="D16" s="3"/>
      <c r="E16" s="3"/>
      <c r="F16" s="3"/>
    </row>
    <row r="17" ht="13.5" spans="1:6">
      <c r="A17" s="3"/>
      <c r="B17" s="3"/>
      <c r="C17" s="3"/>
      <c r="D17" s="3"/>
      <c r="E17" s="3"/>
      <c r="F17" s="3"/>
    </row>
    <row r="18" ht="13.5" spans="1:6">
      <c r="A18" s="3"/>
      <c r="B18" s="3"/>
      <c r="C18" s="3"/>
      <c r="D18" s="3"/>
      <c r="E18" s="3"/>
      <c r="F18" s="3"/>
    </row>
    <row r="19" ht="13.5" spans="1:6">
      <c r="A19" s="3"/>
      <c r="B19" s="3"/>
      <c r="C19" s="3"/>
      <c r="D19" s="3"/>
      <c r="E19" s="3"/>
      <c r="F19" s="3"/>
    </row>
    <row r="20" ht="13.5" spans="1:6">
      <c r="A20" s="3"/>
      <c r="B20" s="3"/>
      <c r="C20" s="3"/>
      <c r="D20" s="3"/>
      <c r="E20" s="3"/>
      <c r="F20" s="3"/>
    </row>
    <row r="21" ht="13.5" spans="1:6">
      <c r="A21" s="3"/>
      <c r="B21" s="3"/>
      <c r="C21" s="3"/>
      <c r="D21" s="3"/>
      <c r="E21" s="3"/>
      <c r="F21" s="3"/>
    </row>
    <row r="22" ht="13.5" spans="1:6">
      <c r="A22" s="3"/>
      <c r="B22" s="3"/>
      <c r="C22" s="3"/>
      <c r="D22" s="3"/>
      <c r="E22" s="3"/>
      <c r="F22" s="3"/>
    </row>
    <row r="23" ht="13.5" spans="1:6">
      <c r="A23" s="3"/>
      <c r="B23" s="3"/>
      <c r="C23" s="3"/>
      <c r="D23" s="3"/>
      <c r="E23" s="3"/>
      <c r="F23" s="3"/>
    </row>
    <row r="24" ht="13.5" spans="1:6">
      <c r="A24" s="3"/>
      <c r="B24" s="3"/>
      <c r="C24" s="3"/>
      <c r="D24" s="3"/>
      <c r="E24" s="3"/>
      <c r="F24" s="3"/>
    </row>
    <row r="25" ht="13.5" spans="1:6">
      <c r="A25" s="3"/>
      <c r="B25" s="3"/>
      <c r="C25" s="3"/>
      <c r="D25" s="3"/>
      <c r="E25" s="3"/>
      <c r="F25" s="3"/>
    </row>
    <row r="26" ht="13.5" spans="1:6">
      <c r="A26" s="3"/>
      <c r="B26" s="3"/>
      <c r="C26" s="3"/>
      <c r="D26" s="3"/>
      <c r="E26" s="3"/>
      <c r="F26" s="3"/>
    </row>
    <row r="27" ht="13.5" spans="1:6">
      <c r="A27" s="3"/>
      <c r="B27" s="3"/>
      <c r="C27" s="3"/>
      <c r="D27" s="3"/>
      <c r="E27" s="3"/>
      <c r="F27" s="3"/>
    </row>
  </sheetData>
  <mergeCells count="1">
    <mergeCell ref="A1:F27"/>
  </mergeCells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修改内容</vt:lpstr>
      <vt:lpstr>第一次测试报告</vt:lpstr>
      <vt:lpstr>第二次测试报告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</dc:creator>
  <cp:lastModifiedBy>user</cp:lastModifiedBy>
  <dcterms:created xsi:type="dcterms:W3CDTF">2006-09-13T11:21:00Z</dcterms:created>
  <dcterms:modified xsi:type="dcterms:W3CDTF">2016-02-23T08:46:45Z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2052-9.1.0.4885</vt:lpwstr>
  </property>
</Properties>
</file>