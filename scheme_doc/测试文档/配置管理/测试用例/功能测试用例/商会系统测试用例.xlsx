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5621"/>
</workbook>
</file>

<file path=xl/calcChain.xml><?xml version="1.0" encoding="utf-8"?>
<calcChain xmlns="http://schemas.openxmlformats.org/spreadsheetml/2006/main">
  <c r="L6" i="1" l="1"/>
  <c r="L5" i="1"/>
  <c r="L4" i="1"/>
  <c r="M3" i="1"/>
  <c r="L3" i="1"/>
  <c r="P6" i="1"/>
  <c r="O6" i="1"/>
  <c r="N6" i="1"/>
  <c r="M6" i="1"/>
  <c r="P5" i="1"/>
  <c r="O5" i="1"/>
  <c r="N5" i="1"/>
  <c r="M5" i="1"/>
  <c r="P4" i="1"/>
  <c r="O4" i="1"/>
  <c r="N4" i="1"/>
  <c r="M4" i="1"/>
  <c r="P3" i="1"/>
  <c r="O3" i="1"/>
  <c r="N3" i="1"/>
  <c r="P2" i="1" l="1"/>
  <c r="O2" i="1"/>
  <c r="M2" i="1"/>
  <c r="N2" i="1"/>
  <c r="L2" i="1"/>
</calcChain>
</file>

<file path=xl/sharedStrings.xml><?xml version="1.0" encoding="utf-8"?>
<sst xmlns="http://schemas.openxmlformats.org/spreadsheetml/2006/main" count="1268" uniqueCount="733">
  <si>
    <t>测试输入序列</t>
  </si>
  <si>
    <t>Bug</t>
    <phoneticPr fontId="2" type="noConversion"/>
  </si>
  <si>
    <t>修改时间</t>
    <phoneticPr fontId="2" type="noConversion"/>
  </si>
  <si>
    <t>修改人</t>
    <phoneticPr fontId="2" type="noConversion"/>
  </si>
  <si>
    <t>案例编码</t>
    <phoneticPr fontId="2" type="noConversion"/>
  </si>
  <si>
    <t>修改内容</t>
    <phoneticPr fontId="2" type="noConversion"/>
  </si>
  <si>
    <t xml:space="preserve">设 计 人 : </t>
    <phoneticPr fontId="2" type="noConversion"/>
  </si>
  <si>
    <t>暂不处理</t>
    <phoneticPr fontId="2" type="noConversion"/>
  </si>
  <si>
    <t>主要功能分类</t>
    <phoneticPr fontId="2" type="noConversion"/>
  </si>
  <si>
    <t>测试记录</t>
    <phoneticPr fontId="2" type="noConversion"/>
  </si>
  <si>
    <t>备注</t>
    <phoneticPr fontId="1" type="noConversion"/>
  </si>
  <si>
    <t>Case总量</t>
    <phoneticPr fontId="2" type="noConversion"/>
  </si>
  <si>
    <t>设计时间 :</t>
    <phoneticPr fontId="2" type="noConversion"/>
  </si>
  <si>
    <t>需程序自测</t>
    <phoneticPr fontId="2" type="noConversion"/>
  </si>
  <si>
    <t>子功能测试序列</t>
    <phoneticPr fontId="2" type="noConversion"/>
  </si>
  <si>
    <t>测试时间</t>
    <phoneticPr fontId="2" type="noConversion"/>
  </si>
  <si>
    <t>P</t>
    <phoneticPr fontId="2" type="noConversion"/>
  </si>
  <si>
    <t>程    序 ：</t>
    <phoneticPr fontId="2" type="noConversion"/>
  </si>
  <si>
    <t>需策划评估</t>
    <phoneticPr fontId="2" type="noConversion"/>
  </si>
  <si>
    <t>测试序列分类</t>
    <phoneticPr fontId="2" type="noConversion"/>
  </si>
  <si>
    <t>测试版本</t>
    <phoneticPr fontId="2" type="noConversion"/>
  </si>
  <si>
    <t>F</t>
    <phoneticPr fontId="2" type="noConversion"/>
  </si>
  <si>
    <t>策    划 ：</t>
    <phoneticPr fontId="2" type="noConversion"/>
  </si>
  <si>
    <t>补充说明</t>
    <phoneticPr fontId="2" type="noConversion"/>
  </si>
  <si>
    <t>附录_工作检查点</t>
    <phoneticPr fontId="2" type="noConversion"/>
  </si>
  <si>
    <t>测试人员</t>
    <phoneticPr fontId="2" type="noConversion"/>
  </si>
  <si>
    <t>B</t>
    <phoneticPr fontId="2" type="noConversion"/>
  </si>
  <si>
    <t>/</t>
    <phoneticPr fontId="2" type="noConversion"/>
  </si>
  <si>
    <t>子功能名称</t>
    <phoneticPr fontId="6" type="noConversion"/>
  </si>
  <si>
    <t>案例编号</t>
    <phoneticPr fontId="6" type="noConversion"/>
  </si>
  <si>
    <t>预期结果</t>
    <phoneticPr fontId="6" type="noConversion"/>
  </si>
  <si>
    <t>程序自测</t>
    <phoneticPr fontId="6" type="noConversion"/>
  </si>
  <si>
    <t>策划评估</t>
    <phoneticPr fontId="6" type="noConversion"/>
  </si>
  <si>
    <r>
      <t>说明：添加或修改测试序列，请使用</t>
    </r>
    <r>
      <rPr>
        <sz val="10"/>
        <color rgb="FF0000FF"/>
        <rFont val="微软雅黑"/>
        <family val="2"/>
        <charset val="134"/>
      </rPr>
      <t>蓝字</t>
    </r>
    <r>
      <rPr>
        <sz val="10"/>
        <color theme="1"/>
        <rFont val="微软雅黑"/>
        <family val="2"/>
        <charset val="134"/>
      </rPr>
      <t>标注，有疑问的测试序列请使用</t>
    </r>
    <r>
      <rPr>
        <sz val="10"/>
        <color rgb="FFFF0000"/>
        <rFont val="微软雅黑"/>
        <family val="2"/>
        <charset val="134"/>
      </rPr>
      <t>红字</t>
    </r>
    <r>
      <rPr>
        <sz val="10"/>
        <color theme="1"/>
        <rFont val="微软雅黑"/>
        <family val="2"/>
        <charset val="134"/>
      </rPr>
      <t>标注。</t>
    </r>
    <phoneticPr fontId="2" type="noConversion"/>
  </si>
  <si>
    <r>
      <t>一、执行情况
Case总量 283</t>
    </r>
    <r>
      <rPr>
        <sz val="10"/>
        <color theme="1"/>
        <rFont val="微软雅黑"/>
        <family val="2"/>
        <charset val="134"/>
      </rPr>
      <t xml:space="preserve">
P</t>
    </r>
    <r>
      <rPr>
        <sz val="10"/>
        <rFont val="微软雅黑"/>
        <family val="2"/>
        <charset val="134"/>
      </rPr>
      <t xml:space="preserve">  </t>
    </r>
    <r>
      <rPr>
        <sz val="10"/>
        <color theme="1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78</t>
    </r>
    <r>
      <rPr>
        <sz val="10"/>
        <color theme="1"/>
        <rFont val="微软雅黑"/>
        <family val="2"/>
        <charset val="134"/>
      </rPr>
      <t xml:space="preserve">
F</t>
    </r>
    <r>
      <rPr>
        <sz val="10"/>
        <rFont val="微软雅黑"/>
        <family val="2"/>
        <charset val="134"/>
      </rPr>
      <t xml:space="preserve">  5</t>
    </r>
    <r>
      <rPr>
        <sz val="10"/>
        <color theme="1"/>
        <rFont val="微软雅黑"/>
        <family val="2"/>
        <charset val="134"/>
      </rPr>
      <t xml:space="preserve">
B</t>
    </r>
    <r>
      <rPr>
        <sz val="10"/>
        <rFont val="微软雅黑"/>
        <family val="2"/>
        <charset val="134"/>
      </rPr>
      <t xml:space="preserve">  0</t>
    </r>
    <r>
      <rPr>
        <sz val="10"/>
        <color theme="1"/>
        <rFont val="微软雅黑"/>
        <family val="2"/>
        <charset val="134"/>
      </rPr>
      <t xml:space="preserve">
/</t>
    </r>
    <r>
      <rPr>
        <sz val="10"/>
        <rFont val="微软雅黑"/>
        <family val="2"/>
        <charset val="134"/>
      </rPr>
      <t xml:space="preserve">  0</t>
    </r>
    <r>
      <rPr>
        <sz val="10"/>
        <color theme="1"/>
        <rFont val="微软雅黑"/>
        <family val="2"/>
        <charset val="134"/>
      </rPr>
      <t xml:space="preserve">
Bug</t>
    </r>
    <r>
      <rPr>
        <sz val="10"/>
        <rFont val="微软雅黑"/>
        <family val="2"/>
        <charset val="134"/>
      </rPr>
      <t xml:space="preserve">  4
</t>
    </r>
    <r>
      <rPr>
        <sz val="10"/>
        <color theme="1"/>
        <rFont val="微软雅黑"/>
        <family val="2"/>
        <charset val="134"/>
      </rPr>
      <t xml:space="preserve">
二、系统完成度评估
已完成:</t>
    </r>
    <r>
      <rPr>
        <sz val="10"/>
        <rFont val="微软雅黑"/>
        <family val="2"/>
        <charset val="134"/>
      </rPr>
      <t>98.23</t>
    </r>
    <r>
      <rPr>
        <sz val="10"/>
        <color theme="1"/>
        <rFont val="微软雅黑"/>
        <family val="2"/>
        <charset val="134"/>
      </rPr>
      <t>%
三、近期需要完成的功能:
无
非近期需要完成的功能:
无
四、Bug分布
功能性Bug：</t>
    </r>
    <r>
      <rPr>
        <sz val="10"/>
        <rFont val="微软雅黑"/>
        <family val="2"/>
        <charset val="134"/>
      </rPr>
      <t>25</t>
    </r>
    <r>
      <rPr>
        <sz val="10"/>
        <color theme="1"/>
        <rFont val="微软雅黑"/>
        <family val="2"/>
        <charset val="134"/>
      </rPr>
      <t>%
界面Bug：</t>
    </r>
    <r>
      <rPr>
        <sz val="10"/>
        <rFont val="微软雅黑"/>
        <family val="2"/>
        <charset val="134"/>
      </rPr>
      <t>75</t>
    </r>
    <r>
      <rPr>
        <sz val="10"/>
        <color theme="1"/>
        <rFont val="微软雅黑"/>
        <family val="2"/>
        <charset val="134"/>
      </rPr>
      <t>%
五、较严重的Bug
无</t>
    </r>
    <phoneticPr fontId="2" type="noConversion"/>
  </si>
  <si>
    <r>
      <t>测试结果(</t>
    </r>
    <r>
      <rPr>
        <sz val="10"/>
        <color rgb="FF0000FF"/>
        <rFont val="微软雅黑"/>
        <family val="2"/>
        <charset val="134"/>
      </rPr>
      <t>P</t>
    </r>
    <r>
      <rPr>
        <sz val="10"/>
        <color theme="1"/>
        <rFont val="微软雅黑"/>
        <family val="2"/>
        <charset val="134"/>
      </rPr>
      <t>/</t>
    </r>
    <r>
      <rPr>
        <sz val="10"/>
        <color rgb="FFFF0000"/>
        <rFont val="微软雅黑"/>
        <family val="2"/>
        <charset val="134"/>
      </rPr>
      <t>F</t>
    </r>
    <r>
      <rPr>
        <sz val="10"/>
        <color theme="1"/>
        <rFont val="微软雅黑"/>
        <family val="2"/>
        <charset val="134"/>
      </rPr>
      <t>)</t>
    </r>
    <phoneticPr fontId="1" type="noConversion"/>
  </si>
  <si>
    <t>资料来源:</t>
    <phoneticPr fontId="1" type="noConversion"/>
  </si>
  <si>
    <t>系统提示信息示意图</t>
    <phoneticPr fontId="1" type="noConversion"/>
  </si>
  <si>
    <t>商会系统测试用例</t>
    <phoneticPr fontId="2" type="noConversion"/>
  </si>
  <si>
    <t>周学强</t>
    <phoneticPr fontId="1" type="noConversion"/>
  </si>
  <si>
    <t>刘庚/梁雁鹏</t>
    <phoneticPr fontId="1" type="noConversion"/>
  </si>
  <si>
    <t>一、入口&amp;出口</t>
    <phoneticPr fontId="6" type="noConversion"/>
  </si>
  <si>
    <t>二、UI界面</t>
    <phoneticPr fontId="2" type="noConversion"/>
  </si>
  <si>
    <t>三、商会交易</t>
    <phoneticPr fontId="2" type="noConversion"/>
  </si>
  <si>
    <t>MT-G-SH-001</t>
    <phoneticPr fontId="1" type="noConversion"/>
  </si>
  <si>
    <t>MT-G-SH-002</t>
  </si>
  <si>
    <t>MT-G-SH-003</t>
  </si>
  <si>
    <t>MT-G-SH-004</t>
  </si>
  <si>
    <t>MT-G-SH-005</t>
  </si>
  <si>
    <t>入口</t>
    <phoneticPr fontId="1" type="noConversion"/>
  </si>
  <si>
    <t>打开商会界面</t>
  </si>
  <si>
    <t>1、非战斗时点击主界面左上角【商城】按钮
2、查看</t>
    <phoneticPr fontId="1" type="noConversion"/>
  </si>
  <si>
    <t>1、战斗时点击战斗界面左上角菜单中的【商城】按钮
2、查看</t>
    <phoneticPr fontId="1" type="noConversion"/>
  </si>
  <si>
    <t>MT-G-SH-006</t>
  </si>
  <si>
    <t>1、点击背包中可商会出售的道具【更多】-【商会出售】按钮
2、查看</t>
    <phoneticPr fontId="1" type="noConversion"/>
  </si>
  <si>
    <t>打开商会便捷出售界面</t>
    <phoneticPr fontId="1" type="noConversion"/>
  </si>
  <si>
    <t>便捷出售界面</t>
    <phoneticPr fontId="1" type="noConversion"/>
  </si>
  <si>
    <t>MT-G-SH-007</t>
  </si>
  <si>
    <t>打开商会界面</t>
    <phoneticPr fontId="1" type="noConversion"/>
  </si>
  <si>
    <t>MT-G-SH-008</t>
  </si>
  <si>
    <t>MT-G-SH-010</t>
  </si>
  <si>
    <t>1、点击【强化】-【打造】-【打造图纸】-【获取途径】-【商会】
2、查看</t>
    <phoneticPr fontId="1" type="noConversion"/>
  </si>
  <si>
    <t>1、点击【强化】-【打造】-【泰坦精铁】-【获取途径】-【商会】
2、查看</t>
    <phoneticPr fontId="1" type="noConversion"/>
  </si>
  <si>
    <t>1、点击商会界面右上角【X】
2、查看</t>
    <phoneticPr fontId="1" type="noConversion"/>
  </si>
  <si>
    <t>商会界面关闭</t>
    <phoneticPr fontId="1" type="noConversion"/>
  </si>
  <si>
    <t>MT-G-SH-011</t>
  </si>
  <si>
    <t>MT-G-SH-012</t>
  </si>
  <si>
    <t>MT-G-SH-013</t>
  </si>
  <si>
    <t>MT-G-SH-014</t>
  </si>
  <si>
    <t>初始默认选中【我要购买】按钮</t>
    <phoneticPr fontId="1" type="noConversion"/>
  </si>
  <si>
    <t>默认显示1级宝石商品栏</t>
    <phoneticPr fontId="1" type="noConversion"/>
  </si>
  <si>
    <t>MT-G-SH-017</t>
  </si>
  <si>
    <t>MT-G-SH-018</t>
  </si>
  <si>
    <t>MT-G-SH-019</t>
  </si>
  <si>
    <t>MT-G-SH-020</t>
  </si>
  <si>
    <t>MT-G-SH-021</t>
  </si>
  <si>
    <t>MT-G-SH-022</t>
  </si>
  <si>
    <t>title显示“商会”</t>
    <phoneticPr fontId="1" type="noConversion"/>
  </si>
  <si>
    <t>左上部分一次显示按钮【我要购买】【我要出售】</t>
    <phoneticPr fontId="1" type="noConversion"/>
  </si>
  <si>
    <t>中间部分显示商品区域</t>
    <phoneticPr fontId="1" type="noConversion"/>
  </si>
  <si>
    <t>右边部分显示商品描述区域</t>
    <phoneticPr fontId="1" type="noConversion"/>
  </si>
  <si>
    <t>商品描述区域下面是价格涨跌显示区域</t>
    <phoneticPr fontId="1" type="noConversion"/>
  </si>
  <si>
    <t>价格涨跌显示区域下面是数量选择区域</t>
    <phoneticPr fontId="1" type="noConversion"/>
  </si>
  <si>
    <t>数量选择区域下面是货币显示区域</t>
    <phoneticPr fontId="1" type="noConversion"/>
  </si>
  <si>
    <t>货币显示区域下面显示【购买】按钮</t>
    <phoneticPr fontId="1" type="noConversion"/>
  </si>
  <si>
    <t>MT-G-SH-023</t>
  </si>
  <si>
    <t>MT-G-SH-024</t>
  </si>
  <si>
    <t>MT-G-SH-025</t>
  </si>
  <si>
    <t>MT-G-SH-026</t>
  </si>
  <si>
    <t>查看商品分类区域</t>
    <phoneticPr fontId="1" type="noConversion"/>
  </si>
  <si>
    <t>MT-G-SH-027</t>
  </si>
  <si>
    <t>MT-G-SH-028</t>
  </si>
  <si>
    <t>MT-G-SH-029</t>
  </si>
  <si>
    <t>MT-G-SH-030</t>
  </si>
  <si>
    <t>MT-G-SH-031</t>
  </si>
  <si>
    <t>MT-G-SH-032</t>
  </si>
  <si>
    <t>MT-G-SH-033</t>
  </si>
  <si>
    <t>MT-G-SH-034</t>
  </si>
  <si>
    <t>MT-G-SH-035</t>
  </si>
  <si>
    <t>MT-G-SH-036</t>
  </si>
  <si>
    <t>共2级，第一级菜单为大类，有宝石、装备、宠物、其他</t>
    <phoneticPr fontId="1" type="noConversion"/>
  </si>
  <si>
    <t>第二级为更细的道具分类</t>
    <phoneticPr fontId="1" type="noConversion"/>
  </si>
  <si>
    <t>如果有其他已经展开，则其他分类收起</t>
    <phoneticPr fontId="1" type="noConversion"/>
  </si>
  <si>
    <t>保证同时只有一类展开，再次点击收起</t>
    <phoneticPr fontId="1" type="noConversion"/>
  </si>
  <si>
    <t>查看商品区域</t>
    <phoneticPr fontId="1" type="noConversion"/>
  </si>
  <si>
    <t>道具图标处根据道具等级显示等级数据：LV.XX，物品无等级则不显示</t>
    <phoneticPr fontId="1" type="noConversion"/>
  </si>
  <si>
    <t>商品选中时底框高亮</t>
    <phoneticPr fontId="1" type="noConversion"/>
  </si>
  <si>
    <t>售空后在商品左上角显示“售空”角标字样</t>
    <phoneticPr fontId="1" type="noConversion"/>
  </si>
  <si>
    <t>查看商品描述区域</t>
    <phoneticPr fontId="1" type="noConversion"/>
  </si>
  <si>
    <t>如果道具有限购，则显示限购信息：已购买数量和限购数量</t>
    <phoneticPr fontId="1" type="noConversion"/>
  </si>
  <si>
    <t>查看价格涨跌显示区域</t>
    <phoneticPr fontId="1" type="noConversion"/>
  </si>
  <si>
    <t>下跌时显示红色向下箭头和数字</t>
    <phoneticPr fontId="1" type="noConversion"/>
  </si>
  <si>
    <t>显示当前物品价格涨跌情况</t>
    <phoneticPr fontId="1" type="noConversion"/>
  </si>
  <si>
    <t>上涨时显示绿色向上箭头和数字</t>
    <phoneticPr fontId="1" type="noConversion"/>
  </si>
  <si>
    <t>涨跌数值格式为百分百，精确到1位小数点</t>
    <phoneticPr fontId="1" type="noConversion"/>
  </si>
  <si>
    <t>不跌不涨则显示“-”符号表示</t>
    <phoneticPr fontId="1" type="noConversion"/>
  </si>
  <si>
    <t>默认不选中商品时右侧显示文字：“在左侧选择想要的商品吧”</t>
    <phoneticPr fontId="1" type="noConversion"/>
  </si>
  <si>
    <t>MT-G-SH-037</t>
  </si>
  <si>
    <t>MT-G-SH-038</t>
  </si>
  <si>
    <t>MT-G-SH-039</t>
  </si>
  <si>
    <t>MT-G-SH-040</t>
  </si>
  <si>
    <t>MT-G-SH-041</t>
  </si>
  <si>
    <t>MT-G-SH-042</t>
  </si>
  <si>
    <t>MT-G-SH-043</t>
  </si>
  <si>
    <t>MT-G-SH-044</t>
  </si>
  <si>
    <t>MT-G-SH-045</t>
  </si>
  <si>
    <t>MT-G-SH-046</t>
  </si>
  <si>
    <t>MT-G-SH-047</t>
  </si>
  <si>
    <t>查看数量选择区域</t>
    <phoneticPr fontId="1" type="noConversion"/>
  </si>
  <si>
    <t>查看货币显示区域</t>
    <phoneticPr fontId="1" type="noConversion"/>
  </si>
  <si>
    <t>点击输入框后可以弹出小键盘</t>
    <phoneticPr fontId="1" type="noConversion"/>
  </si>
  <si>
    <t>商城默认不选中商品，未选中商品时花费为0，选中后花费为当前商品价格</t>
    <phoneticPr fontId="1" type="noConversion"/>
  </si>
  <si>
    <t>拥有货币数量小于花费货币数量，花费货币数量显示为红色数字</t>
    <phoneticPr fontId="1" type="noConversion"/>
  </si>
  <si>
    <t>拥有货币数量和背包货币数量显示相同</t>
    <phoneticPr fontId="1" type="noConversion"/>
  </si>
  <si>
    <t>货币显示千分位</t>
    <phoneticPr fontId="1" type="noConversion"/>
  </si>
  <si>
    <t>花费/拥有文字+货币图标+数量</t>
    <phoneticPr fontId="1" type="noConversion"/>
  </si>
  <si>
    <t>MT-G-SH-048</t>
  </si>
  <si>
    <t>MT-G-SH-049</t>
  </si>
  <si>
    <t>查看商会我要出售界面</t>
    <phoneticPr fontId="1" type="noConversion"/>
  </si>
  <si>
    <t>查看商会我要购买界面</t>
    <phoneticPr fontId="1" type="noConversion"/>
  </si>
  <si>
    <t>MT-G-SH-050</t>
  </si>
  <si>
    <t>MT-G-SH-051</t>
  </si>
  <si>
    <t>MT-G-SH-052</t>
  </si>
  <si>
    <t>MT-G-SH-053</t>
  </si>
  <si>
    <t>MT-G-SH-054</t>
  </si>
  <si>
    <t>MT-G-SH-055</t>
  </si>
  <si>
    <t>MT-G-SH-056</t>
  </si>
  <si>
    <t>MT-G-SH-057</t>
  </si>
  <si>
    <t>MT-G-SH-058</t>
  </si>
  <si>
    <t>左半部分为背包中可出售商品显示区域</t>
    <phoneticPr fontId="1" type="noConversion"/>
  </si>
  <si>
    <t>右上半部分为商品描述区域</t>
    <phoneticPr fontId="1" type="noConversion"/>
  </si>
  <si>
    <t>货币显示区域下面显示【出售】按钮</t>
    <phoneticPr fontId="1" type="noConversion"/>
  </si>
  <si>
    <t>MT-G-SH-059</t>
  </si>
  <si>
    <t>MT-G-SH-060</t>
  </si>
  <si>
    <t>MT-G-SH-061</t>
  </si>
  <si>
    <t>MT-G-SH-063</t>
  </si>
  <si>
    <t>查看可出售商品区域</t>
    <phoneticPr fontId="1" type="noConversion"/>
  </si>
  <si>
    <t>每排显示6个商品</t>
    <phoneticPr fontId="1" type="noConversion"/>
  </si>
  <si>
    <t>出售区域可以上下拖拽</t>
    <phoneticPr fontId="1" type="noConversion"/>
  </si>
  <si>
    <t>MT-G-SH-064</t>
  </si>
  <si>
    <t>MT-G-SH-065</t>
  </si>
  <si>
    <t>MT-G-SH-066</t>
  </si>
  <si>
    <t>默认不选中任何道具</t>
    <phoneticPr fontId="1" type="noConversion"/>
  </si>
  <si>
    <t>出售完一个道具后置回初始状态</t>
    <phoneticPr fontId="1" type="noConversion"/>
  </si>
  <si>
    <t>未售完选中道具时依然保持选中状态</t>
    <phoneticPr fontId="1" type="noConversion"/>
  </si>
  <si>
    <t>MT-G-SH-067</t>
  </si>
  <si>
    <t>MT-G-SH-068</t>
  </si>
  <si>
    <t>MT-G-SH-069</t>
  </si>
  <si>
    <t>MT-G-SH-070</t>
  </si>
  <si>
    <t>MT-G-SH-071</t>
  </si>
  <si>
    <t>售价/拥有文字+货币图标+数量</t>
    <phoneticPr fontId="1" type="noConversion"/>
  </si>
  <si>
    <t>商城默认不选中商品，未选中商品时售价为0，选中后售价为当前商品价格的5/6</t>
    <phoneticPr fontId="1" type="noConversion"/>
  </si>
  <si>
    <t>显示道具效果、功能效果描述、剧情描述，道具没有此数据则不显示</t>
    <phoneticPr fontId="1" type="noConversion"/>
  </si>
  <si>
    <t>默认不选中商品时右侧显示文字：“在左侧选择想卖的商品吧”</t>
    <phoneticPr fontId="1" type="noConversion"/>
  </si>
  <si>
    <t>MT-G-SH-062</t>
  </si>
  <si>
    <t>MT-G-SH-073</t>
  </si>
  <si>
    <t>MT-G-SH-074</t>
  </si>
  <si>
    <t>查看商会便捷出售界面</t>
    <phoneticPr fontId="1" type="noConversion"/>
  </si>
  <si>
    <t>上面部分显示：商品图标+名称+类型</t>
    <phoneticPr fontId="1" type="noConversion"/>
  </si>
  <si>
    <t>中间部分显示商品描述</t>
    <phoneticPr fontId="1" type="noConversion"/>
  </si>
  <si>
    <t>数量【-】输入框【+】</t>
    <phoneticPr fontId="1" type="noConversion"/>
  </si>
  <si>
    <t>出售数量【-】输入框【+】</t>
    <phoneticPr fontId="1" type="noConversion"/>
  </si>
  <si>
    <t>商品总价+货币图标+数量</t>
    <phoneticPr fontId="1" type="noConversion"/>
  </si>
  <si>
    <t>我的银币+图标+数量</t>
    <phoneticPr fontId="1" type="noConversion"/>
  </si>
  <si>
    <t>【出售】按钮</t>
    <phoneticPr fontId="1" type="noConversion"/>
  </si>
  <si>
    <t>购买</t>
    <phoneticPr fontId="1" type="noConversion"/>
  </si>
  <si>
    <t>出售</t>
    <phoneticPr fontId="1" type="noConversion"/>
  </si>
  <si>
    <t>MT-G-SH-075</t>
  </si>
  <si>
    <t>MT-G-SH-076</t>
  </si>
  <si>
    <t>MT-G-SH-077</t>
  </si>
  <si>
    <t>MT-G-SH-078</t>
  </si>
  <si>
    <t>MT-G-SH-079</t>
  </si>
  <si>
    <t>MT-G-SH-080</t>
  </si>
  <si>
    <t>MT-G-SH-081</t>
  </si>
  <si>
    <t>MT-G-SH-082</t>
  </si>
  <si>
    <t>MT-G-SH-083</t>
  </si>
  <si>
    <t>MT-G-SH-084</t>
  </si>
  <si>
    <t>MT-G-SH-085</t>
  </si>
  <si>
    <t>MT-G-SH-086</t>
  </si>
  <si>
    <t>MT-G-SH-087</t>
  </si>
  <si>
    <t>MT-G-SH-088</t>
  </si>
  <si>
    <t>MT-G-SH-089</t>
  </si>
  <si>
    <t>MT-G-SH-090</t>
  </si>
  <si>
    <t>MT-G-SH-091</t>
  </si>
  <si>
    <t>MT-G-SH-092</t>
  </si>
  <si>
    <t>MT-G-SH-094</t>
  </si>
  <si>
    <t>MT-G-SH-095</t>
  </si>
  <si>
    <t>MT-G-SH-096</t>
  </si>
  <si>
    <t>MT-G-SH-097</t>
  </si>
  <si>
    <t>MT-G-SH-098</t>
  </si>
  <si>
    <t>MT-G-SH-099</t>
  </si>
  <si>
    <t>MT-G-SH-101</t>
  </si>
  <si>
    <t>MT-G-SH-103</t>
  </si>
  <si>
    <t>MT-G-SH-104</t>
  </si>
  <si>
    <t>MT-G-SH-105</t>
  </si>
  <si>
    <t>MT-G-SH-106</t>
  </si>
  <si>
    <t>MT-G-SH-107</t>
  </si>
  <si>
    <t>MT-G-SH-109</t>
  </si>
  <si>
    <t>MT-G-SH-110</t>
  </si>
  <si>
    <t>MT-G-SH-111</t>
  </si>
  <si>
    <t>MT-G-SH-112</t>
  </si>
  <si>
    <t>MT-G-SH-113</t>
  </si>
  <si>
    <t>MT-G-SH-114</t>
  </si>
  <si>
    <t>MT-G-SH-115</t>
  </si>
  <si>
    <t>DB存储</t>
    <phoneticPr fontId="1" type="noConversion"/>
  </si>
  <si>
    <t>特殊操作</t>
    <phoneticPr fontId="1" type="noConversion"/>
  </si>
  <si>
    <t>系统提示：“今日购买的数量已达上限”</t>
    <phoneticPr fontId="1" type="noConversion"/>
  </si>
  <si>
    <t>购买不成功</t>
    <phoneticPr fontId="1" type="noConversion"/>
  </si>
  <si>
    <t>数量输入成功</t>
    <phoneticPr fontId="1" type="noConversion"/>
  </si>
  <si>
    <t>数量输入失败</t>
    <phoneticPr fontId="1" type="noConversion"/>
  </si>
  <si>
    <t>系统提示：“输入数字超出范围！”</t>
    <phoneticPr fontId="1" type="noConversion"/>
  </si>
  <si>
    <t>四、周期刷新</t>
    <phoneticPr fontId="2" type="noConversion"/>
  </si>
  <si>
    <t>五、价格涨跌</t>
    <phoneticPr fontId="2" type="noConversion"/>
  </si>
  <si>
    <t>六、特殊操作</t>
    <phoneticPr fontId="2" type="noConversion"/>
  </si>
  <si>
    <t>七、DB存储</t>
    <phoneticPr fontId="2" type="noConversion"/>
  </si>
  <si>
    <t>使用金币代替数量xxx金币</t>
    <phoneticPr fontId="1" type="noConversion"/>
  </si>
  <si>
    <t>使用符石兑换xxx符石</t>
    <phoneticPr fontId="1" type="noConversion"/>
  </si>
  <si>
    <t>系统提示：“您出售了1个xxx，获得yyyy银币  今日还可出售zzzz个”</t>
    <phoneticPr fontId="1" type="noConversion"/>
  </si>
  <si>
    <t>获得货币数量正确</t>
    <phoneticPr fontId="1" type="noConversion"/>
  </si>
  <si>
    <t>商品消失</t>
    <phoneticPr fontId="1" type="noConversion"/>
  </si>
  <si>
    <t>播放银币图标进入背包的动画</t>
    <phoneticPr fontId="1" type="noConversion"/>
  </si>
  <si>
    <t>系统提示：“背包空间不足”</t>
    <phoneticPr fontId="1" type="noConversion"/>
  </si>
  <si>
    <t>1、背包已满，购买商品
2、查看</t>
    <phoneticPr fontId="1" type="noConversion"/>
  </si>
  <si>
    <t>购买不能够</t>
    <phoneticPr fontId="1" type="noConversion"/>
  </si>
  <si>
    <t>1、货币已达到上限，出售商品
2、查看</t>
    <phoneticPr fontId="1" type="noConversion"/>
  </si>
  <si>
    <t>出售成功</t>
    <phoneticPr fontId="1" type="noConversion"/>
  </si>
  <si>
    <t>没有获得货币</t>
    <phoneticPr fontId="1" type="noConversion"/>
  </si>
  <si>
    <t>系统提示：“你身上的货币已达到上限，无法继续获得”</t>
    <phoneticPr fontId="1" type="noConversion"/>
  </si>
  <si>
    <t>系统提示：“您出售了1个xxx（道具名称），获得yyyy银币    今日还可出售xx个”</t>
    <phoneticPr fontId="1" type="noConversion"/>
  </si>
  <si>
    <t>MT-G-SH-120</t>
  </si>
  <si>
    <t>MT-G-SH-121</t>
  </si>
  <si>
    <t>MT-G-SH-122</t>
  </si>
  <si>
    <t>MT-G-SH-123</t>
  </si>
  <si>
    <t>MT-G-SH-124</t>
  </si>
  <si>
    <t>MT-G-SH-126</t>
  </si>
  <si>
    <t>MT-G-SH-127</t>
  </si>
  <si>
    <t>MT-G-SH-128</t>
  </si>
  <si>
    <t>MT-G-SH-129</t>
  </si>
  <si>
    <t>MT-G-SH-130</t>
  </si>
  <si>
    <t>MT-G-SH-131</t>
  </si>
  <si>
    <t>MT-G-SH-132</t>
  </si>
  <si>
    <t>MT-G-SH-133</t>
  </si>
  <si>
    <t>MT-G-SH-134</t>
  </si>
  <si>
    <t>MT-G-SH-135</t>
  </si>
  <si>
    <t>MT-G-SH-136</t>
  </si>
  <si>
    <t>MT-G-SH-138</t>
  </si>
  <si>
    <t>MT-G-SH-139</t>
  </si>
  <si>
    <t>MT-G-SH-140</t>
  </si>
  <si>
    <t>MT-G-SH-141</t>
  </si>
  <si>
    <t>MT-G-SH-142</t>
  </si>
  <si>
    <t>MT-G-SH-143</t>
  </si>
  <si>
    <t>MT-G-SH-144</t>
  </si>
  <si>
    <t>MT-G-SH-145</t>
  </si>
  <si>
    <t>MT-G-SH-146</t>
  </si>
  <si>
    <t>MT-G-SH-147</t>
  </si>
  <si>
    <t>MT-G-SH-148</t>
  </si>
  <si>
    <t>MT-G-SH-149</t>
  </si>
  <si>
    <t>MT-G-SH-150</t>
  </si>
  <si>
    <t>MT-G-SH-151</t>
  </si>
  <si>
    <t>MT-G-SH-152</t>
  </si>
  <si>
    <t>商品购买成功</t>
    <phoneticPr fontId="1" type="noConversion"/>
  </si>
  <si>
    <t>1、购买商品后断线重连
2、查看</t>
    <phoneticPr fontId="1" type="noConversion"/>
  </si>
  <si>
    <t>1、购买商品后服务器关闭后重新启动，上线后
2、查看</t>
    <phoneticPr fontId="1" type="noConversion"/>
  </si>
  <si>
    <t>1、购买商品后服务器宕机后重新启动，上线后
2、查看</t>
    <phoneticPr fontId="1" type="noConversion"/>
  </si>
  <si>
    <t>1、购买商品后服务器崩溃后重新启动，上线后
2、查看</t>
    <phoneticPr fontId="1" type="noConversion"/>
  </si>
  <si>
    <t>MT-G-SH-154</t>
  </si>
  <si>
    <t>MT-G-SH-155</t>
  </si>
  <si>
    <t>MT-G-SH-156</t>
  </si>
  <si>
    <t>MT-G-SH-157</t>
  </si>
  <si>
    <t>MT-G-SH-158</t>
  </si>
  <si>
    <t>MT-G-SH-159</t>
  </si>
  <si>
    <t>MT-G-SH-161</t>
  </si>
  <si>
    <t>MT-G-SH-162</t>
  </si>
  <si>
    <t>MT-G-SH-163</t>
  </si>
  <si>
    <t>MT-G-SH-164</t>
  </si>
  <si>
    <t>MT-G-SH-166</t>
  </si>
  <si>
    <t>MT-G-SH-168</t>
  </si>
  <si>
    <t>MT-G-SH-169</t>
  </si>
  <si>
    <t>MT-G-SH-170</t>
  </si>
  <si>
    <t>MT-G-SH-171</t>
  </si>
  <si>
    <t>1、出售商品后下线再上线
2、查看</t>
  </si>
  <si>
    <t>商品出售成功</t>
  </si>
  <si>
    <t>1、出售商品后断线重连
2、查看</t>
  </si>
  <si>
    <t>1、出售商品后服务器关闭后重新启动，上线后
2、查看</t>
  </si>
  <si>
    <t>1、出售商品后服务器崩溃后重新启动，上线后
2、查看</t>
  </si>
  <si>
    <t>1、出售商品后服务器宕机后重新启动，上线后
2、查看</t>
  </si>
  <si>
    <t>不会记录上次打开的分页、列表、商品选中状态</t>
    <phoneticPr fontId="1" type="noConversion"/>
  </si>
  <si>
    <t>1、选中某个商品后
2、切换账号后再上线
3、查看</t>
    <phoneticPr fontId="1" type="noConversion"/>
  </si>
  <si>
    <t>1、选中某个商品后
2、大退客户端后再上线
3、查看</t>
    <phoneticPr fontId="1" type="noConversion"/>
  </si>
  <si>
    <t>获得银币数量为购买花费银币数量的5/6</t>
    <phoneticPr fontId="1" type="noConversion"/>
  </si>
  <si>
    <t>1、商会出售界面选中商品xxx，数量1个
2、点击【出售】按钮
3、查看</t>
    <phoneticPr fontId="1" type="noConversion"/>
  </si>
  <si>
    <t>商会便捷出售界面关闭</t>
    <phoneticPr fontId="1" type="noConversion"/>
  </si>
  <si>
    <t>道具出售失败</t>
    <phoneticPr fontId="1" type="noConversion"/>
  </si>
  <si>
    <t>系统提示：“已达到出售上限，此物品每日出售上限xx个”</t>
    <phoneticPr fontId="1" type="noConversion"/>
  </si>
  <si>
    <t>1、商品出售已达上限
2、商会我要出售界面选中该商品，点击【出售】按钮
3、查看</t>
    <phoneticPr fontId="1" type="noConversion"/>
  </si>
  <si>
    <t>1、商品出售已达上限
2、背包中选中该商品，便捷出售
3、查看</t>
    <phoneticPr fontId="1" type="noConversion"/>
  </si>
  <si>
    <t>只有商会购买的道具，才可以出售</t>
    <phoneticPr fontId="1" type="noConversion"/>
  </si>
  <si>
    <t>查看商品的出售价格</t>
    <phoneticPr fontId="1" type="noConversion"/>
  </si>
  <si>
    <t>查看背包中可商会出售的商品</t>
    <phoneticPr fontId="1" type="noConversion"/>
  </si>
  <si>
    <t>出售价格=当前商品价格*5/6</t>
    <phoneticPr fontId="1" type="noConversion"/>
  </si>
  <si>
    <t>1级血精石价格为83,080</t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</si>
  <si>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3.8%（涨）</t>
    </r>
    <phoneticPr fontId="1" type="noConversion"/>
  </si>
  <si>
    <t>浮动价格3,080，周期24小时</t>
    <phoneticPr fontId="1" type="noConversion"/>
  </si>
  <si>
    <t>涨价涨跌-</t>
    <phoneticPr fontId="1" type="noConversion"/>
  </si>
  <si>
    <t>1级血精石价格为86,160</t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</si>
  <si>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3.7%（涨）</t>
    </r>
    <phoneticPr fontId="1" type="noConversion"/>
  </si>
  <si>
    <t>1、服务器开启第N天,玩家A购买M块1级血精石
2、24小时后(价格涨幅超过价格上限80,000*1.5)
3、查看</t>
    <phoneticPr fontId="1" type="noConversion"/>
  </si>
  <si>
    <t>1、服务器开启第N天,玩家A购买M块1级血精石
2、24小时后(价格涨跌超过价格下限80,000*0.6)
3、查看</t>
    <phoneticPr fontId="1" type="noConversion"/>
  </si>
  <si>
    <t>1级血精石价格为120,000</t>
    <phoneticPr fontId="1" type="noConversion"/>
  </si>
  <si>
    <t>1级血精石价格为48,000</t>
    <phoneticPr fontId="1" type="noConversion"/>
  </si>
  <si>
    <t>连续涨幅的话N为12</t>
    <phoneticPr fontId="1" type="noConversion"/>
  </si>
  <si>
    <t>连续涨跌的话N为10</t>
    <phoneticPr fontId="1" type="noConversion"/>
  </si>
  <si>
    <r>
      <t>涨价涨跌</t>
    </r>
    <r>
      <rPr>
        <b/>
        <sz val="10"/>
        <color rgb="FFFF0000"/>
        <rFont val="微软雅黑"/>
        <family val="2"/>
        <charset val="134"/>
      </rPr>
      <t>2.4%（跌）</t>
    </r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</si>
  <si>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2.5%（涨）</t>
    </r>
    <phoneticPr fontId="1" type="noConversion"/>
  </si>
  <si>
    <t>M&gt;0</t>
    <phoneticPr fontId="1" type="noConversion"/>
  </si>
  <si>
    <t>周期净成交量&gt;0</t>
    <phoneticPr fontId="1" type="noConversion"/>
  </si>
  <si>
    <t>价格涨跌</t>
    <phoneticPr fontId="1" type="noConversion"/>
  </si>
  <si>
    <t>商会价格涨跌</t>
    <phoneticPr fontId="1" type="noConversion"/>
  </si>
  <si>
    <t>本期价格/上一期价格-1（有正负值  正为涨   负为跌）</t>
    <phoneticPr fontId="1" type="noConversion"/>
  </si>
  <si>
    <t>周期净成交量</t>
    <phoneticPr fontId="1" type="noConversion"/>
  </si>
  <si>
    <t>每个周期内玩家的购买总量-每个周期内玩家出售总量</t>
    <phoneticPr fontId="1" type="noConversion"/>
  </si>
  <si>
    <t>商会价格涨跌百分比显示</t>
    <phoneticPr fontId="1" type="noConversion"/>
  </si>
  <si>
    <t>根据服务器计算出的值，不满1%的情况按照1%显示。（有正负值）</t>
    <phoneticPr fontId="1" type="noConversion"/>
  </si>
  <si>
    <t>涨跌比例精确到0.1%，四舍五入</t>
    <phoneticPr fontId="1" type="noConversion"/>
  </si>
  <si>
    <t>如果通过公式计算的结果为与上一期相同</t>
  </si>
  <si>
    <t>则在价格涨跌栏显示“—”表示持平</t>
    <phoneticPr fontId="1" type="noConversion"/>
  </si>
  <si>
    <t>如果通过公式计算的结果与上一期比较出现变化</t>
  </si>
  <si>
    <t>则在价格涨跌栏显示新的价格浮动数据</t>
    <phoneticPr fontId="1" type="noConversion"/>
  </si>
  <si>
    <t>MT-G-SH-119</t>
  </si>
  <si>
    <t>MT-G-SH-153</t>
  </si>
  <si>
    <t>MT-G-SH-173</t>
  </si>
  <si>
    <t>MT-G-SH-174</t>
  </si>
  <si>
    <t>MT-G-SH-175</t>
  </si>
  <si>
    <t>MT-G-SH-176</t>
  </si>
  <si>
    <t>MT-G-SH-178</t>
  </si>
  <si>
    <t>MT-G-SH-179</t>
  </si>
  <si>
    <t>MT-G-SH-180</t>
  </si>
  <si>
    <t>MT-G-SH-182</t>
  </si>
  <si>
    <t>MT-G-SH-183</t>
  </si>
  <si>
    <t>MT-G-SH-184</t>
  </si>
  <si>
    <t>MT-G-SH-185</t>
  </si>
  <si>
    <t>MT-G-SH-186</t>
  </si>
  <si>
    <t>1、购买商品后下线再上线
2、查看</t>
    <phoneticPr fontId="1" type="noConversion"/>
  </si>
  <si>
    <t>1、价格浮动后下线再上线
2、查看</t>
  </si>
  <si>
    <t>1、价格浮动后断线重连
2、查看</t>
  </si>
  <si>
    <t>1、价格浮动后服务器关闭后重新启动，上线后
2、查看</t>
  </si>
  <si>
    <t>1、价格浮动后服务器崩溃后重新启动，上线后
2、查看</t>
  </si>
  <si>
    <t>1、价格浮动后服务器宕机后重新启动，上线后
2、查看</t>
  </si>
  <si>
    <t>价格浮动成功</t>
  </si>
  <si>
    <t>价格浮动成功</t>
    <phoneticPr fontId="1" type="noConversion"/>
  </si>
  <si>
    <t>价格浮动成功</t>
    <phoneticPr fontId="1" type="noConversion"/>
  </si>
  <si>
    <t>1、商品价格浮动后
2、查看便捷购买界面商品价格</t>
    <phoneticPr fontId="1" type="noConversion"/>
  </si>
  <si>
    <t>便捷购买界面商品价格为价格涨幅后价格</t>
    <phoneticPr fontId="1" type="noConversion"/>
  </si>
  <si>
    <t>1、商品价格浮动后
2、查看便捷出售界面商品价格</t>
    <phoneticPr fontId="1" type="noConversion"/>
  </si>
  <si>
    <t>便捷出售界面商品价格为价格涨幅后价格*5/6</t>
    <phoneticPr fontId="1" type="noConversion"/>
  </si>
  <si>
    <t>1、服务器开启第一天（2016/2/18）玩家A购买0块1级血精石（80,000）
2、24小时后（2016/2/19）
3、查看</t>
    <phoneticPr fontId="1" type="noConversion"/>
  </si>
  <si>
    <t>1级血精石价格为80,000</t>
    <phoneticPr fontId="1" type="noConversion"/>
  </si>
  <si>
    <t>1、服务器开启第二天（2016/2/19）玩家A卖出1块1级血精石（80,000）
2、24小时后（2016/2/20）
3、查看</t>
    <phoneticPr fontId="1" type="noConversion"/>
  </si>
  <si>
    <t>1级血精石价格为76,920</t>
    <phoneticPr fontId="1" type="noConversion"/>
  </si>
  <si>
    <r>
      <t>涨价涨跌</t>
    </r>
    <r>
      <rPr>
        <b/>
        <sz val="10"/>
        <color rgb="FFFF0000"/>
        <rFont val="微软雅黑"/>
        <family val="2"/>
        <charset val="134"/>
      </rPr>
      <t>3.8%（跌）</t>
    </r>
    <phoneticPr fontId="1" type="noConversion"/>
  </si>
  <si>
    <t>1、服务器开启第三天（2016/2/20）玩家A卖出1块1级血精石（80,000）
2、24小时后（2016/2/21）
3、查看</t>
    <phoneticPr fontId="1" type="noConversion"/>
  </si>
  <si>
    <t>1、服务器开启第四天（2016/2/21）玩家A卖出1块1级血精石（80,000）
2、24小时后（2016/2/22）
3、查看</t>
    <phoneticPr fontId="1" type="noConversion"/>
  </si>
  <si>
    <t>1、服务器开启第六天（2016/2/23）玩家A卖出1块1级血精石（80,000）
2、24小时后（2016/2/24）
3、查看</t>
    <phoneticPr fontId="1" type="noConversion"/>
  </si>
  <si>
    <t>1、服务器开启第五天（2016/2/22）玩家A卖出1块1级血精石（80,000）
2、24小时后（2016/2/23）
3、查看</t>
    <phoneticPr fontId="1" type="noConversion"/>
  </si>
  <si>
    <t>连续5周期，周期净成交量&lt;=0</t>
    <phoneticPr fontId="1" type="noConversion"/>
  </si>
  <si>
    <t>1、服务器开启第N天,玩家A卖出M块1级血精石
2、24小时后(价格涨跌超过价格下限80,000*0.6)
3、查看</t>
    <phoneticPr fontId="1" type="noConversion"/>
  </si>
  <si>
    <t>MT-G-SH-116</t>
  </si>
  <si>
    <t>MT-G-SH-117</t>
  </si>
  <si>
    <t>MT-G-SH-118</t>
  </si>
  <si>
    <t>周期刷新</t>
    <phoneticPr fontId="1" type="noConversion"/>
  </si>
  <si>
    <t>1、选中商品后、数量默认为1个
2、点击【购买】按钮
3、查看</t>
    <phoneticPr fontId="1" type="noConversion"/>
  </si>
  <si>
    <t>系统提示：“购买物品xxx（商品名称）1个，共花费yyy银币”</t>
    <phoneticPr fontId="1" type="noConversion"/>
  </si>
  <si>
    <t>背包中获得道具</t>
    <phoneticPr fontId="1" type="noConversion"/>
  </si>
  <si>
    <t>播放商品图标进入背包中的动画</t>
    <phoneticPr fontId="1" type="noConversion"/>
  </si>
  <si>
    <t>货币扣除数量正确</t>
    <phoneticPr fontId="1" type="noConversion"/>
  </si>
  <si>
    <t>今日可购买剩余数量正确</t>
    <phoneticPr fontId="1" type="noConversion"/>
  </si>
  <si>
    <t>1、购买商品时双击商品图标
2、查看</t>
    <phoneticPr fontId="1" type="noConversion"/>
  </si>
  <si>
    <t>购买商品数量变为2</t>
    <phoneticPr fontId="1" type="noConversion"/>
  </si>
  <si>
    <t>1、商品今日可购数量为0时
2、购买该商品
3、查看</t>
    <phoneticPr fontId="1" type="noConversion"/>
  </si>
  <si>
    <t>1、商品今日可购数量为20
2、在数量输入框内输入不超过20的数
3、查看</t>
    <phoneticPr fontId="1" type="noConversion"/>
  </si>
  <si>
    <t>1、商品今日可购数量为20
2、在数量输入框内输入超过20的数
3、查看</t>
    <phoneticPr fontId="1" type="noConversion"/>
  </si>
  <si>
    <t>消费确认界面显示银币不足，还差xxx银币</t>
    <phoneticPr fontId="1" type="noConversion"/>
  </si>
  <si>
    <t>1、背包中选中可商会出售的商品
2、点击快捷出售界面【商会出售】按钮
3、查看</t>
    <phoneticPr fontId="1" type="noConversion"/>
  </si>
  <si>
    <t>修改出售数量成功</t>
    <phoneticPr fontId="1" type="noConversion"/>
  </si>
  <si>
    <t>叠加道具可批量出售</t>
    <phoneticPr fontId="1" type="noConversion"/>
  </si>
  <si>
    <t>1、商品A今日可购数量为20，玩家购买商品A1个后
2、晚上过00点后
3、查看</t>
    <phoneticPr fontId="1" type="noConversion"/>
  </si>
  <si>
    <t>商品A今日可购数量变20</t>
    <phoneticPr fontId="1" type="noConversion"/>
  </si>
  <si>
    <t>商品A今日还可出售20个</t>
    <phoneticPr fontId="1" type="noConversion"/>
  </si>
  <si>
    <t>每日刷新正常</t>
    <phoneticPr fontId="1" type="noConversion"/>
  </si>
  <si>
    <t>MT-G-SH-108</t>
  </si>
  <si>
    <t>商品A今日可购数量变20</t>
    <phoneticPr fontId="1" type="noConversion"/>
  </si>
  <si>
    <t>1、商品A今日可购买数量为20，玩家购买商品A20个后
2、晚上过00点后，玩家继续购买商品A20个
3、查看</t>
    <phoneticPr fontId="1" type="noConversion"/>
  </si>
  <si>
    <t>商品购买成功</t>
    <phoneticPr fontId="1" type="noConversion"/>
  </si>
  <si>
    <t>1、商品A今日还可出售为20个，玩家出售商品A1个后
2、晚上过00点后
3、查看</t>
    <phoneticPr fontId="1" type="noConversion"/>
  </si>
  <si>
    <t>1、商品A今日还可出售为20个，玩家出售商品A20个后
2、晚上过00点后，玩家继续出售商品A20个
3、查看</t>
    <phoneticPr fontId="1" type="noConversion"/>
  </si>
  <si>
    <t>商品出售成功</t>
    <phoneticPr fontId="1" type="noConversion"/>
  </si>
  <si>
    <t>购买商品货币扣除正确</t>
    <phoneticPr fontId="1" type="noConversion"/>
  </si>
  <si>
    <t>出售商品货币获得正确</t>
    <phoneticPr fontId="1" type="noConversion"/>
  </si>
  <si>
    <t>MT-G-SH-160</t>
  </si>
  <si>
    <t>MT-G-SH-172</t>
  </si>
  <si>
    <t>MT-G-SH-187</t>
  </si>
  <si>
    <t>MT-G-SH-188</t>
  </si>
  <si>
    <t>MT-G-SH-190</t>
  </si>
  <si>
    <t>MT-G-SH-191</t>
  </si>
  <si>
    <t>MT-G-SH-192</t>
  </si>
  <si>
    <t>MT-G-SH-193</t>
  </si>
  <si>
    <t>MT-G-SH-194</t>
  </si>
  <si>
    <t>商会界面</t>
    <phoneticPr fontId="1" type="noConversion"/>
  </si>
  <si>
    <t>1、点击商会会长NPC
2、查看</t>
  </si>
  <si>
    <t>弹出闲话交互界面</t>
  </si>
  <si>
    <t>闲话内容正确、无错别字</t>
  </si>
  <si>
    <t>MT-G-SH-072</t>
  </si>
  <si>
    <t>半身像显示正确</t>
    <phoneticPr fontId="1" type="noConversion"/>
  </si>
  <si>
    <t>弹出服务窗口有按钮【打开商会】</t>
    <phoneticPr fontId="1" type="noConversion"/>
  </si>
  <si>
    <t>弹出服务窗口有标题：“请选择要做的事”</t>
    <phoneticPr fontId="1" type="noConversion"/>
  </si>
  <si>
    <t>打开商会界面</t>
    <phoneticPr fontId="1" type="noConversion"/>
  </si>
  <si>
    <t>文字描述无错字</t>
  </si>
  <si>
    <t>界面布局符合要求</t>
    <phoneticPr fontId="1" type="noConversion"/>
  </si>
  <si>
    <t xml:space="preserve">字体美观端正   </t>
    <phoneticPr fontId="1" type="noConversion"/>
  </si>
  <si>
    <t>文字显示无溢出</t>
    <phoneticPr fontId="1" type="noConversion"/>
  </si>
  <si>
    <t>消费确认界面</t>
    <phoneticPr fontId="1" type="noConversion"/>
  </si>
  <si>
    <t>1、玩家银币不足，点击购买商品
2、查看</t>
    <phoneticPr fontId="1" type="noConversion"/>
  </si>
  <si>
    <t>打开消费确认界面</t>
    <phoneticPr fontId="1" type="noConversion"/>
  </si>
  <si>
    <t>查看消费确认界面</t>
    <phoneticPr fontId="1" type="noConversion"/>
  </si>
  <si>
    <t>title显示“消费确认”</t>
    <phoneticPr fontId="1" type="noConversion"/>
  </si>
  <si>
    <t>有上角为三态按钮【X】</t>
  </si>
  <si>
    <t>title位置合理，文字正确</t>
    <phoneticPr fontId="1" type="noConversion"/>
  </si>
  <si>
    <t>中间部分显示：银币不足，还差银币图标+银币数量</t>
    <phoneticPr fontId="1" type="noConversion"/>
  </si>
  <si>
    <t>下面部分显示：额外兑换的银币会自动返还</t>
    <phoneticPr fontId="1" type="noConversion"/>
  </si>
  <si>
    <t>左面下部分显示：使用金币代替</t>
    <phoneticPr fontId="1" type="noConversion"/>
  </si>
  <si>
    <t>右面下部分显示：使用符石兑换</t>
    <phoneticPr fontId="1" type="noConversion"/>
  </si>
  <si>
    <t>按钮显示【金币图标+金币数量】</t>
    <phoneticPr fontId="1" type="noConversion"/>
  </si>
  <si>
    <t>金币不足时货币数量显示文字为红色</t>
    <phoneticPr fontId="1" type="noConversion"/>
  </si>
  <si>
    <t>按钮显示【符石图标+符石数量】</t>
    <phoneticPr fontId="1" type="noConversion"/>
  </si>
  <si>
    <t>符石不足时货币数量显示文字为红色</t>
    <phoneticPr fontId="1" type="noConversion"/>
  </si>
  <si>
    <t>MT-G-SH-195</t>
  </si>
  <si>
    <t>MT-G-SH-196</t>
  </si>
  <si>
    <t>MT-G-SH-197</t>
  </si>
  <si>
    <t>MT-G-SH-198</t>
  </si>
  <si>
    <t>MT-G-SH-199</t>
  </si>
  <si>
    <t>MT-G-SH-200</t>
  </si>
  <si>
    <t>MT-G-SH-202</t>
  </si>
  <si>
    <t>MT-G-SH-203</t>
  </si>
  <si>
    <t>MT-G-SH-204</t>
  </si>
  <si>
    <t>MT-G-SH-205</t>
  </si>
  <si>
    <t>MT-G-SH-206</t>
  </si>
  <si>
    <t>MT-G-SH-207</t>
  </si>
  <si>
    <t>MT-G-SH-208</t>
  </si>
  <si>
    <t>MT-G-SH-209</t>
  </si>
  <si>
    <t>MT-G-SH-210</t>
  </si>
  <si>
    <t>MT-G-SH-211</t>
  </si>
  <si>
    <t>MT-G-SH-212</t>
  </si>
  <si>
    <t>MT-G-SH-213</t>
  </si>
  <si>
    <t>MT-G-SH-214</t>
  </si>
  <si>
    <t>MT-G-SH-215</t>
  </si>
  <si>
    <t>2016/3/3</t>
    <phoneticPr fontId="1" type="noConversion"/>
  </si>
  <si>
    <t>周学强</t>
    <phoneticPr fontId="1" type="noConversion"/>
  </si>
  <si>
    <t>P</t>
    <phoneticPr fontId="1" type="noConversion"/>
  </si>
  <si>
    <t>定位到我要购买-其他-光环卷轴-xxx光环</t>
    <phoneticPr fontId="1" type="noConversion"/>
  </si>
  <si>
    <t>光环图标右上角有“需求”标签显示</t>
    <phoneticPr fontId="1" type="noConversion"/>
  </si>
  <si>
    <t>MT-G-SH-009</t>
  </si>
  <si>
    <t>定位到我要购买-装备-打造图纸-打造图纸·xxx</t>
    <phoneticPr fontId="1" type="noConversion"/>
  </si>
  <si>
    <t>打造图纸图标右上角有“需求”标签显示</t>
    <phoneticPr fontId="1" type="noConversion"/>
  </si>
  <si>
    <t>定位到我要购买-装备-精铁-泰坦精铁</t>
    <phoneticPr fontId="1" type="noConversion"/>
  </si>
  <si>
    <t>泰坦精铁图标右上角有“需求”标签显示</t>
    <phoneticPr fontId="1" type="noConversion"/>
  </si>
  <si>
    <t>MT-G-SH-093</t>
  </si>
  <si>
    <t>名称显示正确</t>
    <phoneticPr fontId="1" type="noConversion"/>
  </si>
  <si>
    <t>按钮点击时展开二级分类</t>
    <phoneticPr fontId="1" type="noConversion"/>
  </si>
  <si>
    <t>商品排序与背包中排序一样</t>
    <phoneticPr fontId="1" type="noConversion"/>
  </si>
  <si>
    <t>MT-G-SH-125</t>
  </si>
  <si>
    <t>1、购买商品时拥有货币数量小于花费数量
2、查看</t>
    <phoneticPr fontId="1" type="noConversion"/>
  </si>
  <si>
    <t>弹出消费确认界面</t>
    <phoneticPr fontId="1" type="noConversion"/>
  </si>
  <si>
    <t>金币数量不足时金币货币数字显示红色</t>
    <phoneticPr fontId="1" type="noConversion"/>
  </si>
  <si>
    <t>符石数量不足时符石货币数字显示红色</t>
    <phoneticPr fontId="1" type="noConversion"/>
  </si>
  <si>
    <t>1、购买商品时拥有货币数量小于花费数量，弹出消费确认界面
2、金币不足，点击金币按钮
3、查看</t>
    <phoneticPr fontId="1" type="noConversion"/>
  </si>
  <si>
    <t>1、购买商品时拥有货币数量小于花费数量，弹出消费确认界面
2、金币足够，点击金币按钮
3、查看</t>
    <phoneticPr fontId="1" type="noConversion"/>
  </si>
  <si>
    <t>购买商品成功</t>
    <phoneticPr fontId="1" type="noConversion"/>
  </si>
  <si>
    <t>系统提示：“花费x符石兑换xxxx银币”</t>
    <phoneticPr fontId="1" type="noConversion"/>
  </si>
  <si>
    <t>系统提示：“购买物品xxx，共花费xxx银币”</t>
    <phoneticPr fontId="1" type="noConversion"/>
  </si>
  <si>
    <t>系统提示：“花费x金币兑换xxxx银币”</t>
    <phoneticPr fontId="1" type="noConversion"/>
  </si>
  <si>
    <t>MT-G-SH-137</t>
  </si>
  <si>
    <t>弹出符石兑换金币消费确认界面</t>
    <phoneticPr fontId="1" type="noConversion"/>
  </si>
  <si>
    <t>金币不足，还差金币图标+还差的金币数量</t>
    <phoneticPr fontId="1" type="noConversion"/>
  </si>
  <si>
    <t>使用符石兑换</t>
    <phoneticPr fontId="1" type="noConversion"/>
  </si>
  <si>
    <t>【符石图标+数量】</t>
    <phoneticPr fontId="1" type="noConversion"/>
  </si>
  <si>
    <t>额外兑换的金币会自动返还</t>
    <phoneticPr fontId="1" type="noConversion"/>
  </si>
  <si>
    <t>1、符石兑换金币消费确认界面
2、符石不够，点击符石按钮
3、查看</t>
    <phoneticPr fontId="1" type="noConversion"/>
  </si>
  <si>
    <t>点击【确认】按钮跳转到充值界面</t>
    <phoneticPr fontId="1" type="noConversion"/>
  </si>
  <si>
    <t>点击【取消】按钮返回到商会界面</t>
    <phoneticPr fontId="1" type="noConversion"/>
  </si>
  <si>
    <t>弹出二级确认界面</t>
    <phoneticPr fontId="1" type="noConversion"/>
  </si>
  <si>
    <t>二级界面内容：符石不足，是否前往充值</t>
    <phoneticPr fontId="1" type="noConversion"/>
  </si>
  <si>
    <t>依次显示按钮【取消】【确认】</t>
    <phoneticPr fontId="1" type="noConversion"/>
  </si>
  <si>
    <t>1、购买商品时拥有货币数量小于花费数量，弹出消费确认界面
2、符石足够，点击符石按钮
3、查看</t>
    <phoneticPr fontId="1" type="noConversion"/>
  </si>
  <si>
    <t>1、购买商品时拥有货币数量小于花费数量，弹出消费确认界面
2、符石不足，点击符石按钮
3、查看</t>
    <phoneticPr fontId="1" type="noConversion"/>
  </si>
  <si>
    <t>B</t>
    <phoneticPr fontId="1" type="noConversion"/>
  </si>
  <si>
    <t>1、选中可叠加商品
2、修改出售数量
3、查看</t>
    <phoneticPr fontId="1" type="noConversion"/>
  </si>
  <si>
    <t>1、选中不可叠加商品
2、但是该商品背包中有n个，修改出售数量
3、查看</t>
    <phoneticPr fontId="1" type="noConversion"/>
  </si>
  <si>
    <t>不叠加道具可批量出售</t>
    <phoneticPr fontId="1" type="noConversion"/>
  </si>
  <si>
    <t>MT-G-SH-189</t>
  </si>
  <si>
    <t>MT-G-SH-201</t>
  </si>
  <si>
    <t>MT-G-SH-216</t>
  </si>
  <si>
    <t>MT-G-SH-217</t>
  </si>
  <si>
    <t>MT-G-SH-218</t>
  </si>
  <si>
    <t>MT-G-SH-219</t>
  </si>
  <si>
    <t>MT-G-SH-220</t>
  </si>
  <si>
    <t>MT-G-SH-221</t>
  </si>
  <si>
    <t>MT-G-SH-222</t>
  </si>
  <si>
    <t>MT-G-SH-223</t>
  </si>
  <si>
    <t>MT-G-SH-224</t>
  </si>
  <si>
    <t>MT-G-SH-225</t>
  </si>
  <si>
    <t>MT-G-SH-226</t>
  </si>
  <si>
    <t>MT-G-SH-227</t>
  </si>
  <si>
    <t>MT-G-SH-228</t>
  </si>
  <si>
    <t>MT-G-SH-230</t>
  </si>
  <si>
    <t>MT-G-SH-231</t>
  </si>
  <si>
    <t>MT-G-SH-232</t>
  </si>
  <si>
    <t>MT-G-SH-233</t>
  </si>
  <si>
    <t>MT-G-SH-234</t>
  </si>
  <si>
    <t>MT-G-SH-235</t>
  </si>
  <si>
    <t>MT-G-SH-236</t>
  </si>
  <si>
    <t>MT-G-SH-237</t>
  </si>
  <si>
    <t>MT-G-SH-238</t>
  </si>
  <si>
    <t>MT-G-SH-239</t>
  </si>
  <si>
    <t>MT-G-SH-240</t>
  </si>
  <si>
    <t>MT-G-SH-242</t>
  </si>
  <si>
    <t>MT-G-SH-243</t>
  </si>
  <si>
    <t>MT-G-SH-244</t>
  </si>
  <si>
    <t>MT-G-SH-245</t>
  </si>
  <si>
    <t>MT-G-SH-246</t>
  </si>
  <si>
    <t>MT-G-SH-247</t>
  </si>
  <si>
    <t>MT-G-SH-248</t>
  </si>
  <si>
    <t>MT-G-SH-249</t>
  </si>
  <si>
    <t>MT-G-SH-250</t>
  </si>
  <si>
    <t>MT-G-SH-251</t>
  </si>
  <si>
    <t>MT-G-SH-252</t>
  </si>
  <si>
    <t>MT-G-SH-254</t>
  </si>
  <si>
    <t>MT-G-SH-255</t>
  </si>
  <si>
    <t>周期净成交量=0</t>
    <phoneticPr fontId="1" type="noConversion"/>
  </si>
  <si>
    <t>周期净成交量&lt;0</t>
    <phoneticPr fontId="1" type="noConversion"/>
  </si>
  <si>
    <t>MT-G-SH-229</t>
  </si>
  <si>
    <t>MT-G-SH-241</t>
  </si>
  <si>
    <t>MT-G-SH-256</t>
  </si>
  <si>
    <t>MT-G-SH-257</t>
  </si>
  <si>
    <t>MT-G-SH-258</t>
  </si>
  <si>
    <t>MT-G-SH-259</t>
  </si>
  <si>
    <t>MT-G-SH-260</t>
  </si>
  <si>
    <t>MT-G-SH-261</t>
  </si>
  <si>
    <t>MT-G-SH-262</t>
  </si>
  <si>
    <t>MT-G-SH-263</t>
  </si>
  <si>
    <t>MT-G-SH-264</t>
  </si>
  <si>
    <t>MT-G-SH-266</t>
  </si>
  <si>
    <t>MT-G-SH-267</t>
  </si>
  <si>
    <t>MT-G-SH-268</t>
  </si>
  <si>
    <t>MT-G-SH-269</t>
  </si>
  <si>
    <t>MT-G-SH-270</t>
  </si>
  <si>
    <t>MT-G-SH-271</t>
  </si>
  <si>
    <t>MT-G-SH-272</t>
  </si>
  <si>
    <t>MT-G-SH-273</t>
  </si>
  <si>
    <t>MT-G-SH-274</t>
  </si>
  <si>
    <t>MT-G-SH-275</t>
  </si>
  <si>
    <t>MT-G-SH-276</t>
  </si>
  <si>
    <t>MT-G-SH-277</t>
  </si>
  <si>
    <t>MT-G-SH-278</t>
  </si>
  <si>
    <t>MT-G-SH-279</t>
  </si>
  <si>
    <t>1、服务器开启第一天（2016/3/3）玩家A购买1块1级血精石（80,000）
2、24小时后（2016/3/4）
3、查看</t>
    <phoneticPr fontId="1" type="noConversion"/>
  </si>
  <si>
    <t>1、服务器开启第二天（2016/3/4）玩家A购买1块1级血精石（83,080）
2、24小时后（2016/3/5）
3、查看</t>
    <phoneticPr fontId="1" type="noConversion"/>
  </si>
  <si>
    <t>1、服务器开启第三天（2016/3/5）玩家A购买2块1级血精石（83,080）
2、24小时后（2016/3/6）
3、查看</t>
    <phoneticPr fontId="1" type="noConversion"/>
  </si>
  <si>
    <t>1、服务器开启第四天（2016/3/6）玩家A购买1块1级血精石（86,160）
2、24小时后（2016/3/7）
3、查看</t>
    <phoneticPr fontId="1" type="noConversion"/>
  </si>
  <si>
    <r>
      <t>涨价涨跌</t>
    </r>
    <r>
      <rPr>
        <b/>
        <sz val="10"/>
        <color rgb="FFFF0000"/>
        <rFont val="微软雅黑"/>
        <family val="2"/>
        <charset val="134"/>
      </rPr>
      <t>3.5%（跌）</t>
    </r>
    <phoneticPr fontId="1" type="noConversion"/>
  </si>
  <si>
    <t>1级血精石价格为83,080</t>
    <phoneticPr fontId="1" type="noConversion"/>
  </si>
  <si>
    <t>1、服务器开启第五天（2016/3/7）玩家A购买1块1级血精石（83,080）
2、24小时后（2016/3/8）
3、查看</t>
    <phoneticPr fontId="1" type="noConversion"/>
  </si>
  <si>
    <t>1、服务器开启第六天（2016/3/8）玩家A购买2块1级血精石（83,080）
2、24小时后（2016/3/9）
3、查看</t>
    <phoneticPr fontId="1" type="noConversion"/>
  </si>
  <si>
    <t>1级血精石价格为89,240</t>
    <phoneticPr fontId="1" type="noConversion"/>
  </si>
  <si>
    <t>1级血精石价格为86,160</t>
    <phoneticPr fontId="1" type="noConversion"/>
  </si>
  <si>
    <t>1、服务器开启第六天（2016/3/9）玩家A购买3块1级血精石（86,160）
2、24小时后（2016/3/10）
3、查看</t>
    <phoneticPr fontId="1" type="noConversion"/>
  </si>
  <si>
    <r>
      <t>涨价涨跌89,240/86,160-1=</t>
    </r>
    <r>
      <rPr>
        <b/>
        <sz val="10"/>
        <color rgb="FF00B050"/>
        <rFont val="微软雅黑"/>
        <family val="2"/>
        <charset val="134"/>
      </rPr>
      <t>3.6%（涨）</t>
    </r>
    <phoneticPr fontId="1" type="noConversion"/>
  </si>
  <si>
    <t>1级血精石价格为92,320</t>
    <phoneticPr fontId="1" type="noConversion"/>
  </si>
  <si>
    <t>1、服务器开启第七天（2016/3/10）玩家A购买4块1级血精石（89,240）
2、24小时后（2016/3/11）
3、查看</t>
    <phoneticPr fontId="1" type="noConversion"/>
  </si>
  <si>
    <r>
      <t>涨价涨跌92,320/89,240-1=</t>
    </r>
    <r>
      <rPr>
        <b/>
        <sz val="10"/>
        <color rgb="FF00B050"/>
        <rFont val="微软雅黑"/>
        <family val="2"/>
        <charset val="134"/>
      </rPr>
      <t>3.5%（涨）</t>
    </r>
    <phoneticPr fontId="1" type="noConversion"/>
  </si>
  <si>
    <t>1级血精石价格为95,400</t>
    <phoneticPr fontId="1" type="noConversion"/>
  </si>
  <si>
    <t>1级血精石价格为98,480</t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</si>
  <si>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3.3%（涨）</t>
    </r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</si>
  <si>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3.2%（涨）</t>
    </r>
    <phoneticPr fontId="1" type="noConversion"/>
  </si>
  <si>
    <t>1级血精石价格为101,560</t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</si>
  <si>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3.1%（涨）</t>
    </r>
    <phoneticPr fontId="1" type="noConversion"/>
  </si>
  <si>
    <t>1、服务器开启第八天（2016/3/11）玩家A购买5块1级血精石（92,320）
2、24小时后（2016/3/12）
3、查看</t>
    <phoneticPr fontId="1" type="noConversion"/>
  </si>
  <si>
    <t>1、服务器开启第九天（2016/3/12）玩家A购买6块1级血精石（95,400）
2、24小时后（2016/3/13）
3、查看</t>
    <phoneticPr fontId="1" type="noConversion"/>
  </si>
  <si>
    <t>1、服务器开启第十天（2016/3/13）玩家A购买7块1级血精石（98,480）
2、24小时后（2016/3/14）
3、查看</t>
    <phoneticPr fontId="1" type="noConversion"/>
  </si>
  <si>
    <t>1、服务器开启第11天（2016/3/14）玩家A购买8块1级血精石（101,560）
2、24小时后（2016/3/15）
3、查看</t>
    <phoneticPr fontId="1" type="noConversion"/>
  </si>
  <si>
    <t>1级血精石价格为104,640</t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</si>
  <si>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3%（涨）</t>
    </r>
    <phoneticPr fontId="1" type="noConversion"/>
  </si>
  <si>
    <t>1、服务器开启第12天（2016/3/15）玩家A购买9块1级血精石（104,640）
2、24小时后（2016/3/16）
3、查看</t>
    <phoneticPr fontId="1" type="noConversion"/>
  </si>
  <si>
    <t>1级血精石价格为107,720</t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</si>
  <si>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2.9%（涨）</t>
    </r>
    <phoneticPr fontId="1" type="noConversion"/>
  </si>
  <si>
    <t>1、服务器开启第13天（2016/3/16）玩家A购买10块1级血精石（107,720）
2、24小时后（2016/3/17）
3、查看</t>
    <phoneticPr fontId="1" type="noConversion"/>
  </si>
  <si>
    <t>1级血精石价格为110,800</t>
    <phoneticPr fontId="1" type="noConversion"/>
  </si>
  <si>
    <t>1、服务器开启第14天（2016/3/17）玩家A购买0块1级血精石（110,800）
2、24小时后（2016/3/18）
3、查看</t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</si>
  <si>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-</t>
    </r>
    <phoneticPr fontId="1" type="noConversion"/>
  </si>
  <si>
    <t>涨价涨跌-</t>
    <phoneticPr fontId="1" type="noConversion"/>
  </si>
  <si>
    <t>1、服务器开启第15天（2016/3/18）玩家A购买1块1级血精石（110,800）
2、24小时后（2016/3/19）
3、查看</t>
    <phoneticPr fontId="1" type="noConversion"/>
  </si>
  <si>
    <t>1级血精石价格为113,880</t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</si>
  <si>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2.8%（涨）</t>
    </r>
    <phoneticPr fontId="1" type="noConversion"/>
  </si>
  <si>
    <t>1、服务器开启第16天（2016/3/19）玩家A购买2块1级血精石（113,880）
2、24小时后（2016/3/20）
3、查看</t>
    <phoneticPr fontId="1" type="noConversion"/>
  </si>
  <si>
    <t>1级血精石价格为116,960</t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</si>
  <si>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2.7%（涨）</t>
    </r>
    <phoneticPr fontId="1" type="noConversion"/>
  </si>
  <si>
    <t>1、服务器开启第17天（2016/3/20）玩家A购买3块1级血精石（116,960）
2、24小时后（2016/3/21）
3、查看</t>
    <phoneticPr fontId="1" type="noConversion"/>
  </si>
  <si>
    <t>1级血精石价格为120,000</t>
    <phoneticPr fontId="1" type="noConversion"/>
  </si>
  <si>
    <r>
      <t>涨价涨跌</t>
    </r>
    <r>
      <rPr>
        <b/>
        <sz val="10"/>
        <color rgb="FF00B050"/>
        <rFont val="微软雅黑"/>
        <family val="2"/>
        <charset val="134"/>
      </rPr>
      <t>2.6%（涨）</t>
    </r>
    <phoneticPr fontId="1" type="noConversion"/>
  </si>
  <si>
    <t>1、服务器开启第18天（2016/3/21）玩家A购买4块1级血精石（120,000）
2、24小时后（2016/3/22）
3、查看</t>
    <phoneticPr fontId="1" type="noConversion"/>
  </si>
  <si>
    <t>1、服务器开启第19天（2016/3/22）玩家A购买5块1级血精石（120,000）
2、24小时后（2016/3/23）
3、查看</t>
    <phoneticPr fontId="1" type="noConversion"/>
  </si>
  <si>
    <r>
      <t>涨价涨跌</t>
    </r>
    <r>
      <rPr>
        <b/>
        <sz val="10"/>
        <color rgb="FFFF0000"/>
        <rFont val="微软雅黑"/>
        <family val="2"/>
        <charset val="134"/>
      </rPr>
      <t>2.5%（跌）</t>
    </r>
    <phoneticPr fontId="1" type="noConversion"/>
  </si>
  <si>
    <t>1级血精石价格为116,920</t>
    <phoneticPr fontId="1" type="noConversion"/>
  </si>
  <si>
    <t>MT-G-SH-253</t>
  </si>
  <si>
    <t>MT-G-SH-265</t>
  </si>
  <si>
    <t>MT-G-SH-280</t>
  </si>
  <si>
    <t>MT-G-SH-281</t>
  </si>
  <si>
    <t>MT-G-SH-282</t>
  </si>
  <si>
    <t>MT-G-SH-283</t>
  </si>
  <si>
    <t>MT-G-SH-284</t>
  </si>
  <si>
    <t>MT-G-SH-285</t>
  </si>
  <si>
    <t>MT-G-SH-286</t>
  </si>
  <si>
    <t>MT-G-SH-287</t>
  </si>
  <si>
    <t>MT-G-SH-288</t>
  </si>
  <si>
    <t>MT-G-SH-289</t>
  </si>
  <si>
    <t>MT-G-SH-290</t>
  </si>
  <si>
    <t>MT-G-SH-291</t>
  </si>
  <si>
    <t>MT-G-SH-292</t>
  </si>
  <si>
    <t>MT-G-SH-293</t>
  </si>
  <si>
    <t>MT-G-SH-294</t>
  </si>
  <si>
    <t>MT-G-SH-295</t>
  </si>
  <si>
    <t>MT-G-SH-296</t>
  </si>
  <si>
    <t>MT-G-SH-297</t>
  </si>
  <si>
    <t>MT-G-SH-298</t>
  </si>
  <si>
    <t>MT-G-SH-299</t>
  </si>
  <si>
    <t>MT-G-SH-300</t>
  </si>
  <si>
    <t>MT-G-SH-301</t>
  </si>
  <si>
    <t>MT-G-SH-302</t>
  </si>
  <si>
    <t>MT-G-SH-303</t>
  </si>
  <si>
    <t>MT-G-SH-304</t>
  </si>
  <si>
    <t>MT-G-SH-305</t>
  </si>
  <si>
    <t>MT-G-SH-306</t>
  </si>
  <si>
    <t>MT-G-SH-307</t>
  </si>
  <si>
    <t>MT-G-SH-308</t>
  </si>
  <si>
    <t>MT-G-SH-309</t>
  </si>
  <si>
    <t>MT-G-SH-310</t>
  </si>
  <si>
    <t>MT-G-SH-311</t>
  </si>
  <si>
    <t>MT-G-SH-312</t>
  </si>
  <si>
    <t>MT-G-SH-314</t>
  </si>
  <si>
    <t>MT-G-SH-315</t>
  </si>
  <si>
    <t>MT-G-SH-316</t>
  </si>
  <si>
    <t>MT-G-SH-318</t>
  </si>
  <si>
    <t>MT-G-SH-319</t>
  </si>
  <si>
    <t>MT-G-SH-320</t>
  </si>
  <si>
    <t>MT-G-SH-321</t>
  </si>
  <si>
    <t>MT-G-SH-322</t>
  </si>
  <si>
    <t>MT-G-SH-323</t>
  </si>
  <si>
    <t>MT-G-SH-324</t>
  </si>
  <si>
    <t>MT-G-SH-326</t>
  </si>
  <si>
    <t>MT-G-SH-327</t>
  </si>
  <si>
    <t>1、服务器开启第19天（2016/3/23）玩家A购买4块1级血精石（120,000）
2、24小时后（2016/3/24）
3、查看</t>
    <phoneticPr fontId="1" type="noConversion"/>
  </si>
  <si>
    <t>1、服务器开启第20天（2016/3/24）玩家A购买20块1级血精石（116,920）
2、24小时后（2016/3/25）
3、查看</t>
    <phoneticPr fontId="1" type="noConversion"/>
  </si>
  <si>
    <t>1、服务器开启第21天（2016/3/25）玩家A购买19块1级血精石（120,000）
2、24小时后（2016/3/26）
3、查看</t>
    <phoneticPr fontId="1" type="noConversion"/>
  </si>
  <si>
    <t>1、服务器开启第22天（2016/3/26）玩家A购买18块1级血精石（116,920）
2、24小时后（2016/3/27）
3、查看</t>
    <phoneticPr fontId="1" type="noConversion"/>
  </si>
  <si>
    <t>1级血精石价格为113,840</t>
    <phoneticPr fontId="1" type="noConversion"/>
  </si>
  <si>
    <t>MT-G-SH-328</t>
  </si>
  <si>
    <t>MT-G-SH-331</t>
  </si>
  <si>
    <t>MT-G-SH-332</t>
  </si>
  <si>
    <t>MT-G-SH-333</t>
  </si>
  <si>
    <t>MT-G-SH-334</t>
  </si>
  <si>
    <t>MT-G-SH-335</t>
  </si>
  <si>
    <t>MT-G-SH-336</t>
  </si>
  <si>
    <t>MT-G-SH-337</t>
  </si>
  <si>
    <t>MT-G-SH-338</t>
  </si>
  <si>
    <t>MT-G-SH-339</t>
  </si>
  <si>
    <t>1、服务器开启第二天（2016/2/19）玩家A卖出1块1级血精石（80,000）
2、24小时后（2016/2/20）
3、查看</t>
    <phoneticPr fontId="1" type="noConversion"/>
  </si>
  <si>
    <t>许羽佳</t>
    <phoneticPr fontId="1" type="noConversion"/>
  </si>
  <si>
    <t>0.0.62-PC版本</t>
    <phoneticPr fontId="1" type="noConversion"/>
  </si>
  <si>
    <t>1、点击背包界面【商会】按钮
2、查看</t>
    <phoneticPr fontId="1" type="noConversion"/>
  </si>
  <si>
    <t>MT-G-SH-015</t>
  </si>
  <si>
    <t>1、点击紫罗兰商会会长NPC-【打开商会】按钮
2、查看</t>
    <phoneticPr fontId="1" type="noConversion"/>
  </si>
  <si>
    <t>出口</t>
    <phoneticPr fontId="1" type="noConversion"/>
  </si>
  <si>
    <t>1、点击购买光环二级确认界面【确认】按钮
2、查看</t>
    <phoneticPr fontId="1" type="noConversion"/>
  </si>
  <si>
    <t>1、第一次启动客户端打开商会界面
2、查看</t>
    <phoneticPr fontId="1" type="noConversion"/>
  </si>
  <si>
    <t>左边部分显示商品分类区域</t>
    <phoneticPr fontId="1" type="noConversion"/>
  </si>
  <si>
    <t>右侧显示今日剩余可购数量,商品可购数量为0时红色显示</t>
    <phoneticPr fontId="1" type="noConversion"/>
  </si>
  <si>
    <t>商会默认不选中商品，未选中商品时数量为0，选中后数量为1</t>
    <phoneticPr fontId="1" type="noConversion"/>
  </si>
  <si>
    <t>再次点击商品数量+1</t>
    <phoneticPr fontId="1" type="noConversion"/>
  </si>
  <si>
    <t>MT-G-SH-016</t>
    <phoneticPr fontId="1" type="noConversion"/>
  </si>
  <si>
    <t>MT-G-SH-100</t>
  </si>
  <si>
    <t>MT-G-SH-102</t>
    <phoneticPr fontId="1" type="noConversion"/>
  </si>
  <si>
    <t>MT-G-SH-177</t>
  </si>
  <si>
    <t>1、商品A今日还可出售为20个，玩家出售商品A20个后
2、晚上过00点后
3、查看</t>
    <phoneticPr fontId="1" type="noConversion"/>
  </si>
  <si>
    <t>1、商品A今日可购数量为20，玩家购买商品A20个后
2、晚上过00点后
3、查看</t>
    <phoneticPr fontId="1" type="noConversion"/>
  </si>
  <si>
    <t>1、商品A今日可购数量为20，玩家购买商品A20个后
2、商品A今日还可出售为20个，玩家出售商品A20个后
3、晚上过00点后
4、查看</t>
    <phoneticPr fontId="1" type="noConversion"/>
  </si>
  <si>
    <t>商品购买数量刷新</t>
    <phoneticPr fontId="1" type="noConversion"/>
  </si>
  <si>
    <t>商品出售数量刷新</t>
    <phoneticPr fontId="1" type="noConversion"/>
  </si>
  <si>
    <t>MT-G-SH-165</t>
  </si>
  <si>
    <t>MT-G-SH-167</t>
    <phoneticPr fontId="1" type="noConversion"/>
  </si>
  <si>
    <t>MT-G-SH-181</t>
    <phoneticPr fontId="1" type="noConversion"/>
  </si>
  <si>
    <t>MT-G-SH-313</t>
  </si>
  <si>
    <t>MT-G-SH-317</t>
    <phoneticPr fontId="1" type="noConversion"/>
  </si>
  <si>
    <t>MT-G-SH-325</t>
  </si>
  <si>
    <t>MT-G-SH-340</t>
  </si>
  <si>
    <t>MT-G-SH-341</t>
  </si>
  <si>
    <t>MT-G-SH-342</t>
  </si>
  <si>
    <t>MT-G-SH-343</t>
  </si>
  <si>
    <t>1、购买商会商品后
2、查看商会界面和背包界面货币数量</t>
    <phoneticPr fontId="1" type="noConversion"/>
  </si>
  <si>
    <t>MT-G-SH-329</t>
  </si>
  <si>
    <t>MT-G-SH-330</t>
    <phoneticPr fontId="1" type="noConversion"/>
  </si>
  <si>
    <t>MT-G-SH-344</t>
  </si>
  <si>
    <t>MTG-9193</t>
  </si>
  <si>
    <t>商会界面和背包界面银币数量一样</t>
    <phoneticPr fontId="1" type="noConversion"/>
  </si>
  <si>
    <t>已提todo  MTG-9253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</si>
</sst>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indexed="12"/>
      <name val="微软雅黑"/>
      <family val="2"/>
      <charset val="134"/>
    </font>
    <font>
      <sz val="10"/>
      <color indexed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10"/>
      <name val="微软雅黑"/>
      <family val="2"/>
      <charset val="134"/>
    </font>
    <font>
      <b/>
      <sz val="10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0"/>
      <color rgb="FF00B05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.5"/>
      <color theme="1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3" fillId="0" borderId="0" xfId="0" applyFont="1" applyBorder="1">
      <alignment vertical="center"/>
    </xf>
    <xf numFmtId="49" fontId="7" fillId="0" borderId="2" xfId="0" applyNumberFormat="1" applyFont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0" fontId="15" fillId="5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7" fillId="0" borderId="0" xfId="0" applyFont="1" applyBorder="1">
      <alignment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1" xfId="0" applyFont="1" applyBorder="1">
      <alignment vertical="center"/>
    </xf>
    <xf numFmtId="0" fontId="7" fillId="0" borderId="0" xfId="0" applyFont="1">
      <alignment vertical="center"/>
    </xf>
    <xf numFmtId="0" fontId="18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>
      <alignment vertical="center"/>
    </xf>
    <xf numFmtId="14" fontId="7" fillId="0" borderId="1" xfId="0" applyNumberFormat="1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justify" vertical="center"/>
    </xf>
    <xf numFmtId="0" fontId="7" fillId="0" borderId="7" xfId="0" applyFont="1" applyBorder="1">
      <alignment vertical="center"/>
    </xf>
    <xf numFmtId="0" fontId="22" fillId="0" borderId="1" xfId="0" applyFont="1" applyBorder="1">
      <alignment vertical="center"/>
    </xf>
    <xf numFmtId="0" fontId="0" fillId="0" borderId="0" xfId="0">
      <alignment vertical="center"/>
    </xf>
    <xf numFmtId="0" fontId="7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 applyBorder="1">
      <alignment vertical="center"/>
    </xf>
    <xf numFmtId="0" fontId="7" fillId="0" borderId="4" xfId="0" applyFont="1" applyBorder="1">
      <alignment vertical="center"/>
    </xf>
    <xf numFmtId="0" fontId="7" fillId="1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3" fillId="0" borderId="1" xfId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7</xdr:col>
          <xdr:colOff>666750</xdr:colOff>
          <xdr:row>24</xdr:row>
          <xdr:rowOff>161925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92.168.29.162:8080/browse/MTG-919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L1253"/>
  <sheetViews>
    <sheetView tabSelected="1" workbookViewId="0">
      <pane ySplit="6" topLeftCell="A51" activePane="bottomLeft" state="frozen"/>
      <selection pane="bottomLeft" activeCell="L58" sqref="L58"/>
    </sheetView>
  </sheetViews>
  <sheetFormatPr defaultRowHeight="16.5" x14ac:dyDescent="0.15"/>
  <cols>
    <col min="1" max="1" width="14.125" style="8" customWidth="1"/>
    <col min="2" max="2" width="12.75" style="8" customWidth="1"/>
    <col min="3" max="3" width="58.25" style="8" customWidth="1"/>
    <col min="4" max="4" width="60.25" style="8" customWidth="1"/>
    <col min="5" max="6" width="9" style="8"/>
    <col min="7" max="7" width="12.375" style="8" customWidth="1"/>
    <col min="8" max="8" width="9.125" style="15" customWidth="1"/>
    <col min="9" max="9" width="9" style="8"/>
    <col min="10" max="10" width="19.75" style="30" customWidth="1"/>
    <col min="11" max="220" width="9" style="34"/>
    <col min="221" max="16384" width="9" style="8"/>
  </cols>
  <sheetData>
    <row r="1" spans="1:220" s="39" customFormat="1" ht="21" x14ac:dyDescent="0.15">
      <c r="A1" s="108" t="s">
        <v>38</v>
      </c>
      <c r="B1" s="109"/>
      <c r="C1" s="109"/>
      <c r="D1" s="109"/>
      <c r="E1" s="109"/>
      <c r="F1" s="109"/>
      <c r="G1" s="109"/>
      <c r="H1" s="109"/>
      <c r="I1" s="110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</row>
    <row r="2" spans="1:220" x14ac:dyDescent="0.15">
      <c r="A2" s="2" t="s">
        <v>6</v>
      </c>
      <c r="B2" s="25" t="s">
        <v>39</v>
      </c>
      <c r="C2" s="3" t="s">
        <v>7</v>
      </c>
      <c r="D2" s="4" t="s">
        <v>8</v>
      </c>
      <c r="E2" s="112" t="s">
        <v>9</v>
      </c>
      <c r="F2" s="112"/>
      <c r="G2" s="26">
        <v>1</v>
      </c>
      <c r="H2" s="19">
        <v>2</v>
      </c>
      <c r="I2" s="26">
        <v>3</v>
      </c>
      <c r="J2" s="27" t="s">
        <v>10</v>
      </c>
      <c r="K2" s="21" t="s">
        <v>11</v>
      </c>
      <c r="L2" s="21">
        <f>SUM(L3:L6)</f>
        <v>344</v>
      </c>
      <c r="M2" s="21">
        <f>SUM(M3:M6)</f>
        <v>0</v>
      </c>
      <c r="N2" s="21">
        <f>SUM(N3:N6)</f>
        <v>0</v>
      </c>
      <c r="O2" s="21">
        <f>SUM(O3:O6)</f>
        <v>344</v>
      </c>
      <c r="P2" s="21">
        <f>SUM(P3:P6)</f>
        <v>0</v>
      </c>
    </row>
    <row r="3" spans="1:220" x14ac:dyDescent="0.15">
      <c r="A3" s="2" t="s">
        <v>12</v>
      </c>
      <c r="B3" s="5">
        <v>42429</v>
      </c>
      <c r="C3" s="6" t="s">
        <v>13</v>
      </c>
      <c r="D3" s="7" t="s">
        <v>14</v>
      </c>
      <c r="E3" s="113" t="s">
        <v>15</v>
      </c>
      <c r="F3" s="113"/>
      <c r="G3" s="35" t="s">
        <v>475</v>
      </c>
      <c r="H3" s="18"/>
      <c r="I3" s="36"/>
      <c r="J3" s="28"/>
      <c r="K3" s="22" t="s">
        <v>16</v>
      </c>
      <c r="L3" s="21">
        <f>COUNTIF(G:G,"P")</f>
        <v>332</v>
      </c>
      <c r="M3" s="21">
        <f>COUNTIF(H:H,"P")</f>
        <v>0</v>
      </c>
      <c r="N3" s="21">
        <f>COUNTIF(F:F,"P")</f>
        <v>0</v>
      </c>
      <c r="O3" s="21">
        <f>COUNTIF(G:G,"P")</f>
        <v>332</v>
      </c>
      <c r="P3" s="21">
        <f>COUNTIF(H:H,"P")</f>
        <v>0</v>
      </c>
    </row>
    <row r="4" spans="1:220" x14ac:dyDescent="0.15">
      <c r="A4" s="8" t="s">
        <v>17</v>
      </c>
      <c r="B4" s="25" t="s">
        <v>40</v>
      </c>
      <c r="C4" s="69" t="s">
        <v>18</v>
      </c>
      <c r="D4" s="9" t="s">
        <v>19</v>
      </c>
      <c r="E4" s="113" t="s">
        <v>20</v>
      </c>
      <c r="F4" s="113"/>
      <c r="G4" s="35" t="s">
        <v>696</v>
      </c>
      <c r="H4" s="18"/>
      <c r="I4" s="36"/>
      <c r="J4" s="28"/>
      <c r="K4" s="23" t="s">
        <v>21</v>
      </c>
      <c r="L4" s="21">
        <f>COUNTIF(G:G,"F")</f>
        <v>3</v>
      </c>
      <c r="M4" s="21">
        <f>COUNTIF(E:E,"F")</f>
        <v>0</v>
      </c>
      <c r="N4" s="21">
        <f>COUNTIF(F:F,"F")</f>
        <v>0</v>
      </c>
      <c r="O4" s="21">
        <f>COUNTIF(G:G,"F")</f>
        <v>3</v>
      </c>
      <c r="P4" s="21">
        <f>COUNTIF(H:H,"F")</f>
        <v>0</v>
      </c>
    </row>
    <row r="5" spans="1:220" ht="13.5" customHeight="1" x14ac:dyDescent="0.15">
      <c r="A5" s="8" t="s">
        <v>22</v>
      </c>
      <c r="B5" s="25" t="s">
        <v>695</v>
      </c>
      <c r="C5" s="10" t="s">
        <v>23</v>
      </c>
      <c r="D5" s="11" t="s">
        <v>24</v>
      </c>
      <c r="E5" s="113" t="s">
        <v>25</v>
      </c>
      <c r="F5" s="113"/>
      <c r="G5" s="35" t="s">
        <v>476</v>
      </c>
      <c r="H5" s="18"/>
      <c r="I5" s="36"/>
      <c r="J5" s="28"/>
      <c r="K5" s="21" t="s">
        <v>26</v>
      </c>
      <c r="L5" s="21">
        <f>COUNTIF(G:G,"B")</f>
        <v>9</v>
      </c>
      <c r="M5" s="21">
        <f>COUNTIF(E:E,"B")</f>
        <v>0</v>
      </c>
      <c r="N5" s="21">
        <f>COUNTIF(F:F,"B")</f>
        <v>0</v>
      </c>
      <c r="O5" s="21">
        <f>COUNTIF(G:G,"B")</f>
        <v>9</v>
      </c>
      <c r="P5" s="21">
        <f>COUNTIF(H:H,"B")</f>
        <v>0</v>
      </c>
    </row>
    <row r="6" spans="1:220" x14ac:dyDescent="0.15">
      <c r="A6" s="114" t="s">
        <v>33</v>
      </c>
      <c r="B6" s="115"/>
      <c r="C6" s="115"/>
      <c r="D6" s="115"/>
      <c r="E6" s="115"/>
      <c r="F6" s="115"/>
      <c r="G6" s="115"/>
      <c r="H6" s="115"/>
      <c r="I6" s="115"/>
      <c r="J6" s="116"/>
      <c r="K6" s="8" t="s">
        <v>27</v>
      </c>
      <c r="L6" s="21">
        <f>COUNTIF(G:G,"/")</f>
        <v>0</v>
      </c>
      <c r="M6" s="21">
        <f>COUNTIF(E:E,"/")</f>
        <v>0</v>
      </c>
      <c r="N6" s="21">
        <f>COUNTIF(F:F,"/")</f>
        <v>0</v>
      </c>
      <c r="O6" s="21">
        <f>COUNTIF(G:G,"/")</f>
        <v>0</v>
      </c>
      <c r="P6" s="21">
        <f>COUNTIF(H:H,"/")</f>
        <v>0</v>
      </c>
    </row>
    <row r="7" spans="1:220" s="20" customFormat="1" x14ac:dyDescent="0.15">
      <c r="A7" s="117" t="s">
        <v>41</v>
      </c>
      <c r="B7" s="118"/>
      <c r="C7" s="118"/>
      <c r="D7" s="118"/>
      <c r="E7" s="118"/>
      <c r="F7" s="118"/>
      <c r="G7" s="118"/>
      <c r="H7" s="118"/>
      <c r="I7" s="118"/>
      <c r="J7" s="119"/>
      <c r="K7" s="33" t="s">
        <v>1</v>
      </c>
      <c r="L7" s="32">
        <v>0</v>
      </c>
      <c r="M7" s="32"/>
      <c r="N7" s="32"/>
      <c r="O7" s="32"/>
      <c r="P7" s="32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</row>
    <row r="8" spans="1:220" x14ac:dyDescent="0.15">
      <c r="A8" s="12" t="s">
        <v>28</v>
      </c>
      <c r="B8" s="24" t="s">
        <v>29</v>
      </c>
      <c r="C8" s="13" t="s">
        <v>0</v>
      </c>
      <c r="D8" s="7" t="s">
        <v>30</v>
      </c>
      <c r="E8" s="24" t="s">
        <v>31</v>
      </c>
      <c r="F8" s="24" t="s">
        <v>32</v>
      </c>
      <c r="G8" s="107" t="s">
        <v>35</v>
      </c>
      <c r="H8" s="107"/>
      <c r="I8" s="107"/>
      <c r="J8" s="29" t="s">
        <v>10</v>
      </c>
    </row>
    <row r="9" spans="1:220" ht="33" x14ac:dyDescent="0.15">
      <c r="A9" s="98" t="s">
        <v>49</v>
      </c>
      <c r="B9" s="25" t="s">
        <v>44</v>
      </c>
      <c r="C9" s="62" t="s">
        <v>699</v>
      </c>
      <c r="D9" s="53" t="s">
        <v>435</v>
      </c>
      <c r="G9" s="88" t="s">
        <v>477</v>
      </c>
    </row>
    <row r="10" spans="1:220" ht="33.75" customHeight="1" x14ac:dyDescent="0.15">
      <c r="A10" s="99"/>
      <c r="B10" s="91" t="s">
        <v>45</v>
      </c>
      <c r="C10" s="59" t="s">
        <v>51</v>
      </c>
      <c r="D10" s="53" t="s">
        <v>50</v>
      </c>
      <c r="G10" s="88" t="s">
        <v>477</v>
      </c>
    </row>
    <row r="11" spans="1:220" s="53" customFormat="1" ht="33.75" customHeight="1" x14ac:dyDescent="0.15">
      <c r="A11" s="99"/>
      <c r="B11" s="91" t="s">
        <v>46</v>
      </c>
      <c r="C11" s="59" t="s">
        <v>52</v>
      </c>
      <c r="D11" s="53" t="s">
        <v>58</v>
      </c>
      <c r="G11" s="88" t="s">
        <v>477</v>
      </c>
      <c r="H11" s="55"/>
      <c r="J11" s="59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  <c r="EY11" s="60"/>
      <c r="EZ11" s="60"/>
      <c r="FA11" s="60"/>
      <c r="FB11" s="60"/>
      <c r="FC11" s="60"/>
      <c r="FD11" s="60"/>
      <c r="FE11" s="60"/>
      <c r="FF11" s="60"/>
      <c r="FG11" s="60"/>
      <c r="FH11" s="60"/>
      <c r="FI11" s="60"/>
      <c r="FJ11" s="60"/>
      <c r="FK11" s="60"/>
      <c r="FL11" s="60"/>
      <c r="FM11" s="60"/>
      <c r="FN11" s="60"/>
      <c r="FO11" s="60"/>
      <c r="FP11" s="60"/>
      <c r="FQ11" s="60"/>
      <c r="FR11" s="60"/>
      <c r="FS11" s="60"/>
      <c r="FT11" s="60"/>
      <c r="FU11" s="60"/>
      <c r="FV11" s="60"/>
      <c r="FW11" s="60"/>
      <c r="FX11" s="60"/>
      <c r="FY11" s="60"/>
      <c r="FZ11" s="60"/>
      <c r="GA11" s="60"/>
      <c r="GB11" s="60"/>
      <c r="GC11" s="60"/>
      <c r="GD11" s="60"/>
      <c r="GE11" s="60"/>
      <c r="GF11" s="60"/>
      <c r="GG11" s="60"/>
      <c r="GH11" s="60"/>
      <c r="GI11" s="60"/>
      <c r="GJ11" s="60"/>
      <c r="GK11" s="60"/>
      <c r="GL11" s="60"/>
      <c r="GM11" s="60"/>
      <c r="GN11" s="60"/>
      <c r="GO11" s="60"/>
      <c r="GP11" s="60"/>
      <c r="GQ11" s="60"/>
      <c r="GR11" s="60"/>
      <c r="GS11" s="60"/>
      <c r="GT11" s="60"/>
      <c r="GU11" s="60"/>
      <c r="GV11" s="60"/>
      <c r="GW11" s="60"/>
      <c r="GX11" s="60"/>
      <c r="GY11" s="60"/>
      <c r="GZ11" s="60"/>
      <c r="HA11" s="60"/>
      <c r="HB11" s="60"/>
      <c r="HC11" s="60"/>
      <c r="HD11" s="60"/>
      <c r="HE11" s="60"/>
      <c r="HF11" s="60"/>
      <c r="HG11" s="60"/>
      <c r="HH11" s="60"/>
      <c r="HI11" s="60"/>
      <c r="HJ11" s="60"/>
      <c r="HK11" s="60"/>
      <c r="HL11" s="60"/>
    </row>
    <row r="12" spans="1:220" s="81" customFormat="1" ht="33.75" customHeight="1" x14ac:dyDescent="0.15">
      <c r="A12" s="99"/>
      <c r="B12" s="91" t="s">
        <v>47</v>
      </c>
      <c r="C12" s="83" t="s">
        <v>697</v>
      </c>
      <c r="D12" s="81" t="s">
        <v>58</v>
      </c>
      <c r="G12" s="88" t="s">
        <v>477</v>
      </c>
      <c r="H12" s="55"/>
      <c r="J12" s="83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</row>
    <row r="13" spans="1:220" s="53" customFormat="1" ht="33.75" customHeight="1" x14ac:dyDescent="0.15">
      <c r="A13" s="99"/>
      <c r="B13" s="91" t="s">
        <v>48</v>
      </c>
      <c r="C13" s="59" t="s">
        <v>54</v>
      </c>
      <c r="D13" s="8" t="s">
        <v>55</v>
      </c>
      <c r="G13" s="88" t="s">
        <v>477</v>
      </c>
      <c r="H13" s="55"/>
      <c r="J13" s="59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0"/>
      <c r="FC13" s="60"/>
      <c r="FD13" s="60"/>
      <c r="FE13" s="60"/>
      <c r="FF13" s="60"/>
      <c r="FG13" s="60"/>
      <c r="FH13" s="60"/>
      <c r="FI13" s="60"/>
      <c r="FJ13" s="60"/>
      <c r="FK13" s="60"/>
      <c r="FL13" s="60"/>
      <c r="FM13" s="60"/>
      <c r="FN13" s="60"/>
      <c r="FO13" s="60"/>
      <c r="FP13" s="60"/>
      <c r="FQ13" s="60"/>
      <c r="FR13" s="60"/>
      <c r="FS13" s="60"/>
      <c r="FT13" s="60"/>
      <c r="FU13" s="60"/>
      <c r="FV13" s="60"/>
      <c r="FW13" s="60"/>
      <c r="FX13" s="60"/>
      <c r="FY13" s="60"/>
      <c r="FZ13" s="60"/>
      <c r="GA13" s="60"/>
      <c r="GB13" s="60"/>
      <c r="GC13" s="60"/>
      <c r="GD13" s="60"/>
      <c r="GE13" s="60"/>
      <c r="GF13" s="60"/>
      <c r="GG13" s="60"/>
      <c r="GH13" s="60"/>
      <c r="GI13" s="60"/>
      <c r="GJ13" s="60"/>
      <c r="GK13" s="60"/>
      <c r="GL13" s="60"/>
      <c r="GM13" s="60"/>
      <c r="GN13" s="60"/>
      <c r="GO13" s="60"/>
      <c r="GP13" s="60"/>
      <c r="GQ13" s="60"/>
      <c r="GR13" s="60"/>
      <c r="GS13" s="60"/>
      <c r="GT13" s="60"/>
      <c r="GU13" s="60"/>
      <c r="GV13" s="60"/>
      <c r="GW13" s="60"/>
      <c r="GX13" s="60"/>
      <c r="GY13" s="60"/>
      <c r="GZ13" s="60"/>
      <c r="HA13" s="60"/>
      <c r="HB13" s="60"/>
      <c r="HC13" s="60"/>
      <c r="HD13" s="60"/>
      <c r="HE13" s="60"/>
      <c r="HF13" s="60"/>
      <c r="HG13" s="60"/>
      <c r="HH13" s="60"/>
      <c r="HI13" s="60"/>
      <c r="HJ13" s="60"/>
      <c r="HK13" s="60"/>
      <c r="HL13" s="60"/>
    </row>
    <row r="14" spans="1:220" s="53" customFormat="1" ht="16.5" customHeight="1" x14ac:dyDescent="0.15">
      <c r="A14" s="99"/>
      <c r="B14" s="91" t="s">
        <v>53</v>
      </c>
      <c r="C14" s="100" t="s">
        <v>701</v>
      </c>
      <c r="D14" s="53" t="s">
        <v>58</v>
      </c>
      <c r="G14" s="88" t="s">
        <v>477</v>
      </c>
      <c r="H14" s="55"/>
      <c r="J14" s="59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60"/>
      <c r="FA14" s="60"/>
      <c r="FB14" s="60"/>
      <c r="FC14" s="60"/>
      <c r="FD14" s="60"/>
      <c r="FE14" s="60"/>
      <c r="FF14" s="60"/>
      <c r="FG14" s="60"/>
      <c r="FH14" s="60"/>
      <c r="FI14" s="60"/>
      <c r="FJ14" s="60"/>
      <c r="FK14" s="60"/>
      <c r="FL14" s="60"/>
      <c r="FM14" s="60"/>
      <c r="FN14" s="60"/>
      <c r="FO14" s="60"/>
      <c r="FP14" s="60"/>
      <c r="FQ14" s="60"/>
      <c r="FR14" s="60"/>
      <c r="FS14" s="60"/>
      <c r="FT14" s="60"/>
      <c r="FU14" s="60"/>
      <c r="FV14" s="60"/>
      <c r="FW14" s="60"/>
      <c r="FX14" s="60"/>
      <c r="FY14" s="60"/>
      <c r="FZ14" s="60"/>
      <c r="GA14" s="60"/>
      <c r="GB14" s="60"/>
      <c r="GC14" s="60"/>
      <c r="GD14" s="60"/>
      <c r="GE14" s="60"/>
      <c r="GF14" s="60"/>
      <c r="GG14" s="60"/>
      <c r="GH14" s="60"/>
      <c r="GI14" s="60"/>
      <c r="GJ14" s="60"/>
      <c r="GK14" s="60"/>
      <c r="GL14" s="60"/>
      <c r="GM14" s="60"/>
      <c r="GN14" s="60"/>
      <c r="GO14" s="60"/>
      <c r="GP14" s="60"/>
      <c r="GQ14" s="60"/>
      <c r="GR14" s="60"/>
      <c r="GS14" s="60"/>
      <c r="GT14" s="60"/>
      <c r="GU14" s="60"/>
      <c r="GV14" s="60"/>
      <c r="GW14" s="60"/>
      <c r="GX14" s="60"/>
      <c r="GY14" s="60"/>
      <c r="GZ14" s="60"/>
      <c r="HA14" s="60"/>
      <c r="HB14" s="60"/>
      <c r="HC14" s="60"/>
      <c r="HD14" s="60"/>
      <c r="HE14" s="60"/>
      <c r="HF14" s="60"/>
      <c r="HG14" s="60"/>
      <c r="HH14" s="60"/>
      <c r="HI14" s="60"/>
      <c r="HJ14" s="60"/>
      <c r="HK14" s="60"/>
      <c r="HL14" s="60"/>
    </row>
    <row r="15" spans="1:220" s="81" customFormat="1" ht="16.5" customHeight="1" x14ac:dyDescent="0.15">
      <c r="A15" s="99"/>
      <c r="B15" s="91" t="s">
        <v>57</v>
      </c>
      <c r="C15" s="101"/>
      <c r="D15" s="81" t="s">
        <v>478</v>
      </c>
      <c r="G15" s="88" t="s">
        <v>477</v>
      </c>
      <c r="H15" s="55"/>
      <c r="J15" s="83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  <c r="FU15" s="84"/>
      <c r="FV15" s="84"/>
      <c r="FW15" s="84"/>
      <c r="FX15" s="84"/>
      <c r="FY15" s="84"/>
      <c r="FZ15" s="84"/>
      <c r="GA15" s="84"/>
      <c r="GB15" s="84"/>
      <c r="GC15" s="84"/>
      <c r="GD15" s="84"/>
      <c r="GE15" s="84"/>
      <c r="GF15" s="84"/>
      <c r="GG15" s="84"/>
      <c r="GH15" s="84"/>
      <c r="GI15" s="84"/>
      <c r="GJ15" s="84"/>
      <c r="GK15" s="84"/>
      <c r="GL15" s="84"/>
      <c r="GM15" s="84"/>
      <c r="GN15" s="84"/>
      <c r="GO15" s="84"/>
      <c r="GP15" s="84"/>
      <c r="GQ15" s="84"/>
      <c r="GR15" s="84"/>
      <c r="GS15" s="84"/>
      <c r="GT15" s="84"/>
      <c r="GU15" s="84"/>
      <c r="GV15" s="84"/>
      <c r="GW15" s="84"/>
      <c r="GX15" s="84"/>
      <c r="GY15" s="84"/>
      <c r="GZ15" s="84"/>
      <c r="HA15" s="84"/>
      <c r="HB15" s="84"/>
      <c r="HC15" s="84"/>
      <c r="HD15" s="84"/>
      <c r="HE15" s="84"/>
      <c r="HF15" s="84"/>
      <c r="HG15" s="84"/>
      <c r="HH15" s="84"/>
      <c r="HI15" s="84"/>
      <c r="HJ15" s="84"/>
      <c r="HK15" s="84"/>
      <c r="HL15" s="84"/>
    </row>
    <row r="16" spans="1:220" s="81" customFormat="1" ht="16.5" customHeight="1" x14ac:dyDescent="0.15">
      <c r="A16" s="99"/>
      <c r="B16" s="91" t="s">
        <v>59</v>
      </c>
      <c r="C16" s="103"/>
      <c r="D16" s="81" t="s">
        <v>479</v>
      </c>
      <c r="G16" s="88" t="s">
        <v>477</v>
      </c>
      <c r="H16" s="55"/>
      <c r="J16" s="83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</row>
    <row r="17" spans="1:220" s="53" customFormat="1" ht="16.5" customHeight="1" x14ac:dyDescent="0.15">
      <c r="A17" s="99"/>
      <c r="B17" s="91" t="s">
        <v>480</v>
      </c>
      <c r="C17" s="100" t="s">
        <v>61</v>
      </c>
      <c r="D17" s="53" t="s">
        <v>58</v>
      </c>
      <c r="G17" s="88" t="s">
        <v>477</v>
      </c>
      <c r="H17" s="55"/>
      <c r="J17" s="59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  <c r="CX17" s="60"/>
      <c r="CY17" s="60"/>
      <c r="CZ17" s="60"/>
      <c r="DA17" s="60"/>
      <c r="DB17" s="60"/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60"/>
      <c r="DX17" s="60"/>
      <c r="DY17" s="60"/>
      <c r="DZ17" s="60"/>
      <c r="EA17" s="60"/>
      <c r="EB17" s="60"/>
      <c r="EC17" s="60"/>
      <c r="ED17" s="60"/>
      <c r="EE17" s="60"/>
      <c r="EF17" s="60"/>
      <c r="EG17" s="60"/>
      <c r="EH17" s="60"/>
      <c r="EI17" s="60"/>
      <c r="EJ17" s="60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U17" s="60"/>
      <c r="EV17" s="60"/>
      <c r="EW17" s="60"/>
      <c r="EX17" s="60"/>
      <c r="EY17" s="60"/>
      <c r="EZ17" s="60"/>
      <c r="FA17" s="60"/>
      <c r="FB17" s="60"/>
      <c r="FC17" s="60"/>
      <c r="FD17" s="60"/>
      <c r="FE17" s="60"/>
      <c r="FF17" s="60"/>
      <c r="FG17" s="60"/>
      <c r="FH17" s="60"/>
      <c r="FI17" s="60"/>
      <c r="FJ17" s="60"/>
      <c r="FK17" s="60"/>
      <c r="FL17" s="60"/>
      <c r="FM17" s="60"/>
      <c r="FN17" s="60"/>
      <c r="FO17" s="60"/>
      <c r="FP17" s="60"/>
      <c r="FQ17" s="60"/>
      <c r="FR17" s="60"/>
      <c r="FS17" s="60"/>
      <c r="FT17" s="60"/>
      <c r="FU17" s="60"/>
      <c r="FV17" s="60"/>
      <c r="FW17" s="60"/>
      <c r="FX17" s="60"/>
      <c r="FY17" s="60"/>
      <c r="FZ17" s="60"/>
      <c r="GA17" s="60"/>
      <c r="GB17" s="60"/>
      <c r="GC17" s="60"/>
      <c r="GD17" s="60"/>
      <c r="GE17" s="60"/>
      <c r="GF17" s="60"/>
      <c r="GG17" s="60"/>
      <c r="GH17" s="60"/>
      <c r="GI17" s="60"/>
      <c r="GJ17" s="60"/>
      <c r="GK17" s="60"/>
      <c r="GL17" s="60"/>
      <c r="GM17" s="60"/>
      <c r="GN17" s="60"/>
      <c r="GO17" s="60"/>
      <c r="GP17" s="60"/>
      <c r="GQ17" s="60"/>
      <c r="GR17" s="60"/>
      <c r="GS17" s="60"/>
      <c r="GT17" s="60"/>
      <c r="GU17" s="60"/>
      <c r="GV17" s="60"/>
      <c r="GW17" s="60"/>
      <c r="GX17" s="60"/>
      <c r="GY17" s="60"/>
      <c r="GZ17" s="60"/>
      <c r="HA17" s="60"/>
      <c r="HB17" s="60"/>
      <c r="HC17" s="60"/>
      <c r="HD17" s="60"/>
      <c r="HE17" s="60"/>
      <c r="HF17" s="60"/>
      <c r="HG17" s="60"/>
      <c r="HH17" s="60"/>
      <c r="HI17" s="60"/>
      <c r="HJ17" s="60"/>
      <c r="HK17" s="60"/>
      <c r="HL17" s="60"/>
    </row>
    <row r="18" spans="1:220" s="81" customFormat="1" ht="16.5" customHeight="1" x14ac:dyDescent="0.15">
      <c r="A18" s="99"/>
      <c r="B18" s="91" t="s">
        <v>60</v>
      </c>
      <c r="C18" s="101"/>
      <c r="D18" s="81" t="s">
        <v>481</v>
      </c>
      <c r="G18" s="88" t="s">
        <v>477</v>
      </c>
      <c r="H18" s="55"/>
      <c r="J18" s="83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  <c r="FU18" s="84"/>
      <c r="FV18" s="84"/>
      <c r="FW18" s="84"/>
      <c r="FX18" s="84"/>
      <c r="FY18" s="84"/>
      <c r="FZ18" s="84"/>
      <c r="GA18" s="84"/>
      <c r="GB18" s="84"/>
      <c r="GC18" s="84"/>
      <c r="GD18" s="84"/>
      <c r="GE18" s="84"/>
      <c r="GF18" s="84"/>
      <c r="GG18" s="84"/>
      <c r="GH18" s="84"/>
      <c r="GI18" s="84"/>
      <c r="GJ18" s="84"/>
      <c r="GK18" s="84"/>
      <c r="GL18" s="84"/>
      <c r="GM18" s="84"/>
      <c r="GN18" s="84"/>
      <c r="GO18" s="84"/>
      <c r="GP18" s="84"/>
      <c r="GQ18" s="84"/>
      <c r="GR18" s="84"/>
      <c r="GS18" s="84"/>
      <c r="GT18" s="84"/>
      <c r="GU18" s="84"/>
      <c r="GV18" s="84"/>
      <c r="GW18" s="84"/>
      <c r="GX18" s="84"/>
      <c r="GY18" s="84"/>
      <c r="GZ18" s="84"/>
      <c r="HA18" s="84"/>
      <c r="HB18" s="84"/>
      <c r="HC18" s="84"/>
      <c r="HD18" s="84"/>
      <c r="HE18" s="84"/>
      <c r="HF18" s="84"/>
      <c r="HG18" s="84"/>
      <c r="HH18" s="84"/>
      <c r="HI18" s="84"/>
      <c r="HJ18" s="84"/>
      <c r="HK18" s="84"/>
      <c r="HL18" s="84"/>
    </row>
    <row r="19" spans="1:220" s="81" customFormat="1" ht="16.5" customHeight="1" x14ac:dyDescent="0.15">
      <c r="A19" s="99"/>
      <c r="B19" s="91" t="s">
        <v>65</v>
      </c>
      <c r="C19" s="103"/>
      <c r="D19" s="81" t="s">
        <v>482</v>
      </c>
      <c r="G19" s="88" t="s">
        <v>477</v>
      </c>
      <c r="H19" s="55"/>
      <c r="J19" s="83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  <c r="FU19" s="84"/>
      <c r="FV19" s="84"/>
      <c r="FW19" s="84"/>
      <c r="FX19" s="84"/>
      <c r="FY19" s="84"/>
      <c r="FZ19" s="84"/>
      <c r="GA19" s="84"/>
      <c r="GB19" s="84"/>
      <c r="GC19" s="84"/>
      <c r="GD19" s="84"/>
      <c r="GE19" s="84"/>
      <c r="GF19" s="84"/>
      <c r="GG19" s="84"/>
      <c r="GH19" s="84"/>
      <c r="GI19" s="84"/>
      <c r="GJ19" s="84"/>
      <c r="GK19" s="84"/>
      <c r="GL19" s="84"/>
      <c r="GM19" s="84"/>
      <c r="GN19" s="84"/>
      <c r="GO19" s="84"/>
      <c r="GP19" s="84"/>
      <c r="GQ19" s="84"/>
      <c r="GR19" s="84"/>
      <c r="GS19" s="84"/>
      <c r="GT19" s="84"/>
      <c r="GU19" s="84"/>
      <c r="GV19" s="84"/>
      <c r="GW19" s="84"/>
      <c r="GX19" s="84"/>
      <c r="GY19" s="84"/>
      <c r="GZ19" s="84"/>
      <c r="HA19" s="84"/>
      <c r="HB19" s="84"/>
      <c r="HC19" s="84"/>
      <c r="HD19" s="84"/>
      <c r="HE19" s="84"/>
      <c r="HF19" s="84"/>
      <c r="HG19" s="84"/>
      <c r="HH19" s="84"/>
      <c r="HI19" s="84"/>
      <c r="HJ19" s="84"/>
      <c r="HK19" s="84"/>
      <c r="HL19" s="84"/>
    </row>
    <row r="20" spans="1:220" s="81" customFormat="1" ht="16.5" customHeight="1" x14ac:dyDescent="0.15">
      <c r="A20" s="99"/>
      <c r="B20" s="91" t="s">
        <v>66</v>
      </c>
      <c r="C20" s="100" t="s">
        <v>62</v>
      </c>
      <c r="D20" s="53" t="s">
        <v>58</v>
      </c>
      <c r="G20" s="88" t="s">
        <v>477</v>
      </c>
      <c r="H20" s="55"/>
      <c r="J20" s="83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  <c r="FU20" s="84"/>
      <c r="FV20" s="84"/>
      <c r="FW20" s="84"/>
      <c r="FX20" s="84"/>
      <c r="FY20" s="84"/>
      <c r="FZ20" s="84"/>
      <c r="GA20" s="84"/>
      <c r="GB20" s="84"/>
      <c r="GC20" s="84"/>
      <c r="GD20" s="84"/>
      <c r="GE20" s="84"/>
      <c r="GF20" s="84"/>
      <c r="GG20" s="84"/>
      <c r="GH20" s="84"/>
      <c r="GI20" s="84"/>
      <c r="GJ20" s="84"/>
      <c r="GK20" s="84"/>
      <c r="GL20" s="84"/>
      <c r="GM20" s="84"/>
      <c r="GN20" s="84"/>
      <c r="GO20" s="84"/>
      <c r="GP20" s="84"/>
      <c r="GQ20" s="84"/>
      <c r="GR20" s="84"/>
      <c r="GS20" s="84"/>
      <c r="GT20" s="84"/>
      <c r="GU20" s="84"/>
      <c r="GV20" s="84"/>
      <c r="GW20" s="84"/>
      <c r="GX20" s="84"/>
      <c r="GY20" s="84"/>
      <c r="GZ20" s="84"/>
      <c r="HA20" s="84"/>
      <c r="HB20" s="84"/>
      <c r="HC20" s="84"/>
      <c r="HD20" s="84"/>
      <c r="HE20" s="84"/>
      <c r="HF20" s="84"/>
      <c r="HG20" s="84"/>
      <c r="HH20" s="84"/>
      <c r="HI20" s="84"/>
      <c r="HJ20" s="84"/>
      <c r="HK20" s="84"/>
      <c r="HL20" s="84"/>
    </row>
    <row r="21" spans="1:220" s="81" customFormat="1" ht="16.5" customHeight="1" x14ac:dyDescent="0.15">
      <c r="A21" s="99"/>
      <c r="B21" s="91" t="s">
        <v>67</v>
      </c>
      <c r="C21" s="101"/>
      <c r="D21" s="81" t="s">
        <v>483</v>
      </c>
      <c r="G21" s="88" t="s">
        <v>477</v>
      </c>
      <c r="H21" s="55"/>
      <c r="J21" s="83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  <c r="FU21" s="84"/>
      <c r="FV21" s="84"/>
      <c r="FW21" s="84"/>
      <c r="FX21" s="84"/>
      <c r="FY21" s="84"/>
      <c r="FZ21" s="84"/>
      <c r="GA21" s="84"/>
      <c r="GB21" s="84"/>
      <c r="GC21" s="84"/>
      <c r="GD21" s="84"/>
      <c r="GE21" s="84"/>
      <c r="GF21" s="84"/>
      <c r="GG21" s="84"/>
      <c r="GH21" s="84"/>
      <c r="GI21" s="84"/>
      <c r="GJ21" s="84"/>
      <c r="GK21" s="84"/>
      <c r="GL21" s="84"/>
      <c r="GM21" s="84"/>
      <c r="GN21" s="84"/>
      <c r="GO21" s="84"/>
      <c r="GP21" s="84"/>
      <c r="GQ21" s="84"/>
      <c r="GR21" s="84"/>
      <c r="GS21" s="84"/>
      <c r="GT21" s="84"/>
      <c r="GU21" s="84"/>
      <c r="GV21" s="84"/>
      <c r="GW21" s="84"/>
      <c r="GX21" s="84"/>
      <c r="GY21" s="84"/>
      <c r="GZ21" s="84"/>
      <c r="HA21" s="84"/>
      <c r="HB21" s="84"/>
      <c r="HC21" s="84"/>
      <c r="HD21" s="84"/>
      <c r="HE21" s="84"/>
      <c r="HF21" s="84"/>
      <c r="HG21" s="84"/>
      <c r="HH21" s="84"/>
      <c r="HI21" s="84"/>
      <c r="HJ21" s="84"/>
      <c r="HK21" s="84"/>
      <c r="HL21" s="84"/>
    </row>
    <row r="22" spans="1:220" s="53" customFormat="1" ht="16.5" customHeight="1" x14ac:dyDescent="0.15">
      <c r="A22" s="99"/>
      <c r="B22" s="91" t="s">
        <v>68</v>
      </c>
      <c r="C22" s="103"/>
      <c r="D22" s="81" t="s">
        <v>484</v>
      </c>
      <c r="G22" s="88" t="s">
        <v>477</v>
      </c>
      <c r="H22" s="55"/>
      <c r="J22" s="59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0"/>
      <c r="EO22" s="60"/>
      <c r="EP22" s="60"/>
      <c r="EQ22" s="60"/>
      <c r="ER22" s="60"/>
      <c r="ES22" s="60"/>
      <c r="ET22" s="60"/>
      <c r="EU22" s="60"/>
      <c r="EV22" s="60"/>
      <c r="EW22" s="60"/>
      <c r="EX22" s="60"/>
      <c r="EY22" s="60"/>
      <c r="EZ22" s="60"/>
      <c r="FA22" s="60"/>
      <c r="FB22" s="60"/>
      <c r="FC22" s="60"/>
      <c r="FD22" s="60"/>
      <c r="FE22" s="60"/>
      <c r="FF22" s="60"/>
      <c r="FG22" s="60"/>
      <c r="FH22" s="60"/>
      <c r="FI22" s="60"/>
      <c r="FJ22" s="60"/>
      <c r="FK22" s="60"/>
      <c r="FL22" s="60"/>
      <c r="FM22" s="60"/>
      <c r="FN22" s="60"/>
      <c r="FO22" s="60"/>
      <c r="FP22" s="60"/>
      <c r="FQ22" s="60"/>
      <c r="FR22" s="60"/>
      <c r="FS22" s="60"/>
      <c r="FT22" s="60"/>
      <c r="FU22" s="60"/>
      <c r="FV22" s="60"/>
      <c r="FW22" s="60"/>
      <c r="FX22" s="60"/>
      <c r="FY22" s="60"/>
      <c r="FZ22" s="60"/>
      <c r="GA22" s="60"/>
      <c r="GB22" s="60"/>
      <c r="GC22" s="60"/>
      <c r="GD22" s="60"/>
      <c r="GE22" s="60"/>
      <c r="GF22" s="60"/>
      <c r="GG22" s="60"/>
      <c r="GH22" s="60"/>
      <c r="GI22" s="60"/>
      <c r="GJ22" s="60"/>
      <c r="GK22" s="60"/>
      <c r="GL22" s="60"/>
      <c r="GM22" s="60"/>
      <c r="GN22" s="60"/>
      <c r="GO22" s="60"/>
      <c r="GP22" s="60"/>
      <c r="GQ22" s="60"/>
      <c r="GR22" s="60"/>
      <c r="GS22" s="60"/>
      <c r="GT22" s="60"/>
      <c r="GU22" s="60"/>
      <c r="GV22" s="60"/>
      <c r="GW22" s="60"/>
      <c r="GX22" s="60"/>
      <c r="GY22" s="60"/>
      <c r="GZ22" s="60"/>
      <c r="HA22" s="60"/>
      <c r="HB22" s="60"/>
      <c r="HC22" s="60"/>
      <c r="HD22" s="60"/>
      <c r="HE22" s="60"/>
      <c r="HF22" s="60"/>
      <c r="HG22" s="60"/>
      <c r="HH22" s="60"/>
      <c r="HI22" s="60"/>
      <c r="HJ22" s="60"/>
      <c r="HK22" s="60"/>
      <c r="HL22" s="60"/>
    </row>
    <row r="23" spans="1:220" ht="36.75" customHeight="1" x14ac:dyDescent="0.15">
      <c r="A23" s="91" t="s">
        <v>700</v>
      </c>
      <c r="B23" s="91" t="s">
        <v>698</v>
      </c>
      <c r="C23" s="59" t="s">
        <v>63</v>
      </c>
      <c r="D23" s="8" t="s">
        <v>64</v>
      </c>
      <c r="G23" s="88" t="s">
        <v>477</v>
      </c>
    </row>
    <row r="24" spans="1:220" s="20" customFormat="1" x14ac:dyDescent="0.15">
      <c r="A24" s="104" t="s">
        <v>42</v>
      </c>
      <c r="B24" s="105"/>
      <c r="C24" s="105"/>
      <c r="D24" s="105"/>
      <c r="E24" s="105"/>
      <c r="F24" s="105"/>
      <c r="G24" s="105"/>
      <c r="H24" s="105"/>
      <c r="I24" s="105"/>
      <c r="J24" s="10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</row>
    <row r="25" spans="1:220" ht="13.5" customHeight="1" x14ac:dyDescent="0.15">
      <c r="A25" s="12" t="s">
        <v>28</v>
      </c>
      <c r="B25" s="24" t="s">
        <v>29</v>
      </c>
      <c r="C25" s="13" t="s">
        <v>0</v>
      </c>
      <c r="D25" s="52" t="s">
        <v>30</v>
      </c>
      <c r="E25" s="24" t="s">
        <v>31</v>
      </c>
      <c r="F25" s="24" t="s">
        <v>32</v>
      </c>
      <c r="G25" s="107" t="s">
        <v>35</v>
      </c>
      <c r="H25" s="107"/>
      <c r="I25" s="107"/>
      <c r="J25" s="29" t="s">
        <v>10</v>
      </c>
    </row>
    <row r="26" spans="1:220" ht="16.5" customHeight="1" x14ac:dyDescent="0.15">
      <c r="A26" s="98" t="s">
        <v>427</v>
      </c>
      <c r="B26" s="76" t="s">
        <v>707</v>
      </c>
      <c r="C26" s="100" t="s">
        <v>428</v>
      </c>
      <c r="D26" s="74" t="s">
        <v>429</v>
      </c>
      <c r="E26" s="89"/>
      <c r="F26" s="89"/>
      <c r="G26" s="88" t="s">
        <v>477</v>
      </c>
      <c r="H26" s="89"/>
      <c r="I26" s="89"/>
      <c r="J26" s="89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</row>
    <row r="27" spans="1:220" s="79" customFormat="1" ht="16.5" customHeight="1" x14ac:dyDescent="0.15">
      <c r="A27" s="99"/>
      <c r="B27" s="91" t="s">
        <v>71</v>
      </c>
      <c r="C27" s="101"/>
      <c r="D27" s="74" t="s">
        <v>432</v>
      </c>
      <c r="E27" s="89"/>
      <c r="F27" s="89"/>
      <c r="G27" s="88" t="s">
        <v>477</v>
      </c>
      <c r="H27" s="89"/>
      <c r="I27" s="89"/>
      <c r="J27" s="89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</row>
    <row r="28" spans="1:220" s="85" customFormat="1" ht="16.5" customHeight="1" x14ac:dyDescent="0.15">
      <c r="A28" s="99"/>
      <c r="B28" s="91" t="s">
        <v>72</v>
      </c>
      <c r="C28" s="101"/>
      <c r="D28" s="81" t="s">
        <v>486</v>
      </c>
      <c r="E28" s="89"/>
      <c r="F28" s="89"/>
      <c r="G28" s="88" t="s">
        <v>477</v>
      </c>
      <c r="H28" s="89"/>
      <c r="I28" s="89"/>
      <c r="J28" s="89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</row>
    <row r="29" spans="1:220" s="61" customFormat="1" ht="16.5" customHeight="1" x14ac:dyDescent="0.15">
      <c r="A29" s="99"/>
      <c r="B29" s="91" t="s">
        <v>73</v>
      </c>
      <c r="C29" s="101"/>
      <c r="D29" s="74" t="s">
        <v>430</v>
      </c>
      <c r="E29" s="89"/>
      <c r="F29" s="89"/>
      <c r="G29" s="88" t="s">
        <v>477</v>
      </c>
      <c r="H29" s="82"/>
      <c r="I29" s="82"/>
      <c r="J29" s="83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EI29" s="60"/>
      <c r="EJ29" s="60"/>
      <c r="EK29" s="60"/>
      <c r="EL29" s="60"/>
      <c r="EM29" s="60"/>
      <c r="EN29" s="60"/>
      <c r="EO29" s="60"/>
      <c r="EP29" s="60"/>
      <c r="EQ29" s="60"/>
      <c r="ER29" s="60"/>
      <c r="ES29" s="60"/>
      <c r="ET29" s="60"/>
      <c r="EU29" s="60"/>
      <c r="EV29" s="60"/>
      <c r="EW29" s="60"/>
      <c r="EX29" s="60"/>
      <c r="EY29" s="60"/>
      <c r="EZ29" s="60"/>
      <c r="FA29" s="60"/>
      <c r="FB29" s="60"/>
      <c r="FC29" s="60"/>
      <c r="FD29" s="60"/>
      <c r="FE29" s="60"/>
      <c r="FF29" s="60"/>
      <c r="FG29" s="60"/>
      <c r="FH29" s="60"/>
      <c r="FI29" s="60"/>
      <c r="FJ29" s="60"/>
      <c r="FK29" s="60"/>
      <c r="FL29" s="60"/>
      <c r="FM29" s="60"/>
      <c r="FN29" s="60"/>
      <c r="FO29" s="60"/>
      <c r="FP29" s="60"/>
      <c r="FQ29" s="60"/>
      <c r="FR29" s="60"/>
      <c r="FS29" s="60"/>
      <c r="FT29" s="60"/>
      <c r="FU29" s="60"/>
      <c r="FV29" s="60"/>
      <c r="FW29" s="60"/>
      <c r="FX29" s="60"/>
      <c r="FY29" s="60"/>
      <c r="FZ29" s="60"/>
      <c r="GA29" s="60"/>
      <c r="GB29" s="60"/>
      <c r="GC29" s="60"/>
      <c r="GD29" s="60"/>
      <c r="GE29" s="60"/>
      <c r="GF29" s="60"/>
      <c r="GG29" s="60"/>
      <c r="GH29" s="60"/>
      <c r="GI29" s="60"/>
      <c r="GJ29" s="60"/>
      <c r="GK29" s="60"/>
      <c r="GL29" s="60"/>
      <c r="GM29" s="60"/>
      <c r="GN29" s="60"/>
      <c r="GO29" s="60"/>
      <c r="GP29" s="60"/>
      <c r="GQ29" s="60"/>
      <c r="GR29" s="60"/>
      <c r="GS29" s="60"/>
      <c r="GT29" s="60"/>
      <c r="GU29" s="60"/>
      <c r="GV29" s="60"/>
      <c r="GW29" s="60"/>
      <c r="GX29" s="60"/>
      <c r="GY29" s="60"/>
      <c r="GZ29" s="60"/>
      <c r="HA29" s="60"/>
      <c r="HB29" s="60"/>
      <c r="HC29" s="60"/>
      <c r="HD29" s="60"/>
      <c r="HE29" s="60"/>
      <c r="HF29" s="60"/>
      <c r="HG29" s="60"/>
      <c r="HH29" s="60"/>
      <c r="HI29" s="60"/>
      <c r="HJ29" s="60"/>
      <c r="HK29" s="60"/>
      <c r="HL29" s="60"/>
    </row>
    <row r="30" spans="1:220" s="79" customFormat="1" ht="16.5" customHeight="1" x14ac:dyDescent="0.15">
      <c r="A30" s="99"/>
      <c r="B30" s="91" t="s">
        <v>74</v>
      </c>
      <c r="C30" s="101"/>
      <c r="D30" s="74" t="s">
        <v>434</v>
      </c>
      <c r="E30" s="89"/>
      <c r="F30" s="89"/>
      <c r="G30" s="88" t="s">
        <v>477</v>
      </c>
      <c r="H30" s="82"/>
      <c r="I30" s="82"/>
      <c r="J30" s="83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78"/>
      <c r="DQ30" s="78"/>
      <c r="DR30" s="78"/>
      <c r="DS30" s="78"/>
      <c r="DT30" s="78"/>
      <c r="DU30" s="78"/>
      <c r="DV30" s="78"/>
      <c r="DW30" s="78"/>
      <c r="DX30" s="78"/>
      <c r="DY30" s="78"/>
      <c r="DZ30" s="78"/>
      <c r="EA30" s="78"/>
      <c r="EB30" s="78"/>
      <c r="EC30" s="78"/>
      <c r="ED30" s="78"/>
      <c r="EE30" s="78"/>
      <c r="EF30" s="78"/>
      <c r="EG30" s="78"/>
      <c r="EH30" s="78"/>
      <c r="EI30" s="78"/>
      <c r="EJ30" s="78"/>
      <c r="EK30" s="78"/>
      <c r="EL30" s="78"/>
      <c r="EM30" s="78"/>
      <c r="EN30" s="78"/>
      <c r="EO30" s="78"/>
      <c r="EP30" s="78"/>
      <c r="EQ30" s="78"/>
      <c r="ER30" s="78"/>
      <c r="ES30" s="78"/>
      <c r="ET30" s="78"/>
      <c r="EU30" s="78"/>
      <c r="EV30" s="78"/>
      <c r="EW30" s="78"/>
      <c r="EX30" s="78"/>
      <c r="EY30" s="78"/>
      <c r="EZ30" s="78"/>
      <c r="FA30" s="78"/>
      <c r="FB30" s="78"/>
      <c r="FC30" s="78"/>
      <c r="FD30" s="78"/>
      <c r="FE30" s="78"/>
      <c r="FF30" s="78"/>
      <c r="FG30" s="78"/>
      <c r="FH30" s="78"/>
      <c r="FI30" s="78"/>
      <c r="FJ30" s="78"/>
      <c r="FK30" s="78"/>
      <c r="FL30" s="78"/>
      <c r="FM30" s="78"/>
      <c r="FN30" s="78"/>
      <c r="FO30" s="78"/>
      <c r="FP30" s="78"/>
      <c r="FQ30" s="78"/>
      <c r="FR30" s="78"/>
      <c r="FS30" s="78"/>
      <c r="FT30" s="78"/>
      <c r="FU30" s="78"/>
      <c r="FV30" s="78"/>
      <c r="FW30" s="78"/>
      <c r="FX30" s="78"/>
      <c r="FY30" s="78"/>
      <c r="FZ30" s="78"/>
      <c r="GA30" s="78"/>
      <c r="GB30" s="78"/>
      <c r="GC30" s="78"/>
      <c r="GD30" s="78"/>
      <c r="GE30" s="78"/>
      <c r="GF30" s="78"/>
      <c r="GG30" s="78"/>
      <c r="GH30" s="78"/>
      <c r="GI30" s="78"/>
      <c r="GJ30" s="78"/>
      <c r="GK30" s="78"/>
      <c r="GL30" s="78"/>
      <c r="GM30" s="78"/>
      <c r="GN30" s="78"/>
      <c r="GO30" s="78"/>
      <c r="GP30" s="78"/>
      <c r="GQ30" s="78"/>
      <c r="GR30" s="78"/>
      <c r="GS30" s="78"/>
      <c r="GT30" s="78"/>
      <c r="GU30" s="78"/>
      <c r="GV30" s="78"/>
      <c r="GW30" s="78"/>
      <c r="GX30" s="78"/>
      <c r="GY30" s="78"/>
      <c r="GZ30" s="78"/>
      <c r="HA30" s="78"/>
      <c r="HB30" s="78"/>
      <c r="HC30" s="78"/>
      <c r="HD30" s="78"/>
      <c r="HE30" s="78"/>
      <c r="HF30" s="78"/>
      <c r="HG30" s="78"/>
      <c r="HH30" s="78"/>
      <c r="HI30" s="78"/>
      <c r="HJ30" s="78"/>
      <c r="HK30" s="78"/>
      <c r="HL30" s="78"/>
    </row>
    <row r="31" spans="1:220" s="61" customFormat="1" ht="16.5" customHeight="1" x14ac:dyDescent="0.15">
      <c r="A31" s="99"/>
      <c r="B31" s="91" t="s">
        <v>75</v>
      </c>
      <c r="C31" s="103"/>
      <c r="D31" s="74" t="s">
        <v>433</v>
      </c>
      <c r="E31" s="89"/>
      <c r="F31" s="89"/>
      <c r="G31" s="88" t="s">
        <v>477</v>
      </c>
      <c r="H31" s="82"/>
      <c r="I31" s="82"/>
      <c r="J31" s="83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  <c r="DT31" s="60"/>
      <c r="DU31" s="60"/>
      <c r="DV31" s="60"/>
      <c r="DW31" s="60"/>
      <c r="DX31" s="60"/>
      <c r="DY31" s="60"/>
      <c r="DZ31" s="60"/>
      <c r="EA31" s="60"/>
      <c r="EB31" s="60"/>
      <c r="EC31" s="60"/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0"/>
      <c r="EO31" s="60"/>
      <c r="EP31" s="60"/>
      <c r="EQ31" s="60"/>
      <c r="ER31" s="60"/>
      <c r="ES31" s="60"/>
      <c r="ET31" s="60"/>
      <c r="EU31" s="60"/>
      <c r="EV31" s="60"/>
      <c r="EW31" s="60"/>
      <c r="EX31" s="60"/>
      <c r="EY31" s="60"/>
      <c r="EZ31" s="60"/>
      <c r="FA31" s="60"/>
      <c r="FB31" s="60"/>
      <c r="FC31" s="60"/>
      <c r="FD31" s="60"/>
      <c r="FE31" s="60"/>
      <c r="FF31" s="60"/>
      <c r="FG31" s="60"/>
      <c r="FH31" s="60"/>
      <c r="FI31" s="60"/>
      <c r="FJ31" s="60"/>
      <c r="FK31" s="60"/>
      <c r="FL31" s="60"/>
      <c r="FM31" s="60"/>
      <c r="FN31" s="60"/>
      <c r="FO31" s="60"/>
      <c r="FP31" s="60"/>
      <c r="FQ31" s="60"/>
      <c r="FR31" s="60"/>
      <c r="FS31" s="60"/>
      <c r="FT31" s="60"/>
      <c r="FU31" s="60"/>
      <c r="FV31" s="60"/>
      <c r="FW31" s="60"/>
      <c r="FX31" s="60"/>
      <c r="FY31" s="60"/>
      <c r="FZ31" s="60"/>
      <c r="GA31" s="60"/>
      <c r="GB31" s="60"/>
      <c r="GC31" s="60"/>
      <c r="GD31" s="60"/>
      <c r="GE31" s="60"/>
      <c r="GF31" s="60"/>
      <c r="GG31" s="60"/>
      <c r="GH31" s="60"/>
      <c r="GI31" s="60"/>
      <c r="GJ31" s="60"/>
      <c r="GK31" s="60"/>
      <c r="GL31" s="60"/>
      <c r="GM31" s="60"/>
      <c r="GN31" s="60"/>
      <c r="GO31" s="60"/>
      <c r="GP31" s="60"/>
      <c r="GQ31" s="60"/>
      <c r="GR31" s="60"/>
      <c r="GS31" s="60"/>
      <c r="GT31" s="60"/>
      <c r="GU31" s="60"/>
      <c r="GV31" s="60"/>
      <c r="GW31" s="60"/>
      <c r="GX31" s="60"/>
      <c r="GY31" s="60"/>
      <c r="GZ31" s="60"/>
      <c r="HA31" s="60"/>
      <c r="HB31" s="60"/>
      <c r="HC31" s="60"/>
      <c r="HD31" s="60"/>
      <c r="HE31" s="60"/>
      <c r="HF31" s="60"/>
      <c r="HG31" s="60"/>
      <c r="HH31" s="60"/>
      <c r="HI31" s="60"/>
      <c r="HJ31" s="60"/>
      <c r="HK31" s="60"/>
      <c r="HL31" s="60"/>
    </row>
    <row r="32" spans="1:220" s="61" customFormat="1" ht="16.5" customHeight="1" x14ac:dyDescent="0.15">
      <c r="A32" s="99"/>
      <c r="B32" s="91" t="s">
        <v>76</v>
      </c>
      <c r="C32" s="100" t="s">
        <v>702</v>
      </c>
      <c r="D32" s="1" t="s">
        <v>69</v>
      </c>
      <c r="E32" s="53"/>
      <c r="F32" s="53"/>
      <c r="G32" s="88" t="s">
        <v>477</v>
      </c>
      <c r="H32" s="54"/>
      <c r="I32" s="54"/>
      <c r="J32" s="59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0"/>
      <c r="DY32" s="60"/>
      <c r="DZ32" s="60"/>
      <c r="EA32" s="60"/>
      <c r="EB32" s="60"/>
      <c r="EC32" s="60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0"/>
      <c r="FE32" s="60"/>
      <c r="FF32" s="60"/>
      <c r="FG32" s="60"/>
      <c r="FH32" s="60"/>
      <c r="FI32" s="60"/>
      <c r="FJ32" s="60"/>
      <c r="FK32" s="60"/>
      <c r="FL32" s="60"/>
      <c r="FM32" s="60"/>
      <c r="FN32" s="60"/>
      <c r="FO32" s="60"/>
      <c r="FP32" s="60"/>
      <c r="FQ32" s="60"/>
      <c r="FR32" s="60"/>
      <c r="FS32" s="60"/>
      <c r="FT32" s="60"/>
      <c r="FU32" s="60"/>
      <c r="FV32" s="60"/>
      <c r="FW32" s="60"/>
      <c r="FX32" s="60"/>
      <c r="FY32" s="60"/>
      <c r="FZ32" s="60"/>
      <c r="GA32" s="60"/>
      <c r="GB32" s="60"/>
      <c r="GC32" s="60"/>
      <c r="GD32" s="60"/>
      <c r="GE32" s="60"/>
      <c r="GF32" s="60"/>
      <c r="GG32" s="60"/>
      <c r="GH32" s="60"/>
      <c r="GI32" s="60"/>
      <c r="GJ32" s="60"/>
      <c r="GK32" s="60"/>
      <c r="GL32" s="60"/>
      <c r="GM32" s="60"/>
      <c r="GN32" s="60"/>
      <c r="GO32" s="60"/>
      <c r="GP32" s="60"/>
      <c r="GQ32" s="60"/>
      <c r="GR32" s="60"/>
      <c r="GS32" s="60"/>
      <c r="GT32" s="60"/>
      <c r="GU32" s="60"/>
      <c r="GV32" s="60"/>
      <c r="GW32" s="60"/>
      <c r="GX32" s="60"/>
      <c r="GY32" s="60"/>
      <c r="GZ32" s="60"/>
      <c r="HA32" s="60"/>
      <c r="HB32" s="60"/>
      <c r="HC32" s="60"/>
      <c r="HD32" s="60"/>
      <c r="HE32" s="60"/>
      <c r="HF32" s="60"/>
      <c r="HG32" s="60"/>
      <c r="HH32" s="60"/>
      <c r="HI32" s="60"/>
      <c r="HJ32" s="60"/>
      <c r="HK32" s="60"/>
      <c r="HL32" s="60"/>
    </row>
    <row r="33" spans="1:220" s="79" customFormat="1" ht="16.5" customHeight="1" x14ac:dyDescent="0.15">
      <c r="A33" s="99"/>
      <c r="B33" s="91" t="s">
        <v>85</v>
      </c>
      <c r="C33" s="101"/>
      <c r="D33" s="51" t="s">
        <v>70</v>
      </c>
      <c r="E33" s="74"/>
      <c r="F33" s="74"/>
      <c r="G33" s="88" t="s">
        <v>477</v>
      </c>
      <c r="H33" s="75"/>
      <c r="I33" s="75"/>
      <c r="J33" s="77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78"/>
      <c r="FM33" s="78"/>
      <c r="FN33" s="78"/>
      <c r="FO33" s="78"/>
      <c r="FP33" s="78"/>
      <c r="FQ33" s="78"/>
      <c r="FR33" s="78"/>
      <c r="FS33" s="78"/>
      <c r="FT33" s="78"/>
      <c r="FU33" s="78"/>
      <c r="FV33" s="78"/>
      <c r="FW33" s="78"/>
      <c r="FX33" s="78"/>
      <c r="FY33" s="78"/>
      <c r="FZ33" s="78"/>
      <c r="GA33" s="78"/>
      <c r="GB33" s="78"/>
      <c r="GC33" s="78"/>
      <c r="GD33" s="78"/>
      <c r="GE33" s="78"/>
      <c r="GF33" s="78"/>
      <c r="GG33" s="78"/>
      <c r="GH33" s="78"/>
      <c r="GI33" s="78"/>
      <c r="GJ33" s="78"/>
      <c r="GK33" s="78"/>
      <c r="GL33" s="78"/>
      <c r="GM33" s="78"/>
      <c r="GN33" s="78"/>
      <c r="GO33" s="78"/>
      <c r="GP33" s="78"/>
      <c r="GQ33" s="78"/>
      <c r="GR33" s="78"/>
      <c r="GS33" s="78"/>
      <c r="GT33" s="78"/>
      <c r="GU33" s="78"/>
      <c r="GV33" s="78"/>
      <c r="GW33" s="78"/>
      <c r="GX33" s="78"/>
      <c r="GY33" s="78"/>
      <c r="GZ33" s="78"/>
      <c r="HA33" s="78"/>
      <c r="HB33" s="78"/>
      <c r="HC33" s="78"/>
      <c r="HD33" s="78"/>
      <c r="HE33" s="78"/>
      <c r="HF33" s="78"/>
      <c r="HG33" s="78"/>
      <c r="HH33" s="78"/>
      <c r="HI33" s="78"/>
      <c r="HJ33" s="78"/>
      <c r="HK33" s="78"/>
      <c r="HL33" s="78"/>
    </row>
    <row r="34" spans="1:220" s="79" customFormat="1" ht="16.5" customHeight="1" x14ac:dyDescent="0.15">
      <c r="A34" s="99"/>
      <c r="B34" s="91" t="s">
        <v>86</v>
      </c>
      <c r="C34" s="101"/>
      <c r="D34" s="80" t="s">
        <v>437</v>
      </c>
      <c r="E34" s="74"/>
      <c r="F34" s="74"/>
      <c r="G34" s="88" t="s">
        <v>477</v>
      </c>
      <c r="H34" s="75"/>
      <c r="I34" s="75"/>
      <c r="J34" s="77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I34" s="78"/>
      <c r="FJ34" s="78"/>
      <c r="FK34" s="78"/>
      <c r="FL34" s="78"/>
      <c r="FM34" s="78"/>
      <c r="FN34" s="78"/>
      <c r="FO34" s="78"/>
      <c r="FP34" s="78"/>
      <c r="FQ34" s="78"/>
      <c r="FR34" s="78"/>
      <c r="FS34" s="78"/>
      <c r="FT34" s="78"/>
      <c r="FU34" s="78"/>
      <c r="FV34" s="78"/>
      <c r="FW34" s="78"/>
      <c r="FX34" s="78"/>
      <c r="FY34" s="78"/>
      <c r="FZ34" s="78"/>
      <c r="GA34" s="78"/>
      <c r="GB34" s="78"/>
      <c r="GC34" s="78"/>
      <c r="GD34" s="78"/>
      <c r="GE34" s="78"/>
      <c r="GF34" s="78"/>
      <c r="GG34" s="78"/>
      <c r="GH34" s="78"/>
      <c r="GI34" s="78"/>
      <c r="GJ34" s="78"/>
      <c r="GK34" s="78"/>
      <c r="GL34" s="78"/>
      <c r="GM34" s="78"/>
      <c r="GN34" s="78"/>
      <c r="GO34" s="78"/>
      <c r="GP34" s="78"/>
      <c r="GQ34" s="78"/>
      <c r="GR34" s="78"/>
      <c r="GS34" s="78"/>
      <c r="GT34" s="78"/>
      <c r="GU34" s="78"/>
      <c r="GV34" s="78"/>
      <c r="GW34" s="78"/>
      <c r="GX34" s="78"/>
      <c r="GY34" s="78"/>
      <c r="GZ34" s="78"/>
      <c r="HA34" s="78"/>
      <c r="HB34" s="78"/>
      <c r="HC34" s="78"/>
      <c r="HD34" s="78"/>
      <c r="HE34" s="78"/>
      <c r="HF34" s="78"/>
      <c r="HG34" s="78"/>
      <c r="HH34" s="78"/>
      <c r="HI34" s="78"/>
      <c r="HJ34" s="78"/>
      <c r="HK34" s="78"/>
      <c r="HL34" s="78"/>
    </row>
    <row r="35" spans="1:220" s="79" customFormat="1" ht="16.5" customHeight="1" x14ac:dyDescent="0.15">
      <c r="A35" s="99"/>
      <c r="B35" s="91" t="s">
        <v>87</v>
      </c>
      <c r="C35" s="101"/>
      <c r="D35" s="86" t="s">
        <v>438</v>
      </c>
      <c r="E35" s="74"/>
      <c r="F35" s="74"/>
      <c r="G35" s="88" t="s">
        <v>477</v>
      </c>
      <c r="H35" s="75"/>
      <c r="I35" s="75"/>
      <c r="J35" s="77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  <c r="EF35" s="78"/>
      <c r="EG35" s="78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78"/>
      <c r="FF35" s="78"/>
      <c r="FG35" s="78"/>
      <c r="FH35" s="78"/>
      <c r="FI35" s="78"/>
      <c r="FJ35" s="78"/>
      <c r="FK35" s="78"/>
      <c r="FL35" s="78"/>
      <c r="FM35" s="78"/>
      <c r="FN35" s="78"/>
      <c r="FO35" s="78"/>
      <c r="FP35" s="78"/>
      <c r="FQ35" s="78"/>
      <c r="FR35" s="78"/>
      <c r="FS35" s="78"/>
      <c r="FT35" s="78"/>
      <c r="FU35" s="78"/>
      <c r="FV35" s="78"/>
      <c r="FW35" s="78"/>
      <c r="FX35" s="78"/>
      <c r="FY35" s="78"/>
      <c r="FZ35" s="78"/>
      <c r="GA35" s="78"/>
      <c r="GB35" s="78"/>
      <c r="GC35" s="78"/>
      <c r="GD35" s="78"/>
      <c r="GE35" s="78"/>
      <c r="GF35" s="78"/>
      <c r="GG35" s="78"/>
      <c r="GH35" s="78"/>
      <c r="GI35" s="78"/>
      <c r="GJ35" s="78"/>
      <c r="GK35" s="78"/>
      <c r="GL35" s="78"/>
      <c r="GM35" s="78"/>
      <c r="GN35" s="78"/>
      <c r="GO35" s="78"/>
      <c r="GP35" s="78"/>
      <c r="GQ35" s="78"/>
      <c r="GR35" s="78"/>
      <c r="GS35" s="78"/>
      <c r="GT35" s="78"/>
      <c r="GU35" s="78"/>
      <c r="GV35" s="78"/>
      <c r="GW35" s="78"/>
      <c r="GX35" s="78"/>
      <c r="GY35" s="78"/>
      <c r="GZ35" s="78"/>
      <c r="HA35" s="78"/>
      <c r="HB35" s="78"/>
      <c r="HC35" s="78"/>
      <c r="HD35" s="78"/>
      <c r="HE35" s="78"/>
      <c r="HF35" s="78"/>
      <c r="HG35" s="78"/>
      <c r="HH35" s="78"/>
      <c r="HI35" s="78"/>
      <c r="HJ35" s="78"/>
      <c r="HK35" s="78"/>
      <c r="HL35" s="78"/>
    </row>
    <row r="36" spans="1:220" s="79" customFormat="1" ht="16.5" customHeight="1" x14ac:dyDescent="0.15">
      <c r="A36" s="99"/>
      <c r="B36" s="91" t="s">
        <v>88</v>
      </c>
      <c r="C36" s="101"/>
      <c r="D36" s="86" t="s">
        <v>436</v>
      </c>
      <c r="E36" s="74"/>
      <c r="F36" s="74"/>
      <c r="G36" s="88" t="s">
        <v>477</v>
      </c>
      <c r="H36" s="75"/>
      <c r="I36" s="75"/>
      <c r="J36" s="77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  <c r="DW36" s="78"/>
      <c r="DX36" s="78"/>
      <c r="DY36" s="78"/>
      <c r="DZ36" s="78"/>
      <c r="EA36" s="78"/>
      <c r="EB36" s="78"/>
      <c r="EC36" s="78"/>
      <c r="ED36" s="78"/>
      <c r="EE36" s="78"/>
      <c r="EF36" s="78"/>
      <c r="EG36" s="78"/>
      <c r="EH36" s="78"/>
      <c r="EI36" s="78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/>
      <c r="EV36" s="78"/>
      <c r="EW36" s="78"/>
      <c r="EX36" s="78"/>
      <c r="EY36" s="78"/>
      <c r="EZ36" s="78"/>
      <c r="FA36" s="78"/>
      <c r="FB36" s="78"/>
      <c r="FC36" s="78"/>
      <c r="FD36" s="78"/>
      <c r="FE36" s="78"/>
      <c r="FF36" s="78"/>
      <c r="FG36" s="78"/>
      <c r="FH36" s="78"/>
      <c r="FI36" s="78"/>
      <c r="FJ36" s="78"/>
      <c r="FK36" s="78"/>
      <c r="FL36" s="78"/>
      <c r="FM36" s="78"/>
      <c r="FN36" s="78"/>
      <c r="FO36" s="78"/>
      <c r="FP36" s="78"/>
      <c r="FQ36" s="78"/>
      <c r="FR36" s="78"/>
      <c r="FS36" s="78"/>
      <c r="FT36" s="78"/>
      <c r="FU36" s="78"/>
      <c r="FV36" s="78"/>
      <c r="FW36" s="78"/>
      <c r="FX36" s="78"/>
      <c r="FY36" s="78"/>
      <c r="FZ36" s="78"/>
      <c r="GA36" s="78"/>
      <c r="GB36" s="78"/>
      <c r="GC36" s="78"/>
      <c r="GD36" s="78"/>
      <c r="GE36" s="78"/>
      <c r="GF36" s="78"/>
      <c r="GG36" s="78"/>
      <c r="GH36" s="78"/>
      <c r="GI36" s="78"/>
      <c r="GJ36" s="78"/>
      <c r="GK36" s="78"/>
      <c r="GL36" s="78"/>
      <c r="GM36" s="78"/>
      <c r="GN36" s="78"/>
      <c r="GO36" s="78"/>
      <c r="GP36" s="78"/>
      <c r="GQ36" s="78"/>
      <c r="GR36" s="78"/>
      <c r="GS36" s="78"/>
      <c r="GT36" s="78"/>
      <c r="GU36" s="78"/>
      <c r="GV36" s="78"/>
      <c r="GW36" s="78"/>
      <c r="GX36" s="78"/>
      <c r="GY36" s="78"/>
      <c r="GZ36" s="78"/>
      <c r="HA36" s="78"/>
      <c r="HB36" s="78"/>
      <c r="HC36" s="78"/>
      <c r="HD36" s="78"/>
      <c r="HE36" s="78"/>
      <c r="HF36" s="78"/>
      <c r="HG36" s="78"/>
      <c r="HH36" s="78"/>
      <c r="HI36" s="78"/>
      <c r="HJ36" s="78"/>
      <c r="HK36" s="78"/>
      <c r="HL36" s="78"/>
    </row>
    <row r="37" spans="1:220" s="61" customFormat="1" ht="16.5" customHeight="1" x14ac:dyDescent="0.15">
      <c r="A37" s="99"/>
      <c r="B37" s="91" t="s">
        <v>90</v>
      </c>
      <c r="C37" s="103"/>
      <c r="D37" s="86" t="s">
        <v>439</v>
      </c>
      <c r="E37" s="53"/>
      <c r="F37" s="53"/>
      <c r="G37" s="88" t="s">
        <v>477</v>
      </c>
      <c r="H37" s="54"/>
      <c r="I37" s="54"/>
      <c r="J37" s="59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0"/>
      <c r="DY37" s="60"/>
      <c r="DZ37" s="60"/>
      <c r="EA37" s="60"/>
      <c r="EB37" s="60"/>
      <c r="EC37" s="60"/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0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60"/>
      <c r="FA37" s="60"/>
      <c r="FB37" s="60"/>
      <c r="FC37" s="60"/>
      <c r="FD37" s="60"/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0"/>
      <c r="FU37" s="60"/>
      <c r="FV37" s="60"/>
      <c r="FW37" s="60"/>
      <c r="FX37" s="60"/>
      <c r="FY37" s="60"/>
      <c r="FZ37" s="60"/>
      <c r="GA37" s="60"/>
      <c r="GB37" s="60"/>
      <c r="GC37" s="60"/>
      <c r="GD37" s="60"/>
      <c r="GE37" s="60"/>
      <c r="GF37" s="60"/>
      <c r="GG37" s="60"/>
      <c r="GH37" s="60"/>
      <c r="GI37" s="60"/>
      <c r="GJ37" s="60"/>
      <c r="GK37" s="60"/>
      <c r="GL37" s="60"/>
      <c r="GM37" s="60"/>
      <c r="GN37" s="60"/>
      <c r="GO37" s="60"/>
      <c r="GP37" s="60"/>
      <c r="GQ37" s="60"/>
      <c r="GR37" s="60"/>
      <c r="GS37" s="60"/>
      <c r="GT37" s="60"/>
      <c r="GU37" s="60"/>
      <c r="GV37" s="60"/>
      <c r="GW37" s="60"/>
      <c r="GX37" s="60"/>
      <c r="GY37" s="60"/>
      <c r="GZ37" s="60"/>
      <c r="HA37" s="60"/>
      <c r="HB37" s="60"/>
      <c r="HC37" s="60"/>
      <c r="HD37" s="60"/>
      <c r="HE37" s="60"/>
      <c r="HF37" s="60"/>
      <c r="HG37" s="60"/>
      <c r="HH37" s="60"/>
      <c r="HI37" s="60"/>
      <c r="HJ37" s="60"/>
      <c r="HK37" s="60"/>
      <c r="HL37" s="60"/>
    </row>
    <row r="38" spans="1:220" s="61" customFormat="1" ht="16.5" customHeight="1" x14ac:dyDescent="0.15">
      <c r="A38" s="99"/>
      <c r="B38" s="91" t="s">
        <v>91</v>
      </c>
      <c r="C38" s="100" t="s">
        <v>139</v>
      </c>
      <c r="D38" s="51" t="s">
        <v>77</v>
      </c>
      <c r="E38" s="53"/>
      <c r="F38" s="53"/>
      <c r="G38" s="88" t="s">
        <v>477</v>
      </c>
      <c r="H38" s="54"/>
      <c r="I38" s="54"/>
      <c r="J38" s="59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0"/>
      <c r="DV38" s="60"/>
      <c r="DW38" s="60"/>
      <c r="DX38" s="60"/>
      <c r="DY38" s="60"/>
      <c r="DZ38" s="60"/>
      <c r="EA38" s="60"/>
      <c r="EB38" s="60"/>
      <c r="EC38" s="60"/>
      <c r="ED38" s="60"/>
      <c r="EE38" s="60"/>
      <c r="EF38" s="60"/>
      <c r="EG38" s="60"/>
      <c r="EH38" s="60"/>
      <c r="EI38" s="60"/>
      <c r="EJ38" s="60"/>
      <c r="EK38" s="60"/>
      <c r="EL38" s="60"/>
      <c r="EM38" s="60"/>
      <c r="EN38" s="60"/>
      <c r="EO38" s="60"/>
      <c r="EP38" s="60"/>
      <c r="EQ38" s="60"/>
      <c r="ER38" s="60"/>
      <c r="ES38" s="60"/>
      <c r="ET38" s="60"/>
      <c r="EU38" s="60"/>
      <c r="EV38" s="60"/>
      <c r="EW38" s="60"/>
      <c r="EX38" s="60"/>
      <c r="EY38" s="60"/>
      <c r="EZ38" s="60"/>
      <c r="FA38" s="60"/>
      <c r="FB38" s="60"/>
      <c r="FC38" s="60"/>
      <c r="FD38" s="60"/>
      <c r="FE38" s="60"/>
      <c r="FF38" s="60"/>
      <c r="FG38" s="60"/>
      <c r="FH38" s="60"/>
      <c r="FI38" s="60"/>
      <c r="FJ38" s="60"/>
      <c r="FK38" s="60"/>
      <c r="FL38" s="60"/>
      <c r="FM38" s="60"/>
      <c r="FN38" s="60"/>
      <c r="FO38" s="60"/>
      <c r="FP38" s="60"/>
      <c r="FQ38" s="60"/>
      <c r="FR38" s="60"/>
      <c r="FS38" s="60"/>
      <c r="FT38" s="60"/>
      <c r="FU38" s="60"/>
      <c r="FV38" s="60"/>
      <c r="FW38" s="60"/>
      <c r="FX38" s="60"/>
      <c r="FY38" s="60"/>
      <c r="FZ38" s="60"/>
      <c r="GA38" s="60"/>
      <c r="GB38" s="60"/>
      <c r="GC38" s="60"/>
      <c r="GD38" s="60"/>
      <c r="GE38" s="60"/>
      <c r="GF38" s="60"/>
      <c r="GG38" s="60"/>
      <c r="GH38" s="60"/>
      <c r="GI38" s="60"/>
      <c r="GJ38" s="60"/>
      <c r="GK38" s="60"/>
      <c r="GL38" s="60"/>
      <c r="GM38" s="60"/>
      <c r="GN38" s="60"/>
      <c r="GO38" s="60"/>
      <c r="GP38" s="60"/>
      <c r="GQ38" s="60"/>
      <c r="GR38" s="60"/>
      <c r="GS38" s="60"/>
      <c r="GT38" s="60"/>
      <c r="GU38" s="60"/>
      <c r="GV38" s="60"/>
      <c r="GW38" s="60"/>
      <c r="GX38" s="60"/>
      <c r="GY38" s="60"/>
      <c r="GZ38" s="60"/>
      <c r="HA38" s="60"/>
      <c r="HB38" s="60"/>
      <c r="HC38" s="60"/>
      <c r="HD38" s="60"/>
      <c r="HE38" s="60"/>
      <c r="HF38" s="60"/>
      <c r="HG38" s="60"/>
      <c r="HH38" s="60"/>
      <c r="HI38" s="60"/>
      <c r="HJ38" s="60"/>
      <c r="HK38" s="60"/>
      <c r="HL38" s="60"/>
    </row>
    <row r="39" spans="1:220" s="61" customFormat="1" ht="16.5" customHeight="1" x14ac:dyDescent="0.15">
      <c r="A39" s="99"/>
      <c r="B39" s="91" t="s">
        <v>92</v>
      </c>
      <c r="C39" s="101"/>
      <c r="D39" s="51" t="s">
        <v>78</v>
      </c>
      <c r="E39" s="53"/>
      <c r="F39" s="53"/>
      <c r="G39" s="88" t="s">
        <v>477</v>
      </c>
      <c r="H39" s="54"/>
      <c r="I39" s="54"/>
      <c r="J39" s="53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  <c r="CV39" s="60"/>
      <c r="CW39" s="60"/>
      <c r="CX39" s="60"/>
      <c r="CY39" s="60"/>
      <c r="CZ39" s="60"/>
      <c r="DA39" s="60"/>
      <c r="DB39" s="60"/>
      <c r="DC39" s="60"/>
      <c r="DD39" s="60"/>
      <c r="DE39" s="60"/>
      <c r="DF39" s="60"/>
      <c r="DG39" s="60"/>
      <c r="DH39" s="60"/>
      <c r="DI39" s="60"/>
      <c r="DJ39" s="60"/>
      <c r="DK39" s="60"/>
      <c r="DL39" s="60"/>
      <c r="DM39" s="60"/>
      <c r="DN39" s="60"/>
      <c r="DO39" s="60"/>
      <c r="DP39" s="60"/>
      <c r="DQ39" s="60"/>
      <c r="DR39" s="60"/>
      <c r="DS39" s="60"/>
      <c r="DT39" s="60"/>
      <c r="DU39" s="60"/>
      <c r="DV39" s="60"/>
      <c r="DW39" s="60"/>
      <c r="DX39" s="60"/>
      <c r="DY39" s="60"/>
      <c r="DZ39" s="60"/>
      <c r="EA39" s="60"/>
      <c r="EB39" s="60"/>
      <c r="EC39" s="60"/>
      <c r="ED39" s="60"/>
      <c r="EE39" s="60"/>
      <c r="EF39" s="60"/>
      <c r="EG39" s="60"/>
      <c r="EH39" s="60"/>
      <c r="EI39" s="60"/>
      <c r="EJ39" s="60"/>
      <c r="EK39" s="60"/>
      <c r="EL39" s="60"/>
      <c r="EM39" s="60"/>
      <c r="EN39" s="60"/>
      <c r="EO39" s="60"/>
      <c r="EP39" s="60"/>
      <c r="EQ39" s="60"/>
      <c r="ER39" s="60"/>
      <c r="ES39" s="60"/>
      <c r="ET39" s="60"/>
      <c r="EU39" s="60"/>
      <c r="EV39" s="60"/>
      <c r="EW39" s="60"/>
      <c r="EX39" s="60"/>
      <c r="EY39" s="60"/>
      <c r="EZ39" s="60"/>
      <c r="FA39" s="60"/>
      <c r="FB39" s="60"/>
      <c r="FC39" s="60"/>
      <c r="FD39" s="60"/>
      <c r="FE39" s="60"/>
      <c r="FF39" s="60"/>
      <c r="FG39" s="60"/>
      <c r="FH39" s="60"/>
      <c r="FI39" s="60"/>
      <c r="FJ39" s="60"/>
      <c r="FK39" s="60"/>
      <c r="FL39" s="60"/>
      <c r="FM39" s="60"/>
      <c r="FN39" s="60"/>
      <c r="FO39" s="60"/>
      <c r="FP39" s="60"/>
      <c r="FQ39" s="60"/>
      <c r="FR39" s="60"/>
      <c r="FS39" s="60"/>
      <c r="FT39" s="60"/>
      <c r="FU39" s="60"/>
      <c r="FV39" s="60"/>
      <c r="FW39" s="60"/>
      <c r="FX39" s="60"/>
      <c r="FY39" s="60"/>
      <c r="FZ39" s="60"/>
      <c r="GA39" s="60"/>
      <c r="GB39" s="60"/>
      <c r="GC39" s="60"/>
      <c r="GD39" s="60"/>
      <c r="GE39" s="60"/>
      <c r="GF39" s="60"/>
      <c r="GG39" s="60"/>
      <c r="GH39" s="60"/>
      <c r="GI39" s="60"/>
      <c r="GJ39" s="60"/>
      <c r="GK39" s="60"/>
      <c r="GL39" s="60"/>
      <c r="GM39" s="60"/>
      <c r="GN39" s="60"/>
      <c r="GO39" s="60"/>
      <c r="GP39" s="60"/>
      <c r="GQ39" s="60"/>
      <c r="GR39" s="60"/>
      <c r="GS39" s="60"/>
      <c r="GT39" s="60"/>
      <c r="GU39" s="60"/>
      <c r="GV39" s="60"/>
      <c r="GW39" s="60"/>
      <c r="GX39" s="60"/>
      <c r="GY39" s="60"/>
      <c r="GZ39" s="60"/>
      <c r="HA39" s="60"/>
      <c r="HB39" s="60"/>
      <c r="HC39" s="60"/>
      <c r="HD39" s="60"/>
      <c r="HE39" s="60"/>
      <c r="HF39" s="60"/>
      <c r="HG39" s="60"/>
      <c r="HH39" s="60"/>
      <c r="HI39" s="60"/>
      <c r="HJ39" s="60"/>
      <c r="HK39" s="60"/>
      <c r="HL39" s="60"/>
    </row>
    <row r="40" spans="1:220" s="61" customFormat="1" ht="16.5" customHeight="1" x14ac:dyDescent="0.15">
      <c r="A40" s="99"/>
      <c r="B40" s="91" t="s">
        <v>93</v>
      </c>
      <c r="C40" s="101"/>
      <c r="D40" s="51" t="s">
        <v>703</v>
      </c>
      <c r="E40" s="53"/>
      <c r="F40" s="53"/>
      <c r="G40" s="88" t="s">
        <v>477</v>
      </c>
      <c r="H40" s="54"/>
      <c r="I40" s="54"/>
      <c r="J40" s="53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0"/>
      <c r="EH40" s="60"/>
      <c r="EI40" s="60"/>
      <c r="EJ40" s="60"/>
      <c r="EK40" s="60"/>
      <c r="EL40" s="60"/>
      <c r="EM40" s="60"/>
      <c r="EN40" s="60"/>
      <c r="EO40" s="60"/>
      <c r="EP40" s="60"/>
      <c r="EQ40" s="60"/>
      <c r="ER40" s="60"/>
      <c r="ES40" s="60"/>
      <c r="ET40" s="60"/>
      <c r="EU40" s="60"/>
      <c r="EV40" s="60"/>
      <c r="EW40" s="60"/>
      <c r="EX40" s="60"/>
      <c r="EY40" s="60"/>
      <c r="EZ40" s="60"/>
      <c r="FA40" s="60"/>
      <c r="FB40" s="60"/>
      <c r="FC40" s="60"/>
      <c r="FD40" s="60"/>
      <c r="FE40" s="60"/>
      <c r="FF40" s="60"/>
      <c r="FG40" s="60"/>
      <c r="FH40" s="60"/>
      <c r="FI40" s="60"/>
      <c r="FJ40" s="60"/>
      <c r="FK40" s="60"/>
      <c r="FL40" s="60"/>
      <c r="FM40" s="60"/>
      <c r="FN40" s="60"/>
      <c r="FO40" s="60"/>
      <c r="FP40" s="60"/>
      <c r="FQ40" s="60"/>
      <c r="FR40" s="60"/>
      <c r="FS40" s="60"/>
      <c r="FT40" s="60"/>
      <c r="FU40" s="60"/>
      <c r="FV40" s="60"/>
      <c r="FW40" s="60"/>
      <c r="FX40" s="60"/>
      <c r="FY40" s="60"/>
      <c r="FZ40" s="60"/>
      <c r="GA40" s="60"/>
      <c r="GB40" s="60"/>
      <c r="GC40" s="60"/>
      <c r="GD40" s="60"/>
      <c r="GE40" s="60"/>
      <c r="GF40" s="60"/>
      <c r="GG40" s="60"/>
      <c r="GH40" s="60"/>
      <c r="GI40" s="60"/>
      <c r="GJ40" s="60"/>
      <c r="GK40" s="60"/>
      <c r="GL40" s="60"/>
      <c r="GM40" s="60"/>
      <c r="GN40" s="60"/>
      <c r="GO40" s="60"/>
      <c r="GP40" s="60"/>
      <c r="GQ40" s="60"/>
      <c r="GR40" s="60"/>
      <c r="GS40" s="60"/>
      <c r="GT40" s="60"/>
      <c r="GU40" s="60"/>
      <c r="GV40" s="60"/>
      <c r="GW40" s="60"/>
      <c r="GX40" s="60"/>
      <c r="GY40" s="60"/>
      <c r="GZ40" s="60"/>
      <c r="HA40" s="60"/>
      <c r="HB40" s="60"/>
      <c r="HC40" s="60"/>
      <c r="HD40" s="60"/>
      <c r="HE40" s="60"/>
      <c r="HF40" s="60"/>
      <c r="HG40" s="60"/>
      <c r="HH40" s="60"/>
      <c r="HI40" s="60"/>
      <c r="HJ40" s="60"/>
      <c r="HK40" s="60"/>
      <c r="HL40" s="60"/>
    </row>
    <row r="41" spans="1:220" s="57" customFormat="1" ht="16.5" customHeight="1" x14ac:dyDescent="0.15">
      <c r="A41" s="99"/>
      <c r="B41" s="91" t="s">
        <v>94</v>
      </c>
      <c r="C41" s="101"/>
      <c r="D41" s="51" t="s">
        <v>79</v>
      </c>
      <c r="E41" s="53"/>
      <c r="F41" s="53"/>
      <c r="G41" s="88" t="s">
        <v>477</v>
      </c>
      <c r="H41" s="54"/>
      <c r="I41" s="54"/>
      <c r="J41" s="59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  <c r="FK41" s="56"/>
      <c r="FL41" s="56"/>
      <c r="FM41" s="56"/>
      <c r="FN41" s="56"/>
      <c r="FO41" s="56"/>
      <c r="FP41" s="56"/>
      <c r="FQ41" s="56"/>
      <c r="FR41" s="56"/>
      <c r="FS41" s="56"/>
      <c r="FT41" s="56"/>
      <c r="FU41" s="56"/>
      <c r="FV41" s="56"/>
      <c r="FW41" s="56"/>
      <c r="FX41" s="56"/>
      <c r="FY41" s="56"/>
      <c r="FZ41" s="56"/>
      <c r="GA41" s="56"/>
      <c r="GB41" s="56"/>
      <c r="GC41" s="56"/>
      <c r="GD41" s="56"/>
      <c r="GE41" s="56"/>
      <c r="GF41" s="56"/>
      <c r="GG41" s="56"/>
      <c r="GH41" s="56"/>
      <c r="GI41" s="56"/>
      <c r="GJ41" s="56"/>
      <c r="GK41" s="56"/>
      <c r="GL41" s="56"/>
      <c r="GM41" s="56"/>
      <c r="GN41" s="56"/>
      <c r="GO41" s="56"/>
      <c r="GP41" s="56"/>
      <c r="GQ41" s="56"/>
      <c r="GR41" s="56"/>
      <c r="GS41" s="56"/>
      <c r="GT41" s="56"/>
      <c r="GU41" s="56"/>
      <c r="GV41" s="56"/>
      <c r="GW41" s="56"/>
      <c r="GX41" s="56"/>
      <c r="GY41" s="56"/>
      <c r="GZ41" s="56"/>
      <c r="HA41" s="56"/>
      <c r="HB41" s="56"/>
      <c r="HC41" s="56"/>
      <c r="HD41" s="56"/>
      <c r="HE41" s="56"/>
      <c r="HF41" s="56"/>
      <c r="HG41" s="56"/>
      <c r="HH41" s="56"/>
      <c r="HI41" s="56"/>
      <c r="HJ41" s="56"/>
      <c r="HK41" s="56"/>
      <c r="HL41" s="56"/>
    </row>
    <row r="42" spans="1:220" s="61" customFormat="1" ht="16.5" customHeight="1" x14ac:dyDescent="0.15">
      <c r="A42" s="99"/>
      <c r="B42" s="91" t="s">
        <v>95</v>
      </c>
      <c r="C42" s="101"/>
      <c r="D42" s="51" t="s">
        <v>80</v>
      </c>
      <c r="E42" s="53"/>
      <c r="F42" s="53"/>
      <c r="G42" s="88" t="s">
        <v>477</v>
      </c>
      <c r="H42" s="54"/>
      <c r="I42" s="54"/>
      <c r="J42" s="59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s="60"/>
      <c r="EA42" s="60"/>
      <c r="EB42" s="60"/>
      <c r="EC42" s="60"/>
      <c r="ED42" s="60"/>
      <c r="EE42" s="60"/>
      <c r="EF42" s="60"/>
      <c r="EG42" s="60"/>
      <c r="EH42" s="60"/>
      <c r="EI42" s="60"/>
      <c r="EJ42" s="60"/>
      <c r="EK42" s="60"/>
      <c r="EL42" s="60"/>
      <c r="EM42" s="60"/>
      <c r="EN42" s="60"/>
      <c r="EO42" s="60"/>
      <c r="EP42" s="60"/>
      <c r="EQ42" s="60"/>
      <c r="ER42" s="60"/>
      <c r="ES42" s="60"/>
      <c r="ET42" s="60"/>
      <c r="EU42" s="60"/>
      <c r="EV42" s="60"/>
      <c r="EW42" s="60"/>
      <c r="EX42" s="60"/>
      <c r="EY42" s="60"/>
      <c r="EZ42" s="60"/>
      <c r="FA42" s="60"/>
      <c r="FB42" s="60"/>
      <c r="FC42" s="60"/>
      <c r="FD42" s="60"/>
      <c r="FE42" s="60"/>
      <c r="FF42" s="60"/>
      <c r="FG42" s="60"/>
      <c r="FH42" s="60"/>
      <c r="FI42" s="60"/>
      <c r="FJ42" s="60"/>
      <c r="FK42" s="60"/>
      <c r="FL42" s="60"/>
      <c r="FM42" s="60"/>
      <c r="FN42" s="60"/>
      <c r="FO42" s="60"/>
      <c r="FP42" s="60"/>
      <c r="FQ42" s="60"/>
      <c r="FR42" s="60"/>
      <c r="FS42" s="60"/>
      <c r="FT42" s="60"/>
      <c r="FU42" s="60"/>
      <c r="FV42" s="60"/>
      <c r="FW42" s="60"/>
      <c r="FX42" s="60"/>
      <c r="FY42" s="60"/>
      <c r="FZ42" s="60"/>
      <c r="GA42" s="60"/>
      <c r="GB42" s="60"/>
      <c r="GC42" s="60"/>
      <c r="GD42" s="60"/>
      <c r="GE42" s="60"/>
      <c r="GF42" s="60"/>
      <c r="GG42" s="60"/>
      <c r="GH42" s="60"/>
      <c r="GI42" s="60"/>
      <c r="GJ42" s="60"/>
      <c r="GK42" s="60"/>
      <c r="GL42" s="60"/>
      <c r="GM42" s="60"/>
      <c r="GN42" s="60"/>
      <c r="GO42" s="60"/>
      <c r="GP42" s="60"/>
      <c r="GQ42" s="60"/>
      <c r="GR42" s="60"/>
      <c r="GS42" s="60"/>
      <c r="GT42" s="60"/>
      <c r="GU42" s="60"/>
      <c r="GV42" s="60"/>
      <c r="GW42" s="60"/>
      <c r="GX42" s="60"/>
      <c r="GY42" s="60"/>
      <c r="GZ42" s="60"/>
      <c r="HA42" s="60"/>
      <c r="HB42" s="60"/>
      <c r="HC42" s="60"/>
      <c r="HD42" s="60"/>
      <c r="HE42" s="60"/>
      <c r="HF42" s="60"/>
      <c r="HG42" s="60"/>
      <c r="HH42" s="60"/>
      <c r="HI42" s="60"/>
      <c r="HJ42" s="60"/>
      <c r="HK42" s="60"/>
      <c r="HL42" s="60"/>
    </row>
    <row r="43" spans="1:220" s="61" customFormat="1" ht="16.5" customHeight="1" x14ac:dyDescent="0.15">
      <c r="A43" s="99"/>
      <c r="B43" s="91" t="s">
        <v>96</v>
      </c>
      <c r="C43" s="101"/>
      <c r="D43" s="51" t="s">
        <v>81</v>
      </c>
      <c r="E43" s="53"/>
      <c r="F43" s="53"/>
      <c r="G43" s="88" t="s">
        <v>477</v>
      </c>
      <c r="H43" s="54"/>
      <c r="I43" s="54"/>
      <c r="J43" s="59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0"/>
      <c r="EH43" s="60"/>
      <c r="EI43" s="60"/>
      <c r="EJ43" s="60"/>
      <c r="EK43" s="60"/>
      <c r="EL43" s="60"/>
      <c r="EM43" s="60"/>
      <c r="EN43" s="60"/>
      <c r="EO43" s="60"/>
      <c r="EP43" s="60"/>
      <c r="EQ43" s="60"/>
      <c r="ER43" s="60"/>
      <c r="ES43" s="60"/>
      <c r="ET43" s="60"/>
      <c r="EU43" s="60"/>
      <c r="EV43" s="60"/>
      <c r="EW43" s="60"/>
      <c r="EX43" s="60"/>
      <c r="EY43" s="60"/>
      <c r="EZ43" s="60"/>
      <c r="FA43" s="60"/>
      <c r="FB43" s="60"/>
      <c r="FC43" s="60"/>
      <c r="FD43" s="60"/>
      <c r="FE43" s="60"/>
      <c r="FF43" s="60"/>
      <c r="FG43" s="60"/>
      <c r="FH43" s="60"/>
      <c r="FI43" s="60"/>
      <c r="FJ43" s="60"/>
      <c r="FK43" s="60"/>
      <c r="FL43" s="60"/>
      <c r="FM43" s="60"/>
      <c r="FN43" s="60"/>
      <c r="FO43" s="60"/>
      <c r="FP43" s="60"/>
      <c r="FQ43" s="60"/>
      <c r="FR43" s="60"/>
      <c r="FS43" s="60"/>
      <c r="FT43" s="60"/>
      <c r="FU43" s="60"/>
      <c r="FV43" s="60"/>
      <c r="FW43" s="60"/>
      <c r="FX43" s="60"/>
      <c r="FY43" s="60"/>
      <c r="FZ43" s="60"/>
      <c r="GA43" s="60"/>
      <c r="GB43" s="60"/>
      <c r="GC43" s="60"/>
      <c r="GD43" s="60"/>
      <c r="GE43" s="60"/>
      <c r="GF43" s="60"/>
      <c r="GG43" s="60"/>
      <c r="GH43" s="60"/>
      <c r="GI43" s="60"/>
      <c r="GJ43" s="60"/>
      <c r="GK43" s="60"/>
      <c r="GL43" s="60"/>
      <c r="GM43" s="60"/>
      <c r="GN43" s="60"/>
      <c r="GO43" s="60"/>
      <c r="GP43" s="60"/>
      <c r="GQ43" s="60"/>
      <c r="GR43" s="60"/>
      <c r="GS43" s="60"/>
      <c r="GT43" s="60"/>
      <c r="GU43" s="60"/>
      <c r="GV43" s="60"/>
      <c r="GW43" s="60"/>
      <c r="GX43" s="60"/>
      <c r="GY43" s="60"/>
      <c r="GZ43" s="60"/>
      <c r="HA43" s="60"/>
      <c r="HB43" s="60"/>
      <c r="HC43" s="60"/>
      <c r="HD43" s="60"/>
      <c r="HE43" s="60"/>
      <c r="HF43" s="60"/>
      <c r="HG43" s="60"/>
      <c r="HH43" s="60"/>
      <c r="HI43" s="60"/>
      <c r="HJ43" s="60"/>
      <c r="HK43" s="60"/>
      <c r="HL43" s="60"/>
    </row>
    <row r="44" spans="1:220" s="61" customFormat="1" ht="16.5" customHeight="1" x14ac:dyDescent="0.15">
      <c r="A44" s="99"/>
      <c r="B44" s="91" t="s">
        <v>97</v>
      </c>
      <c r="C44" s="101"/>
      <c r="D44" s="51" t="s">
        <v>82</v>
      </c>
      <c r="E44" s="53"/>
      <c r="F44" s="53"/>
      <c r="G44" s="88" t="s">
        <v>477</v>
      </c>
      <c r="H44" s="54"/>
      <c r="I44" s="54"/>
      <c r="J44" s="59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/>
      <c r="DQ44" s="60"/>
      <c r="DR44" s="60"/>
      <c r="DS44" s="60"/>
      <c r="DT44" s="60"/>
      <c r="DU44" s="60"/>
      <c r="DV44" s="60"/>
      <c r="DW44" s="60"/>
      <c r="DX44" s="60"/>
      <c r="DY44" s="60"/>
      <c r="DZ44" s="60"/>
      <c r="EA44" s="60"/>
      <c r="EB44" s="60"/>
      <c r="EC44" s="60"/>
      <c r="ED44" s="60"/>
      <c r="EE44" s="60"/>
      <c r="EF44" s="60"/>
      <c r="EG44" s="60"/>
      <c r="EH44" s="60"/>
      <c r="EI44" s="60"/>
      <c r="EJ44" s="60"/>
      <c r="EK44" s="60"/>
      <c r="EL44" s="60"/>
      <c r="EM44" s="60"/>
      <c r="EN44" s="60"/>
      <c r="EO44" s="60"/>
      <c r="EP44" s="60"/>
      <c r="EQ44" s="60"/>
      <c r="ER44" s="60"/>
      <c r="ES44" s="60"/>
      <c r="ET44" s="60"/>
      <c r="EU44" s="60"/>
      <c r="EV44" s="60"/>
      <c r="EW44" s="60"/>
      <c r="EX44" s="60"/>
      <c r="EY44" s="60"/>
      <c r="EZ44" s="60"/>
      <c r="FA44" s="60"/>
      <c r="FB44" s="60"/>
      <c r="FC44" s="60"/>
      <c r="FD44" s="60"/>
      <c r="FE44" s="60"/>
      <c r="FF44" s="60"/>
      <c r="FG44" s="60"/>
      <c r="FH44" s="60"/>
      <c r="FI44" s="60"/>
      <c r="FJ44" s="60"/>
      <c r="FK44" s="60"/>
      <c r="FL44" s="60"/>
      <c r="FM44" s="60"/>
      <c r="FN44" s="60"/>
      <c r="FO44" s="60"/>
      <c r="FP44" s="60"/>
      <c r="FQ44" s="60"/>
      <c r="FR44" s="60"/>
      <c r="FS44" s="60"/>
      <c r="FT44" s="60"/>
      <c r="FU44" s="60"/>
      <c r="FV44" s="60"/>
      <c r="FW44" s="60"/>
      <c r="FX44" s="60"/>
      <c r="FY44" s="60"/>
      <c r="FZ44" s="60"/>
      <c r="GA44" s="60"/>
      <c r="GB44" s="60"/>
      <c r="GC44" s="60"/>
      <c r="GD44" s="60"/>
      <c r="GE44" s="60"/>
      <c r="GF44" s="60"/>
      <c r="GG44" s="60"/>
      <c r="GH44" s="60"/>
      <c r="GI44" s="60"/>
      <c r="GJ44" s="60"/>
      <c r="GK44" s="60"/>
      <c r="GL44" s="60"/>
      <c r="GM44" s="60"/>
      <c r="GN44" s="60"/>
      <c r="GO44" s="60"/>
      <c r="GP44" s="60"/>
      <c r="GQ44" s="60"/>
      <c r="GR44" s="60"/>
      <c r="GS44" s="60"/>
      <c r="GT44" s="60"/>
      <c r="GU44" s="60"/>
      <c r="GV44" s="60"/>
      <c r="GW44" s="60"/>
      <c r="GX44" s="60"/>
      <c r="GY44" s="60"/>
      <c r="GZ44" s="60"/>
      <c r="HA44" s="60"/>
      <c r="HB44" s="60"/>
      <c r="HC44" s="60"/>
      <c r="HD44" s="60"/>
      <c r="HE44" s="60"/>
      <c r="HF44" s="60"/>
      <c r="HG44" s="60"/>
      <c r="HH44" s="60"/>
      <c r="HI44" s="60"/>
      <c r="HJ44" s="60"/>
      <c r="HK44" s="60"/>
      <c r="HL44" s="60"/>
    </row>
    <row r="45" spans="1:220" s="61" customFormat="1" ht="16.5" customHeight="1" x14ac:dyDescent="0.15">
      <c r="A45" s="99"/>
      <c r="B45" s="91" t="s">
        <v>98</v>
      </c>
      <c r="C45" s="101"/>
      <c r="D45" s="51" t="s">
        <v>83</v>
      </c>
      <c r="E45" s="53"/>
      <c r="F45" s="53"/>
      <c r="G45" s="88" t="s">
        <v>477</v>
      </c>
      <c r="H45" s="54"/>
      <c r="I45" s="54"/>
      <c r="J45" s="59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0"/>
      <c r="CW45" s="60"/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0"/>
      <c r="DI45" s="60"/>
      <c r="DJ45" s="60"/>
      <c r="DK45" s="60"/>
      <c r="DL45" s="60"/>
      <c r="DM45" s="60"/>
      <c r="DN45" s="60"/>
      <c r="DO45" s="60"/>
      <c r="DP45" s="60"/>
      <c r="DQ45" s="60"/>
      <c r="DR45" s="60"/>
      <c r="DS45" s="60"/>
      <c r="DT45" s="60"/>
      <c r="DU45" s="60"/>
      <c r="DV45" s="60"/>
      <c r="DW45" s="60"/>
      <c r="DX45" s="60"/>
      <c r="DY45" s="60"/>
      <c r="DZ45" s="60"/>
      <c r="EA45" s="60"/>
      <c r="EB45" s="60"/>
      <c r="EC45" s="60"/>
      <c r="ED45" s="60"/>
      <c r="EE45" s="60"/>
      <c r="EF45" s="60"/>
      <c r="EG45" s="60"/>
      <c r="EH45" s="60"/>
      <c r="EI45" s="60"/>
      <c r="EJ45" s="60"/>
      <c r="EK45" s="60"/>
      <c r="EL45" s="60"/>
      <c r="EM45" s="60"/>
      <c r="EN45" s="60"/>
      <c r="EO45" s="60"/>
      <c r="EP45" s="60"/>
      <c r="EQ45" s="60"/>
      <c r="ER45" s="60"/>
      <c r="ES45" s="60"/>
      <c r="ET45" s="60"/>
      <c r="EU45" s="60"/>
      <c r="EV45" s="60"/>
      <c r="EW45" s="60"/>
      <c r="EX45" s="60"/>
      <c r="EY45" s="60"/>
      <c r="EZ45" s="60"/>
      <c r="FA45" s="60"/>
      <c r="FB45" s="60"/>
      <c r="FC45" s="60"/>
      <c r="FD45" s="60"/>
      <c r="FE45" s="60"/>
      <c r="FF45" s="60"/>
      <c r="FG45" s="60"/>
      <c r="FH45" s="60"/>
      <c r="FI45" s="60"/>
      <c r="FJ45" s="60"/>
      <c r="FK45" s="60"/>
      <c r="FL45" s="60"/>
      <c r="FM45" s="60"/>
      <c r="FN45" s="60"/>
      <c r="FO45" s="60"/>
      <c r="FP45" s="60"/>
      <c r="FQ45" s="60"/>
      <c r="FR45" s="60"/>
      <c r="FS45" s="60"/>
      <c r="FT45" s="60"/>
      <c r="FU45" s="60"/>
      <c r="FV45" s="60"/>
      <c r="FW45" s="60"/>
      <c r="FX45" s="60"/>
      <c r="FY45" s="60"/>
      <c r="FZ45" s="60"/>
      <c r="GA45" s="60"/>
      <c r="GB45" s="60"/>
      <c r="GC45" s="60"/>
      <c r="GD45" s="60"/>
      <c r="GE45" s="60"/>
      <c r="GF45" s="60"/>
      <c r="GG45" s="60"/>
      <c r="GH45" s="60"/>
      <c r="GI45" s="60"/>
      <c r="GJ45" s="60"/>
      <c r="GK45" s="60"/>
      <c r="GL45" s="60"/>
      <c r="GM45" s="60"/>
      <c r="GN45" s="60"/>
      <c r="GO45" s="60"/>
      <c r="GP45" s="60"/>
      <c r="GQ45" s="60"/>
      <c r="GR45" s="60"/>
      <c r="GS45" s="60"/>
      <c r="GT45" s="60"/>
      <c r="GU45" s="60"/>
      <c r="GV45" s="60"/>
      <c r="GW45" s="60"/>
      <c r="GX45" s="60"/>
      <c r="GY45" s="60"/>
      <c r="GZ45" s="60"/>
      <c r="HA45" s="60"/>
      <c r="HB45" s="60"/>
      <c r="HC45" s="60"/>
      <c r="HD45" s="60"/>
      <c r="HE45" s="60"/>
      <c r="HF45" s="60"/>
      <c r="HG45" s="60"/>
      <c r="HH45" s="60"/>
      <c r="HI45" s="60"/>
      <c r="HJ45" s="60"/>
      <c r="HK45" s="60"/>
      <c r="HL45" s="60"/>
    </row>
    <row r="46" spans="1:220" s="61" customFormat="1" ht="16.5" customHeight="1" x14ac:dyDescent="0.15">
      <c r="A46" s="99"/>
      <c r="B46" s="91" t="s">
        <v>99</v>
      </c>
      <c r="C46" s="101"/>
      <c r="D46" s="51" t="s">
        <v>84</v>
      </c>
      <c r="E46" s="53"/>
      <c r="F46" s="53"/>
      <c r="G46" s="88" t="s">
        <v>477</v>
      </c>
      <c r="H46" s="54"/>
      <c r="I46" s="54"/>
      <c r="J46" s="59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0"/>
      <c r="DQ46" s="60"/>
      <c r="DR46" s="60"/>
      <c r="DS46" s="60"/>
      <c r="DT46" s="60"/>
      <c r="DU46" s="60"/>
      <c r="DV46" s="60"/>
      <c r="DW46" s="60"/>
      <c r="DX46" s="60"/>
      <c r="DY46" s="60"/>
      <c r="DZ46" s="60"/>
      <c r="EA46" s="60"/>
      <c r="EB46" s="60"/>
      <c r="EC46" s="60"/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0"/>
      <c r="EO46" s="60"/>
      <c r="EP46" s="60"/>
      <c r="EQ46" s="60"/>
      <c r="ER46" s="60"/>
      <c r="ES46" s="60"/>
      <c r="ET46" s="60"/>
      <c r="EU46" s="60"/>
      <c r="EV46" s="60"/>
      <c r="EW46" s="60"/>
      <c r="EX46" s="60"/>
      <c r="EY46" s="60"/>
      <c r="EZ46" s="60"/>
      <c r="FA46" s="60"/>
      <c r="FB46" s="60"/>
      <c r="FC46" s="60"/>
      <c r="FD46" s="60"/>
      <c r="FE46" s="60"/>
      <c r="FF46" s="60"/>
      <c r="FG46" s="60"/>
      <c r="FH46" s="60"/>
      <c r="FI46" s="60"/>
      <c r="FJ46" s="60"/>
      <c r="FK46" s="60"/>
      <c r="FL46" s="60"/>
      <c r="FM46" s="60"/>
      <c r="FN46" s="60"/>
      <c r="FO46" s="60"/>
      <c r="FP46" s="60"/>
      <c r="FQ46" s="60"/>
      <c r="FR46" s="60"/>
      <c r="FS46" s="60"/>
      <c r="FT46" s="60"/>
      <c r="FU46" s="60"/>
      <c r="FV46" s="60"/>
      <c r="FW46" s="60"/>
      <c r="FX46" s="60"/>
      <c r="FY46" s="60"/>
      <c r="FZ46" s="60"/>
      <c r="GA46" s="60"/>
      <c r="GB46" s="60"/>
      <c r="GC46" s="60"/>
      <c r="GD46" s="60"/>
      <c r="GE46" s="60"/>
      <c r="GF46" s="60"/>
      <c r="GG46" s="60"/>
      <c r="GH46" s="60"/>
      <c r="GI46" s="60"/>
      <c r="GJ46" s="60"/>
      <c r="GK46" s="60"/>
      <c r="GL46" s="60"/>
      <c r="GM46" s="60"/>
      <c r="GN46" s="60"/>
      <c r="GO46" s="60"/>
      <c r="GP46" s="60"/>
      <c r="GQ46" s="60"/>
      <c r="GR46" s="60"/>
      <c r="GS46" s="60"/>
      <c r="GT46" s="60"/>
      <c r="GU46" s="60"/>
      <c r="GV46" s="60"/>
      <c r="GW46" s="60"/>
      <c r="GX46" s="60"/>
      <c r="GY46" s="60"/>
      <c r="GZ46" s="60"/>
      <c r="HA46" s="60"/>
      <c r="HB46" s="60"/>
      <c r="HC46" s="60"/>
      <c r="HD46" s="60"/>
      <c r="HE46" s="60"/>
      <c r="HF46" s="60"/>
      <c r="HG46" s="60"/>
      <c r="HH46" s="60"/>
      <c r="HI46" s="60"/>
      <c r="HJ46" s="60"/>
      <c r="HK46" s="60"/>
      <c r="HL46" s="60"/>
    </row>
    <row r="47" spans="1:220" s="37" customFormat="1" ht="16.5" customHeight="1" x14ac:dyDescent="0.15">
      <c r="A47" s="99"/>
      <c r="B47" s="91" t="s">
        <v>117</v>
      </c>
      <c r="C47" s="100" t="s">
        <v>89</v>
      </c>
      <c r="D47" s="1" t="s">
        <v>100</v>
      </c>
      <c r="E47" s="8"/>
      <c r="F47" s="8"/>
      <c r="G47" s="88" t="s">
        <v>477</v>
      </c>
      <c r="H47" s="14"/>
      <c r="I47" s="14"/>
      <c r="J47" s="8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  <c r="GV47" s="34"/>
      <c r="GW47" s="34"/>
      <c r="GX47" s="34"/>
      <c r="GY47" s="34"/>
      <c r="GZ47" s="34"/>
      <c r="HA47" s="34"/>
      <c r="HB47" s="34"/>
      <c r="HC47" s="34"/>
      <c r="HD47" s="34"/>
      <c r="HE47" s="34"/>
      <c r="HF47" s="34"/>
      <c r="HG47" s="34"/>
      <c r="HH47" s="34"/>
      <c r="HI47" s="34"/>
      <c r="HJ47" s="34"/>
      <c r="HK47" s="34"/>
      <c r="HL47" s="34"/>
    </row>
    <row r="48" spans="1:220" s="61" customFormat="1" ht="16.5" customHeight="1" x14ac:dyDescent="0.15">
      <c r="A48" s="99"/>
      <c r="B48" s="91" t="s">
        <v>118</v>
      </c>
      <c r="C48" s="101"/>
      <c r="D48" s="51" t="s">
        <v>101</v>
      </c>
      <c r="E48" s="53"/>
      <c r="F48" s="53"/>
      <c r="G48" s="88" t="s">
        <v>477</v>
      </c>
      <c r="H48" s="54"/>
      <c r="I48" s="54"/>
      <c r="J48" s="53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0"/>
      <c r="DI48" s="60"/>
      <c r="DJ48" s="60"/>
      <c r="DK48" s="60"/>
      <c r="DL48" s="60"/>
      <c r="DM48" s="60"/>
      <c r="DN48" s="60"/>
      <c r="DO48" s="60"/>
      <c r="DP48" s="60"/>
      <c r="DQ48" s="60"/>
      <c r="DR48" s="60"/>
      <c r="DS48" s="60"/>
      <c r="DT48" s="60"/>
      <c r="DU48" s="60"/>
      <c r="DV48" s="60"/>
      <c r="DW48" s="60"/>
      <c r="DX48" s="60"/>
      <c r="DY48" s="60"/>
      <c r="DZ48" s="60"/>
      <c r="EA48" s="60"/>
      <c r="EB48" s="60"/>
      <c r="EC48" s="60"/>
      <c r="ED48" s="60"/>
      <c r="EE48" s="60"/>
      <c r="EF48" s="60"/>
      <c r="EG48" s="60"/>
      <c r="EH48" s="60"/>
      <c r="EI48" s="60"/>
      <c r="EJ48" s="60"/>
      <c r="EK48" s="60"/>
      <c r="EL48" s="60"/>
      <c r="EM48" s="60"/>
      <c r="EN48" s="60"/>
      <c r="EO48" s="60"/>
      <c r="EP48" s="60"/>
      <c r="EQ48" s="60"/>
      <c r="ER48" s="60"/>
      <c r="ES48" s="60"/>
      <c r="ET48" s="60"/>
      <c r="EU48" s="60"/>
      <c r="EV48" s="60"/>
      <c r="EW48" s="60"/>
      <c r="EX48" s="60"/>
      <c r="EY48" s="60"/>
      <c r="EZ48" s="60"/>
      <c r="FA48" s="60"/>
      <c r="FB48" s="60"/>
      <c r="FC48" s="60"/>
      <c r="FD48" s="60"/>
      <c r="FE48" s="60"/>
      <c r="FF48" s="60"/>
      <c r="FG48" s="60"/>
      <c r="FH48" s="60"/>
      <c r="FI48" s="60"/>
      <c r="FJ48" s="60"/>
      <c r="FK48" s="60"/>
      <c r="FL48" s="60"/>
      <c r="FM48" s="60"/>
      <c r="FN48" s="60"/>
      <c r="FO48" s="60"/>
      <c r="FP48" s="60"/>
      <c r="FQ48" s="60"/>
      <c r="FR48" s="60"/>
      <c r="FS48" s="60"/>
      <c r="FT48" s="60"/>
      <c r="FU48" s="60"/>
      <c r="FV48" s="60"/>
      <c r="FW48" s="60"/>
      <c r="FX48" s="60"/>
      <c r="FY48" s="60"/>
      <c r="FZ48" s="60"/>
      <c r="GA48" s="60"/>
      <c r="GB48" s="60"/>
      <c r="GC48" s="60"/>
      <c r="GD48" s="60"/>
      <c r="GE48" s="60"/>
      <c r="GF48" s="60"/>
      <c r="GG48" s="60"/>
      <c r="GH48" s="60"/>
      <c r="GI48" s="60"/>
      <c r="GJ48" s="60"/>
      <c r="GK48" s="60"/>
      <c r="GL48" s="60"/>
      <c r="GM48" s="60"/>
      <c r="GN48" s="60"/>
      <c r="GO48" s="60"/>
      <c r="GP48" s="60"/>
      <c r="GQ48" s="60"/>
      <c r="GR48" s="60"/>
      <c r="GS48" s="60"/>
      <c r="GT48" s="60"/>
      <c r="GU48" s="60"/>
      <c r="GV48" s="60"/>
      <c r="GW48" s="60"/>
      <c r="GX48" s="60"/>
      <c r="GY48" s="60"/>
      <c r="GZ48" s="60"/>
      <c r="HA48" s="60"/>
      <c r="HB48" s="60"/>
      <c r="HC48" s="60"/>
      <c r="HD48" s="60"/>
      <c r="HE48" s="60"/>
      <c r="HF48" s="60"/>
      <c r="HG48" s="60"/>
      <c r="HH48" s="60"/>
      <c r="HI48" s="60"/>
      <c r="HJ48" s="60"/>
      <c r="HK48" s="60"/>
      <c r="HL48" s="60"/>
    </row>
    <row r="49" spans="1:220" s="61" customFormat="1" ht="16.5" customHeight="1" x14ac:dyDescent="0.15">
      <c r="A49" s="99"/>
      <c r="B49" s="91" t="s">
        <v>119</v>
      </c>
      <c r="C49" s="101"/>
      <c r="D49" s="51" t="s">
        <v>487</v>
      </c>
      <c r="E49" s="53"/>
      <c r="F49" s="53"/>
      <c r="G49" s="88" t="s">
        <v>477</v>
      </c>
      <c r="H49" s="54"/>
      <c r="I49" s="54"/>
      <c r="J49" s="5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0"/>
      <c r="DI49" s="60"/>
      <c r="DJ49" s="60"/>
      <c r="DK49" s="60"/>
      <c r="DL49" s="60"/>
      <c r="DM49" s="60"/>
      <c r="DN49" s="60"/>
      <c r="DO49" s="60"/>
      <c r="DP49" s="60"/>
      <c r="DQ49" s="60"/>
      <c r="DR49" s="60"/>
      <c r="DS49" s="60"/>
      <c r="DT49" s="60"/>
      <c r="DU49" s="60"/>
      <c r="DV49" s="60"/>
      <c r="DW49" s="60"/>
      <c r="DX49" s="60"/>
      <c r="DY49" s="60"/>
      <c r="DZ49" s="60"/>
      <c r="EA49" s="60"/>
      <c r="EB49" s="60"/>
      <c r="EC49" s="60"/>
      <c r="ED49" s="60"/>
      <c r="EE49" s="60"/>
      <c r="EF49" s="60"/>
      <c r="EG49" s="60"/>
      <c r="EH49" s="60"/>
      <c r="EI49" s="60"/>
      <c r="EJ49" s="60"/>
      <c r="EK49" s="60"/>
      <c r="EL49" s="60"/>
      <c r="EM49" s="60"/>
      <c r="EN49" s="60"/>
      <c r="EO49" s="60"/>
      <c r="EP49" s="60"/>
      <c r="EQ49" s="60"/>
      <c r="ER49" s="60"/>
      <c r="ES49" s="60"/>
      <c r="ET49" s="60"/>
      <c r="EU49" s="60"/>
      <c r="EV49" s="60"/>
      <c r="EW49" s="60"/>
      <c r="EX49" s="60"/>
      <c r="EY49" s="60"/>
      <c r="EZ49" s="60"/>
      <c r="FA49" s="60"/>
      <c r="FB49" s="60"/>
      <c r="FC49" s="60"/>
      <c r="FD49" s="60"/>
      <c r="FE49" s="60"/>
      <c r="FF49" s="60"/>
      <c r="FG49" s="60"/>
      <c r="FH49" s="60"/>
      <c r="FI49" s="60"/>
      <c r="FJ49" s="60"/>
      <c r="FK49" s="60"/>
      <c r="FL49" s="60"/>
      <c r="FM49" s="60"/>
      <c r="FN49" s="60"/>
      <c r="FO49" s="60"/>
      <c r="FP49" s="60"/>
      <c r="FQ49" s="60"/>
      <c r="FR49" s="60"/>
      <c r="FS49" s="60"/>
      <c r="FT49" s="60"/>
      <c r="FU49" s="60"/>
      <c r="FV49" s="60"/>
      <c r="FW49" s="60"/>
      <c r="FX49" s="60"/>
      <c r="FY49" s="60"/>
      <c r="FZ49" s="60"/>
      <c r="GA49" s="60"/>
      <c r="GB49" s="60"/>
      <c r="GC49" s="60"/>
      <c r="GD49" s="60"/>
      <c r="GE49" s="60"/>
      <c r="GF49" s="60"/>
      <c r="GG49" s="60"/>
      <c r="GH49" s="60"/>
      <c r="GI49" s="60"/>
      <c r="GJ49" s="60"/>
      <c r="GK49" s="60"/>
      <c r="GL49" s="60"/>
      <c r="GM49" s="60"/>
      <c r="GN49" s="60"/>
      <c r="GO49" s="60"/>
      <c r="GP49" s="60"/>
      <c r="GQ49" s="60"/>
      <c r="GR49" s="60"/>
      <c r="GS49" s="60"/>
      <c r="GT49" s="60"/>
      <c r="GU49" s="60"/>
      <c r="GV49" s="60"/>
      <c r="GW49" s="60"/>
      <c r="GX49" s="60"/>
      <c r="GY49" s="60"/>
      <c r="GZ49" s="60"/>
      <c r="HA49" s="60"/>
      <c r="HB49" s="60"/>
      <c r="HC49" s="60"/>
      <c r="HD49" s="60"/>
      <c r="HE49" s="60"/>
      <c r="HF49" s="60"/>
      <c r="HG49" s="60"/>
      <c r="HH49" s="60"/>
      <c r="HI49" s="60"/>
      <c r="HJ49" s="60"/>
      <c r="HK49" s="60"/>
      <c r="HL49" s="60"/>
    </row>
    <row r="50" spans="1:220" s="61" customFormat="1" ht="16.5" customHeight="1" x14ac:dyDescent="0.15">
      <c r="A50" s="99"/>
      <c r="B50" s="91" t="s">
        <v>120</v>
      </c>
      <c r="C50" s="101"/>
      <c r="D50" s="51" t="s">
        <v>102</v>
      </c>
      <c r="E50" s="53"/>
      <c r="F50" s="53"/>
      <c r="G50" s="88" t="s">
        <v>477</v>
      </c>
      <c r="H50" s="54"/>
      <c r="I50" s="54"/>
      <c r="J50" s="53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60"/>
      <c r="CY50" s="60"/>
      <c r="CZ50" s="60"/>
      <c r="DA50" s="60"/>
      <c r="DB50" s="60"/>
      <c r="DC50" s="60"/>
      <c r="DD50" s="60"/>
      <c r="DE50" s="60"/>
      <c r="DF50" s="60"/>
      <c r="DG50" s="60"/>
      <c r="DH50" s="60"/>
      <c r="DI50" s="60"/>
      <c r="DJ50" s="60"/>
      <c r="DK50" s="60"/>
      <c r="DL50" s="60"/>
      <c r="DM50" s="60"/>
      <c r="DN50" s="60"/>
      <c r="DO50" s="60"/>
      <c r="DP50" s="60"/>
      <c r="DQ50" s="60"/>
      <c r="DR50" s="60"/>
      <c r="DS50" s="60"/>
      <c r="DT50" s="60"/>
      <c r="DU50" s="60"/>
      <c r="DV50" s="60"/>
      <c r="DW50" s="60"/>
      <c r="DX50" s="60"/>
      <c r="DY50" s="60"/>
      <c r="DZ50" s="60"/>
      <c r="EA50" s="60"/>
      <c r="EB50" s="60"/>
      <c r="EC50" s="60"/>
      <c r="ED50" s="60"/>
      <c r="EE50" s="60"/>
      <c r="EF50" s="60"/>
      <c r="EG50" s="60"/>
      <c r="EH50" s="60"/>
      <c r="EI50" s="60"/>
      <c r="EJ50" s="60"/>
      <c r="EK50" s="60"/>
      <c r="EL50" s="60"/>
      <c r="EM50" s="60"/>
      <c r="EN50" s="60"/>
      <c r="EO50" s="60"/>
      <c r="EP50" s="60"/>
      <c r="EQ50" s="60"/>
      <c r="ER50" s="60"/>
      <c r="ES50" s="60"/>
      <c r="ET50" s="60"/>
      <c r="EU50" s="60"/>
      <c r="EV50" s="60"/>
      <c r="EW50" s="60"/>
      <c r="EX50" s="60"/>
      <c r="EY50" s="60"/>
      <c r="EZ50" s="60"/>
      <c r="FA50" s="60"/>
      <c r="FB50" s="60"/>
      <c r="FC50" s="60"/>
      <c r="FD50" s="60"/>
      <c r="FE50" s="60"/>
      <c r="FF50" s="60"/>
      <c r="FG50" s="60"/>
      <c r="FH50" s="60"/>
      <c r="FI50" s="60"/>
      <c r="FJ50" s="60"/>
      <c r="FK50" s="60"/>
      <c r="FL50" s="60"/>
      <c r="FM50" s="60"/>
      <c r="FN50" s="60"/>
      <c r="FO50" s="60"/>
      <c r="FP50" s="60"/>
      <c r="FQ50" s="60"/>
      <c r="FR50" s="60"/>
      <c r="FS50" s="60"/>
      <c r="FT50" s="60"/>
      <c r="FU50" s="60"/>
      <c r="FV50" s="60"/>
      <c r="FW50" s="60"/>
      <c r="FX50" s="60"/>
      <c r="FY50" s="60"/>
      <c r="FZ50" s="60"/>
      <c r="GA50" s="60"/>
      <c r="GB50" s="60"/>
      <c r="GC50" s="60"/>
      <c r="GD50" s="60"/>
      <c r="GE50" s="60"/>
      <c r="GF50" s="60"/>
      <c r="GG50" s="60"/>
      <c r="GH50" s="60"/>
      <c r="GI50" s="60"/>
      <c r="GJ50" s="60"/>
      <c r="GK50" s="60"/>
      <c r="GL50" s="60"/>
      <c r="GM50" s="60"/>
      <c r="GN50" s="60"/>
      <c r="GO50" s="60"/>
      <c r="GP50" s="60"/>
      <c r="GQ50" s="60"/>
      <c r="GR50" s="60"/>
      <c r="GS50" s="60"/>
      <c r="GT50" s="60"/>
      <c r="GU50" s="60"/>
      <c r="GV50" s="60"/>
      <c r="GW50" s="60"/>
      <c r="GX50" s="60"/>
      <c r="GY50" s="60"/>
      <c r="GZ50" s="60"/>
      <c r="HA50" s="60"/>
      <c r="HB50" s="60"/>
      <c r="HC50" s="60"/>
      <c r="HD50" s="60"/>
      <c r="HE50" s="60"/>
      <c r="HF50" s="60"/>
      <c r="HG50" s="60"/>
      <c r="HH50" s="60"/>
      <c r="HI50" s="60"/>
      <c r="HJ50" s="60"/>
      <c r="HK50" s="60"/>
      <c r="HL50" s="60"/>
    </row>
    <row r="51" spans="1:220" s="61" customFormat="1" ht="16.5" customHeight="1" x14ac:dyDescent="0.15">
      <c r="A51" s="99"/>
      <c r="B51" s="91" t="s">
        <v>121</v>
      </c>
      <c r="C51" s="103"/>
      <c r="D51" s="51" t="s">
        <v>103</v>
      </c>
      <c r="E51" s="53"/>
      <c r="F51" s="53"/>
      <c r="G51" s="88" t="s">
        <v>477</v>
      </c>
      <c r="H51" s="54"/>
      <c r="I51" s="54"/>
      <c r="J51" s="53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0"/>
      <c r="EO51" s="60"/>
      <c r="EP51" s="60"/>
      <c r="EQ51" s="60"/>
      <c r="ER51" s="60"/>
      <c r="ES51" s="60"/>
      <c r="ET51" s="60"/>
      <c r="EU51" s="60"/>
      <c r="EV51" s="60"/>
      <c r="EW51" s="60"/>
      <c r="EX51" s="60"/>
      <c r="EY51" s="60"/>
      <c r="EZ51" s="60"/>
      <c r="FA51" s="60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60"/>
      <c r="FT51" s="60"/>
      <c r="FU51" s="60"/>
      <c r="FV51" s="60"/>
      <c r="FW51" s="60"/>
      <c r="FX51" s="60"/>
      <c r="FY51" s="60"/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0"/>
      <c r="GK51" s="60"/>
      <c r="GL51" s="60"/>
      <c r="GM51" s="60"/>
      <c r="GN51" s="60"/>
      <c r="GO51" s="60"/>
      <c r="GP51" s="60"/>
      <c r="GQ51" s="60"/>
      <c r="GR51" s="60"/>
      <c r="GS51" s="60"/>
      <c r="GT51" s="60"/>
      <c r="GU51" s="60"/>
      <c r="GV51" s="60"/>
      <c r="GW51" s="60"/>
      <c r="GX51" s="60"/>
      <c r="GY51" s="60"/>
      <c r="GZ51" s="60"/>
      <c r="HA51" s="60"/>
      <c r="HB51" s="60"/>
      <c r="HC51" s="60"/>
      <c r="HD51" s="60"/>
      <c r="HE51" s="60"/>
      <c r="HF51" s="60"/>
      <c r="HG51" s="60"/>
      <c r="HH51" s="60"/>
      <c r="HI51" s="60"/>
      <c r="HJ51" s="60"/>
      <c r="HK51" s="60"/>
      <c r="HL51" s="60"/>
    </row>
    <row r="52" spans="1:220" s="61" customFormat="1" ht="16.5" customHeight="1" x14ac:dyDescent="0.15">
      <c r="A52" s="99"/>
      <c r="B52" s="91" t="s">
        <v>122</v>
      </c>
      <c r="C52" s="100" t="s">
        <v>104</v>
      </c>
      <c r="D52" s="51" t="s">
        <v>105</v>
      </c>
      <c r="E52" s="53"/>
      <c r="F52" s="53"/>
      <c r="G52" s="88" t="s">
        <v>477</v>
      </c>
      <c r="H52" s="54"/>
      <c r="I52" s="54"/>
      <c r="J52" s="5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0"/>
      <c r="DI52" s="60"/>
      <c r="DJ52" s="60"/>
      <c r="DK52" s="60"/>
      <c r="DL52" s="60"/>
      <c r="DM52" s="60"/>
      <c r="DN52" s="60"/>
      <c r="DO52" s="60"/>
      <c r="DP52" s="60"/>
      <c r="DQ52" s="60"/>
      <c r="DR52" s="60"/>
      <c r="DS52" s="60"/>
      <c r="DT52" s="60"/>
      <c r="DU52" s="60"/>
      <c r="DV52" s="60"/>
      <c r="DW52" s="60"/>
      <c r="DX52" s="60"/>
      <c r="DY52" s="60"/>
      <c r="DZ52" s="60"/>
      <c r="EA52" s="60"/>
      <c r="EB52" s="60"/>
      <c r="EC52" s="60"/>
      <c r="ED52" s="60"/>
      <c r="EE52" s="60"/>
      <c r="EF52" s="60"/>
      <c r="EG52" s="60"/>
      <c r="EH52" s="60"/>
      <c r="EI52" s="60"/>
      <c r="EJ52" s="60"/>
      <c r="EK52" s="60"/>
      <c r="EL52" s="60"/>
      <c r="EM52" s="60"/>
      <c r="EN52" s="60"/>
      <c r="EO52" s="60"/>
      <c r="EP52" s="60"/>
      <c r="EQ52" s="60"/>
      <c r="ER52" s="60"/>
      <c r="ES52" s="60"/>
      <c r="ET52" s="60"/>
      <c r="EU52" s="60"/>
      <c r="EV52" s="60"/>
      <c r="EW52" s="60"/>
      <c r="EX52" s="60"/>
      <c r="EY52" s="60"/>
      <c r="EZ52" s="60"/>
      <c r="FA52" s="60"/>
      <c r="FB52" s="60"/>
      <c r="FC52" s="60"/>
      <c r="FD52" s="60"/>
      <c r="FE52" s="60"/>
      <c r="FF52" s="60"/>
      <c r="FG52" s="60"/>
      <c r="FH52" s="60"/>
      <c r="FI52" s="60"/>
      <c r="FJ52" s="60"/>
      <c r="FK52" s="60"/>
      <c r="FL52" s="60"/>
      <c r="FM52" s="60"/>
      <c r="FN52" s="60"/>
      <c r="FO52" s="60"/>
      <c r="FP52" s="60"/>
      <c r="FQ52" s="60"/>
      <c r="FR52" s="60"/>
      <c r="FS52" s="60"/>
      <c r="FT52" s="60"/>
      <c r="FU52" s="60"/>
      <c r="FV52" s="60"/>
      <c r="FW52" s="60"/>
      <c r="FX52" s="60"/>
      <c r="FY52" s="60"/>
      <c r="FZ52" s="60"/>
      <c r="GA52" s="60"/>
      <c r="GB52" s="60"/>
      <c r="GC52" s="60"/>
      <c r="GD52" s="60"/>
      <c r="GE52" s="60"/>
      <c r="GF52" s="60"/>
      <c r="GG52" s="60"/>
      <c r="GH52" s="60"/>
      <c r="GI52" s="60"/>
      <c r="GJ52" s="60"/>
      <c r="GK52" s="60"/>
      <c r="GL52" s="60"/>
      <c r="GM52" s="60"/>
      <c r="GN52" s="60"/>
      <c r="GO52" s="60"/>
      <c r="GP52" s="60"/>
      <c r="GQ52" s="60"/>
      <c r="GR52" s="60"/>
      <c r="GS52" s="60"/>
      <c r="GT52" s="60"/>
      <c r="GU52" s="60"/>
      <c r="GV52" s="60"/>
      <c r="GW52" s="60"/>
      <c r="GX52" s="60"/>
      <c r="GY52" s="60"/>
      <c r="GZ52" s="60"/>
      <c r="HA52" s="60"/>
      <c r="HB52" s="60"/>
      <c r="HC52" s="60"/>
      <c r="HD52" s="60"/>
      <c r="HE52" s="60"/>
      <c r="HF52" s="60"/>
      <c r="HG52" s="60"/>
      <c r="HH52" s="60"/>
      <c r="HI52" s="60"/>
      <c r="HJ52" s="60"/>
      <c r="HK52" s="60"/>
      <c r="HL52" s="60"/>
    </row>
    <row r="53" spans="1:220" s="61" customFormat="1" ht="16.5" customHeight="1" x14ac:dyDescent="0.15">
      <c r="A53" s="99"/>
      <c r="B53" s="91" t="s">
        <v>123</v>
      </c>
      <c r="C53" s="101"/>
      <c r="D53" s="51" t="s">
        <v>704</v>
      </c>
      <c r="E53" s="53"/>
      <c r="F53" s="53"/>
      <c r="G53" s="93" t="s">
        <v>21</v>
      </c>
      <c r="H53" s="54"/>
      <c r="I53" s="54"/>
      <c r="J53" s="83" t="s">
        <v>732</v>
      </c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  <c r="CV53" s="60"/>
      <c r="CW53" s="60"/>
      <c r="CX53" s="60"/>
      <c r="CY53" s="60"/>
      <c r="CZ53" s="60"/>
      <c r="DA53" s="60"/>
      <c r="DB53" s="60"/>
      <c r="DC53" s="60"/>
      <c r="DD53" s="60"/>
      <c r="DE53" s="60"/>
      <c r="DF53" s="60"/>
      <c r="DG53" s="60"/>
      <c r="DH53" s="60"/>
      <c r="DI53" s="60"/>
      <c r="DJ53" s="60"/>
      <c r="DK53" s="60"/>
      <c r="DL53" s="60"/>
      <c r="DM53" s="60"/>
      <c r="DN53" s="60"/>
      <c r="DO53" s="60"/>
      <c r="DP53" s="60"/>
      <c r="DQ53" s="60"/>
      <c r="DR53" s="60"/>
      <c r="DS53" s="60"/>
      <c r="DT53" s="60"/>
      <c r="DU53" s="60"/>
      <c r="DV53" s="60"/>
      <c r="DW53" s="60"/>
      <c r="DX53" s="60"/>
      <c r="DY53" s="60"/>
      <c r="DZ53" s="60"/>
      <c r="EA53" s="60"/>
      <c r="EB53" s="60"/>
      <c r="EC53" s="60"/>
      <c r="ED53" s="60"/>
      <c r="EE53" s="60"/>
      <c r="EF53" s="60"/>
      <c r="EG53" s="60"/>
      <c r="EH53" s="60"/>
      <c r="EI53" s="60"/>
      <c r="EJ53" s="60"/>
      <c r="EK53" s="60"/>
      <c r="EL53" s="60"/>
      <c r="EM53" s="60"/>
      <c r="EN53" s="60"/>
      <c r="EO53" s="60"/>
      <c r="EP53" s="60"/>
      <c r="EQ53" s="60"/>
      <c r="ER53" s="60"/>
      <c r="ES53" s="60"/>
      <c r="ET53" s="60"/>
      <c r="EU53" s="60"/>
      <c r="EV53" s="60"/>
      <c r="EW53" s="60"/>
      <c r="EX53" s="60"/>
      <c r="EY53" s="60"/>
      <c r="EZ53" s="60"/>
      <c r="FA53" s="60"/>
      <c r="FB53" s="60"/>
      <c r="FC53" s="60"/>
      <c r="FD53" s="60"/>
      <c r="FE53" s="60"/>
      <c r="FF53" s="60"/>
      <c r="FG53" s="60"/>
      <c r="FH53" s="60"/>
      <c r="FI53" s="60"/>
      <c r="FJ53" s="60"/>
      <c r="FK53" s="60"/>
      <c r="FL53" s="60"/>
      <c r="FM53" s="60"/>
      <c r="FN53" s="60"/>
      <c r="FO53" s="60"/>
      <c r="FP53" s="60"/>
      <c r="FQ53" s="60"/>
      <c r="FR53" s="60"/>
      <c r="FS53" s="60"/>
      <c r="FT53" s="60"/>
      <c r="FU53" s="60"/>
      <c r="FV53" s="60"/>
      <c r="FW53" s="60"/>
      <c r="FX53" s="60"/>
      <c r="FY53" s="60"/>
      <c r="FZ53" s="60"/>
      <c r="GA53" s="60"/>
      <c r="GB53" s="60"/>
      <c r="GC53" s="60"/>
      <c r="GD53" s="60"/>
      <c r="GE53" s="60"/>
      <c r="GF53" s="60"/>
      <c r="GG53" s="60"/>
      <c r="GH53" s="60"/>
      <c r="GI53" s="60"/>
      <c r="GJ53" s="60"/>
      <c r="GK53" s="60"/>
      <c r="GL53" s="60"/>
      <c r="GM53" s="60"/>
      <c r="GN53" s="60"/>
      <c r="GO53" s="60"/>
      <c r="GP53" s="60"/>
      <c r="GQ53" s="60"/>
      <c r="GR53" s="60"/>
      <c r="GS53" s="60"/>
      <c r="GT53" s="60"/>
      <c r="GU53" s="60"/>
      <c r="GV53" s="60"/>
      <c r="GW53" s="60"/>
      <c r="GX53" s="60"/>
      <c r="GY53" s="60"/>
      <c r="GZ53" s="60"/>
      <c r="HA53" s="60"/>
      <c r="HB53" s="60"/>
      <c r="HC53" s="60"/>
      <c r="HD53" s="60"/>
      <c r="HE53" s="60"/>
      <c r="HF53" s="60"/>
      <c r="HG53" s="60"/>
      <c r="HH53" s="60"/>
      <c r="HI53" s="60"/>
      <c r="HJ53" s="60"/>
      <c r="HK53" s="60"/>
      <c r="HL53" s="60"/>
    </row>
    <row r="54" spans="1:220" s="61" customFormat="1" ht="16.5" customHeight="1" x14ac:dyDescent="0.15">
      <c r="A54" s="99"/>
      <c r="B54" s="91" t="s">
        <v>124</v>
      </c>
      <c r="C54" s="101"/>
      <c r="D54" s="51" t="s">
        <v>107</v>
      </c>
      <c r="E54" s="53"/>
      <c r="F54" s="53"/>
      <c r="G54" s="93" t="s">
        <v>21</v>
      </c>
      <c r="H54" s="54"/>
      <c r="I54" s="54"/>
      <c r="J54" s="81" t="s">
        <v>732</v>
      </c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  <c r="FA54" s="60"/>
      <c r="FB54" s="60"/>
      <c r="FC54" s="60"/>
      <c r="FD54" s="60"/>
      <c r="FE54" s="60"/>
      <c r="FF54" s="60"/>
      <c r="FG54" s="60"/>
      <c r="FH54" s="60"/>
      <c r="FI54" s="60"/>
      <c r="FJ54" s="60"/>
      <c r="FK54" s="60"/>
      <c r="FL54" s="60"/>
      <c r="FM54" s="60"/>
      <c r="FN54" s="60"/>
      <c r="FO54" s="60"/>
      <c r="FP54" s="60"/>
      <c r="FQ54" s="60"/>
      <c r="FR54" s="60"/>
      <c r="FS54" s="60"/>
      <c r="FT54" s="60"/>
      <c r="FU54" s="60"/>
      <c r="FV54" s="60"/>
      <c r="FW54" s="60"/>
      <c r="FX54" s="60"/>
      <c r="FY54" s="60"/>
      <c r="FZ54" s="60"/>
      <c r="GA54" s="60"/>
      <c r="GB54" s="60"/>
      <c r="GC54" s="60"/>
      <c r="GD54" s="60"/>
      <c r="GE54" s="60"/>
      <c r="GF54" s="60"/>
      <c r="GG54" s="60"/>
      <c r="GH54" s="60"/>
      <c r="GI54" s="60"/>
      <c r="GJ54" s="60"/>
      <c r="GK54" s="60"/>
      <c r="GL54" s="60"/>
      <c r="GM54" s="60"/>
      <c r="GN54" s="60"/>
      <c r="GO54" s="60"/>
      <c r="GP54" s="60"/>
      <c r="GQ54" s="60"/>
      <c r="GR54" s="60"/>
      <c r="GS54" s="60"/>
      <c r="GT54" s="60"/>
      <c r="GU54" s="60"/>
      <c r="GV54" s="60"/>
      <c r="GW54" s="60"/>
      <c r="GX54" s="60"/>
      <c r="GY54" s="60"/>
      <c r="GZ54" s="60"/>
      <c r="HA54" s="60"/>
      <c r="HB54" s="60"/>
      <c r="HC54" s="60"/>
      <c r="HD54" s="60"/>
      <c r="HE54" s="60"/>
      <c r="HF54" s="60"/>
      <c r="HG54" s="60"/>
      <c r="HH54" s="60"/>
      <c r="HI54" s="60"/>
      <c r="HJ54" s="60"/>
      <c r="HK54" s="60"/>
      <c r="HL54" s="60"/>
    </row>
    <row r="55" spans="1:220" s="61" customFormat="1" ht="16.5" customHeight="1" x14ac:dyDescent="0.15">
      <c r="A55" s="99"/>
      <c r="B55" s="91" t="s">
        <v>125</v>
      </c>
      <c r="C55" s="103"/>
      <c r="D55" s="61" t="s">
        <v>106</v>
      </c>
      <c r="E55" s="53"/>
      <c r="F55" s="53"/>
      <c r="G55" s="88" t="s">
        <v>477</v>
      </c>
      <c r="H55" s="54"/>
      <c r="I55" s="54"/>
      <c r="J55" s="5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0"/>
      <c r="FE55" s="60"/>
      <c r="FF55" s="60"/>
      <c r="FG55" s="60"/>
      <c r="FH55" s="60"/>
      <c r="FI55" s="60"/>
      <c r="FJ55" s="60"/>
      <c r="FK55" s="60"/>
      <c r="FL55" s="60"/>
      <c r="FM55" s="60"/>
      <c r="FN55" s="60"/>
      <c r="FO55" s="60"/>
      <c r="FP55" s="60"/>
      <c r="FQ55" s="60"/>
      <c r="FR55" s="60"/>
      <c r="FS55" s="60"/>
      <c r="FT55" s="60"/>
      <c r="FU55" s="60"/>
      <c r="FV55" s="60"/>
      <c r="FW55" s="60"/>
      <c r="FX55" s="60"/>
      <c r="FY55" s="60"/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0"/>
      <c r="GK55" s="60"/>
      <c r="GL55" s="60"/>
      <c r="GM55" s="60"/>
      <c r="GN55" s="60"/>
      <c r="GO55" s="60"/>
      <c r="GP55" s="60"/>
      <c r="GQ55" s="60"/>
      <c r="GR55" s="60"/>
      <c r="GS55" s="60"/>
      <c r="GT55" s="60"/>
      <c r="GU55" s="60"/>
      <c r="GV55" s="60"/>
      <c r="GW55" s="60"/>
      <c r="GX55" s="60"/>
      <c r="GY55" s="60"/>
      <c r="GZ55" s="60"/>
      <c r="HA55" s="60"/>
      <c r="HB55" s="60"/>
      <c r="HC55" s="60"/>
      <c r="HD55" s="60"/>
      <c r="HE55" s="60"/>
      <c r="HF55" s="60"/>
      <c r="HG55" s="60"/>
      <c r="HH55" s="60"/>
      <c r="HI55" s="60"/>
      <c r="HJ55" s="60"/>
      <c r="HK55" s="60"/>
      <c r="HL55" s="60"/>
    </row>
    <row r="56" spans="1:220" s="61" customFormat="1" ht="16.5" customHeight="1" x14ac:dyDescent="0.15">
      <c r="A56" s="99"/>
      <c r="B56" s="91" t="s">
        <v>126</v>
      </c>
      <c r="C56" s="100" t="s">
        <v>108</v>
      </c>
      <c r="D56" s="51" t="s">
        <v>172</v>
      </c>
      <c r="E56" s="53"/>
      <c r="F56" s="53"/>
      <c r="G56" s="88" t="s">
        <v>477</v>
      </c>
      <c r="H56" s="54"/>
      <c r="I56" s="54"/>
      <c r="J56" s="53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0"/>
      <c r="DI56" s="60"/>
      <c r="DJ56" s="60"/>
      <c r="DK56" s="60"/>
      <c r="DL56" s="60"/>
      <c r="DM56" s="60"/>
      <c r="DN56" s="60"/>
      <c r="DO56" s="60"/>
      <c r="DP56" s="60"/>
      <c r="DQ56" s="60"/>
      <c r="DR56" s="60"/>
      <c r="DS56" s="60"/>
      <c r="DT56" s="60"/>
      <c r="DU56" s="60"/>
      <c r="DV56" s="60"/>
      <c r="DW56" s="60"/>
      <c r="DX56" s="60"/>
      <c r="DY56" s="60"/>
      <c r="DZ56" s="60"/>
      <c r="EA56" s="60"/>
      <c r="EB56" s="60"/>
      <c r="EC56" s="60"/>
      <c r="ED56" s="60"/>
      <c r="EE56" s="60"/>
      <c r="EF56" s="60"/>
      <c r="EG56" s="60"/>
      <c r="EH56" s="60"/>
      <c r="EI56" s="60"/>
      <c r="EJ56" s="60"/>
      <c r="EK56" s="60"/>
      <c r="EL56" s="60"/>
      <c r="EM56" s="60"/>
      <c r="EN56" s="60"/>
      <c r="EO56" s="60"/>
      <c r="EP56" s="60"/>
      <c r="EQ56" s="60"/>
      <c r="ER56" s="60"/>
      <c r="ES56" s="60"/>
      <c r="ET56" s="60"/>
      <c r="EU56" s="60"/>
      <c r="EV56" s="60"/>
      <c r="EW56" s="60"/>
      <c r="EX56" s="60"/>
      <c r="EY56" s="60"/>
      <c r="EZ56" s="60"/>
      <c r="FA56" s="60"/>
      <c r="FB56" s="60"/>
      <c r="FC56" s="60"/>
      <c r="FD56" s="60"/>
      <c r="FE56" s="60"/>
      <c r="FF56" s="60"/>
      <c r="FG56" s="60"/>
      <c r="FH56" s="60"/>
      <c r="FI56" s="60"/>
      <c r="FJ56" s="60"/>
      <c r="FK56" s="60"/>
      <c r="FL56" s="60"/>
      <c r="FM56" s="60"/>
      <c r="FN56" s="60"/>
      <c r="FO56" s="60"/>
      <c r="FP56" s="60"/>
      <c r="FQ56" s="60"/>
      <c r="FR56" s="60"/>
      <c r="FS56" s="60"/>
      <c r="FT56" s="60"/>
      <c r="FU56" s="60"/>
      <c r="FV56" s="60"/>
      <c r="FW56" s="60"/>
      <c r="FX56" s="60"/>
      <c r="FY56" s="60"/>
      <c r="FZ56" s="60"/>
      <c r="GA56" s="60"/>
      <c r="GB56" s="60"/>
      <c r="GC56" s="60"/>
      <c r="GD56" s="60"/>
      <c r="GE56" s="60"/>
      <c r="GF56" s="60"/>
      <c r="GG56" s="60"/>
      <c r="GH56" s="60"/>
      <c r="GI56" s="60"/>
      <c r="GJ56" s="60"/>
      <c r="GK56" s="60"/>
      <c r="GL56" s="60"/>
      <c r="GM56" s="60"/>
      <c r="GN56" s="60"/>
      <c r="GO56" s="60"/>
      <c r="GP56" s="60"/>
      <c r="GQ56" s="60"/>
      <c r="GR56" s="60"/>
      <c r="GS56" s="60"/>
      <c r="GT56" s="60"/>
      <c r="GU56" s="60"/>
      <c r="GV56" s="60"/>
      <c r="GW56" s="60"/>
      <c r="GX56" s="60"/>
      <c r="GY56" s="60"/>
      <c r="GZ56" s="60"/>
      <c r="HA56" s="60"/>
      <c r="HB56" s="60"/>
      <c r="HC56" s="60"/>
      <c r="HD56" s="60"/>
      <c r="HE56" s="60"/>
      <c r="HF56" s="60"/>
      <c r="HG56" s="60"/>
      <c r="HH56" s="60"/>
      <c r="HI56" s="60"/>
      <c r="HJ56" s="60"/>
      <c r="HK56" s="60"/>
      <c r="HL56" s="60"/>
    </row>
    <row r="57" spans="1:220" s="61" customFormat="1" ht="16.5" customHeight="1" x14ac:dyDescent="0.15">
      <c r="A57" s="99"/>
      <c r="B57" s="91" t="s">
        <v>127</v>
      </c>
      <c r="C57" s="101"/>
      <c r="D57" s="51" t="s">
        <v>109</v>
      </c>
      <c r="E57" s="53"/>
      <c r="F57" s="53"/>
      <c r="G57" s="88" t="s">
        <v>477</v>
      </c>
      <c r="H57" s="54"/>
      <c r="I57" s="54"/>
      <c r="J57" s="53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0"/>
      <c r="EO57" s="60"/>
      <c r="EP57" s="60"/>
      <c r="EQ57" s="60"/>
      <c r="ER57" s="60"/>
      <c r="ES57" s="60"/>
      <c r="ET57" s="60"/>
      <c r="EU57" s="60"/>
      <c r="EV57" s="60"/>
      <c r="EW57" s="60"/>
      <c r="EX57" s="60"/>
      <c r="EY57" s="60"/>
      <c r="EZ57" s="60"/>
      <c r="FA57" s="60"/>
      <c r="FB57" s="60"/>
      <c r="FC57" s="60"/>
      <c r="FD57" s="60"/>
      <c r="FE57" s="60"/>
      <c r="FF57" s="60"/>
      <c r="FG57" s="60"/>
      <c r="FH57" s="60"/>
      <c r="FI57" s="60"/>
      <c r="FJ57" s="60"/>
      <c r="FK57" s="60"/>
      <c r="FL57" s="60"/>
      <c r="FM57" s="60"/>
      <c r="FN57" s="60"/>
      <c r="FO57" s="60"/>
      <c r="FP57" s="60"/>
      <c r="FQ57" s="60"/>
      <c r="FR57" s="60"/>
      <c r="FS57" s="60"/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  <c r="GK57" s="60"/>
      <c r="GL57" s="60"/>
      <c r="GM57" s="60"/>
      <c r="GN57" s="60"/>
      <c r="GO57" s="60"/>
      <c r="GP57" s="60"/>
      <c r="GQ57" s="60"/>
      <c r="GR57" s="60"/>
      <c r="GS57" s="60"/>
      <c r="GT57" s="60"/>
      <c r="GU57" s="60"/>
      <c r="GV57" s="60"/>
      <c r="GW57" s="60"/>
      <c r="GX57" s="60"/>
      <c r="GY57" s="60"/>
      <c r="GZ57" s="60"/>
      <c r="HA57" s="60"/>
      <c r="HB57" s="60"/>
      <c r="HC57" s="60"/>
      <c r="HD57" s="60"/>
      <c r="HE57" s="60"/>
      <c r="HF57" s="60"/>
      <c r="HG57" s="60"/>
      <c r="HH57" s="60"/>
      <c r="HI57" s="60"/>
      <c r="HJ57" s="60"/>
      <c r="HK57" s="60"/>
      <c r="HL57" s="60"/>
    </row>
    <row r="58" spans="1:220" s="61" customFormat="1" ht="16.5" customHeight="1" x14ac:dyDescent="0.15">
      <c r="A58" s="99"/>
      <c r="B58" s="91" t="s">
        <v>136</v>
      </c>
      <c r="C58" s="101"/>
      <c r="D58" s="61" t="s">
        <v>116</v>
      </c>
      <c r="E58" s="53"/>
      <c r="F58" s="53"/>
      <c r="G58" s="88" t="s">
        <v>477</v>
      </c>
      <c r="H58" s="54"/>
      <c r="I58" s="54"/>
      <c r="J58" s="5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/>
      <c r="DQ58" s="60"/>
      <c r="DR58" s="60"/>
      <c r="DS58" s="60"/>
      <c r="DT58" s="60"/>
      <c r="DU58" s="60"/>
      <c r="DV58" s="60"/>
      <c r="DW58" s="60"/>
      <c r="DX58" s="60"/>
      <c r="DY58" s="60"/>
      <c r="DZ58" s="60"/>
      <c r="EA58" s="60"/>
      <c r="EB58" s="60"/>
      <c r="EC58" s="60"/>
      <c r="ED58" s="60"/>
      <c r="EE58" s="60"/>
      <c r="EF58" s="60"/>
      <c r="EG58" s="60"/>
      <c r="EH58" s="60"/>
      <c r="EI58" s="60"/>
      <c r="EJ58" s="60"/>
      <c r="EK58" s="60"/>
      <c r="EL58" s="60"/>
      <c r="EM58" s="60"/>
      <c r="EN58" s="60"/>
      <c r="EO58" s="60"/>
      <c r="EP58" s="60"/>
      <c r="EQ58" s="60"/>
      <c r="ER58" s="60"/>
      <c r="ES58" s="60"/>
      <c r="ET58" s="60"/>
      <c r="EU58" s="60"/>
      <c r="EV58" s="60"/>
      <c r="EW58" s="60"/>
      <c r="EX58" s="60"/>
      <c r="EY58" s="60"/>
      <c r="EZ58" s="60"/>
      <c r="FA58" s="60"/>
      <c r="FB58" s="60"/>
      <c r="FC58" s="60"/>
      <c r="FD58" s="60"/>
      <c r="FE58" s="60"/>
      <c r="FF58" s="60"/>
      <c r="FG58" s="60"/>
      <c r="FH58" s="60"/>
      <c r="FI58" s="60"/>
      <c r="FJ58" s="60"/>
      <c r="FK58" s="60"/>
      <c r="FL58" s="60"/>
      <c r="FM58" s="60"/>
      <c r="FN58" s="60"/>
      <c r="FO58" s="60"/>
      <c r="FP58" s="60"/>
      <c r="FQ58" s="60"/>
      <c r="FR58" s="60"/>
      <c r="FS58" s="60"/>
      <c r="FT58" s="60"/>
      <c r="FU58" s="60"/>
      <c r="FV58" s="60"/>
      <c r="FW58" s="60"/>
      <c r="FX58" s="60"/>
      <c r="FY58" s="60"/>
      <c r="FZ58" s="60"/>
      <c r="GA58" s="60"/>
      <c r="GB58" s="60"/>
      <c r="GC58" s="60"/>
      <c r="GD58" s="60"/>
      <c r="GE58" s="60"/>
      <c r="GF58" s="60"/>
      <c r="GG58" s="60"/>
      <c r="GH58" s="60"/>
      <c r="GI58" s="60"/>
      <c r="GJ58" s="60"/>
      <c r="GK58" s="60"/>
      <c r="GL58" s="60"/>
      <c r="GM58" s="60"/>
      <c r="GN58" s="60"/>
      <c r="GO58" s="60"/>
      <c r="GP58" s="60"/>
      <c r="GQ58" s="60"/>
      <c r="GR58" s="60"/>
      <c r="GS58" s="60"/>
      <c r="GT58" s="60"/>
      <c r="GU58" s="60"/>
      <c r="GV58" s="60"/>
      <c r="GW58" s="60"/>
      <c r="GX58" s="60"/>
      <c r="GY58" s="60"/>
      <c r="GZ58" s="60"/>
      <c r="HA58" s="60"/>
      <c r="HB58" s="60"/>
      <c r="HC58" s="60"/>
      <c r="HD58" s="60"/>
      <c r="HE58" s="60"/>
      <c r="HF58" s="60"/>
      <c r="HG58" s="60"/>
      <c r="HH58" s="60"/>
      <c r="HI58" s="60"/>
      <c r="HJ58" s="60"/>
      <c r="HK58" s="60"/>
      <c r="HL58" s="60"/>
    </row>
    <row r="59" spans="1:220" s="61" customFormat="1" ht="16.5" customHeight="1" x14ac:dyDescent="0.15">
      <c r="A59" s="99"/>
      <c r="B59" s="91" t="s">
        <v>137</v>
      </c>
      <c r="C59" s="100" t="s">
        <v>110</v>
      </c>
      <c r="D59" s="51" t="s">
        <v>112</v>
      </c>
      <c r="E59" s="53"/>
      <c r="F59" s="53"/>
      <c r="G59" s="88" t="s">
        <v>477</v>
      </c>
      <c r="H59" s="54"/>
      <c r="I59" s="54"/>
      <c r="J59" s="53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0"/>
      <c r="FE59" s="60"/>
      <c r="FF59" s="60"/>
      <c r="FG59" s="60"/>
      <c r="FH59" s="60"/>
      <c r="FI59" s="60"/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  <c r="GT59" s="60"/>
      <c r="GU59" s="60"/>
      <c r="GV59" s="60"/>
      <c r="GW59" s="60"/>
      <c r="GX59" s="60"/>
      <c r="GY59" s="60"/>
      <c r="GZ59" s="60"/>
      <c r="HA59" s="60"/>
      <c r="HB59" s="60"/>
      <c r="HC59" s="60"/>
      <c r="HD59" s="60"/>
      <c r="HE59" s="60"/>
      <c r="HF59" s="60"/>
      <c r="HG59" s="60"/>
      <c r="HH59" s="60"/>
      <c r="HI59" s="60"/>
      <c r="HJ59" s="60"/>
      <c r="HK59" s="60"/>
      <c r="HL59" s="60"/>
    </row>
    <row r="60" spans="1:220" s="61" customFormat="1" ht="16.5" customHeight="1" x14ac:dyDescent="0.15">
      <c r="A60" s="99"/>
      <c r="B60" s="91" t="s">
        <v>140</v>
      </c>
      <c r="C60" s="101"/>
      <c r="D60" s="51" t="s">
        <v>113</v>
      </c>
      <c r="E60" s="53"/>
      <c r="F60" s="53"/>
      <c r="G60" s="88" t="s">
        <v>477</v>
      </c>
      <c r="H60" s="54"/>
      <c r="I60" s="54"/>
      <c r="J60" s="53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  <c r="DN60" s="60"/>
      <c r="DO60" s="60"/>
      <c r="DP60" s="60"/>
      <c r="DQ60" s="60"/>
      <c r="DR60" s="60"/>
      <c r="DS60" s="60"/>
      <c r="DT60" s="60"/>
      <c r="DU60" s="60"/>
      <c r="DV60" s="60"/>
      <c r="DW60" s="60"/>
      <c r="DX60" s="60"/>
      <c r="DY60" s="60"/>
      <c r="DZ60" s="60"/>
      <c r="EA60" s="60"/>
      <c r="EB60" s="60"/>
      <c r="EC60" s="60"/>
      <c r="ED60" s="60"/>
      <c r="EE60" s="60"/>
      <c r="EF60" s="60"/>
      <c r="EG60" s="60"/>
      <c r="EH60" s="60"/>
      <c r="EI60" s="60"/>
      <c r="EJ60" s="60"/>
      <c r="EK60" s="60"/>
      <c r="EL60" s="60"/>
      <c r="EM60" s="60"/>
      <c r="EN60" s="60"/>
      <c r="EO60" s="60"/>
      <c r="EP60" s="60"/>
      <c r="EQ60" s="60"/>
      <c r="ER60" s="60"/>
      <c r="ES60" s="60"/>
      <c r="ET60" s="60"/>
      <c r="EU60" s="60"/>
      <c r="EV60" s="60"/>
      <c r="EW60" s="60"/>
      <c r="EX60" s="60"/>
      <c r="EY60" s="60"/>
      <c r="EZ60" s="60"/>
      <c r="FA60" s="60"/>
      <c r="FB60" s="60"/>
      <c r="FC60" s="60"/>
      <c r="FD60" s="60"/>
      <c r="FE60" s="60"/>
      <c r="FF60" s="60"/>
      <c r="FG60" s="60"/>
      <c r="FH60" s="60"/>
      <c r="FI60" s="60"/>
      <c r="FJ60" s="60"/>
      <c r="FK60" s="60"/>
      <c r="FL60" s="60"/>
      <c r="FM60" s="60"/>
      <c r="FN60" s="60"/>
      <c r="FO60" s="60"/>
      <c r="FP60" s="60"/>
      <c r="FQ60" s="60"/>
      <c r="FR60" s="60"/>
      <c r="FS60" s="60"/>
      <c r="FT60" s="60"/>
      <c r="FU60" s="60"/>
      <c r="FV60" s="60"/>
      <c r="FW60" s="60"/>
      <c r="FX60" s="60"/>
      <c r="FY60" s="60"/>
      <c r="FZ60" s="60"/>
      <c r="GA60" s="60"/>
      <c r="GB60" s="60"/>
      <c r="GC60" s="60"/>
      <c r="GD60" s="60"/>
      <c r="GE60" s="60"/>
      <c r="GF60" s="60"/>
      <c r="GG60" s="60"/>
      <c r="GH60" s="60"/>
      <c r="GI60" s="60"/>
      <c r="GJ60" s="60"/>
      <c r="GK60" s="60"/>
      <c r="GL60" s="60"/>
      <c r="GM60" s="60"/>
      <c r="GN60" s="60"/>
      <c r="GO60" s="60"/>
      <c r="GP60" s="60"/>
      <c r="GQ60" s="60"/>
      <c r="GR60" s="60"/>
      <c r="GS60" s="60"/>
      <c r="GT60" s="60"/>
      <c r="GU60" s="60"/>
      <c r="GV60" s="60"/>
      <c r="GW60" s="60"/>
      <c r="GX60" s="60"/>
      <c r="GY60" s="60"/>
      <c r="GZ60" s="60"/>
      <c r="HA60" s="60"/>
      <c r="HB60" s="60"/>
      <c r="HC60" s="60"/>
      <c r="HD60" s="60"/>
      <c r="HE60" s="60"/>
      <c r="HF60" s="60"/>
      <c r="HG60" s="60"/>
      <c r="HH60" s="60"/>
      <c r="HI60" s="60"/>
      <c r="HJ60" s="60"/>
      <c r="HK60" s="60"/>
      <c r="HL60" s="60"/>
    </row>
    <row r="61" spans="1:220" s="61" customFormat="1" ht="16.5" customHeight="1" x14ac:dyDescent="0.15">
      <c r="A61" s="99"/>
      <c r="B61" s="91" t="s">
        <v>141</v>
      </c>
      <c r="C61" s="101"/>
      <c r="D61" s="51" t="s">
        <v>111</v>
      </c>
      <c r="E61" s="53"/>
      <c r="F61" s="53"/>
      <c r="G61" s="88" t="s">
        <v>477</v>
      </c>
      <c r="H61" s="54"/>
      <c r="I61" s="54"/>
      <c r="J61" s="5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  <c r="DN61" s="60"/>
      <c r="DO61" s="60"/>
      <c r="DP61" s="60"/>
      <c r="DQ61" s="60"/>
      <c r="DR61" s="60"/>
      <c r="DS61" s="60"/>
      <c r="DT61" s="60"/>
      <c r="DU61" s="60"/>
      <c r="DV61" s="60"/>
      <c r="DW61" s="60"/>
      <c r="DX61" s="60"/>
      <c r="DY61" s="60"/>
      <c r="DZ61" s="60"/>
      <c r="EA61" s="60"/>
      <c r="EB61" s="60"/>
      <c r="EC61" s="60"/>
      <c r="ED61" s="60"/>
      <c r="EE61" s="60"/>
      <c r="EF61" s="60"/>
      <c r="EG61" s="60"/>
      <c r="EH61" s="60"/>
      <c r="EI61" s="60"/>
      <c r="EJ61" s="60"/>
      <c r="EK61" s="60"/>
      <c r="EL61" s="60"/>
      <c r="EM61" s="60"/>
      <c r="EN61" s="60"/>
      <c r="EO61" s="60"/>
      <c r="EP61" s="60"/>
      <c r="EQ61" s="60"/>
      <c r="ER61" s="60"/>
      <c r="ES61" s="60"/>
      <c r="ET61" s="60"/>
      <c r="EU61" s="60"/>
      <c r="EV61" s="60"/>
      <c r="EW61" s="60"/>
      <c r="EX61" s="60"/>
      <c r="EY61" s="60"/>
      <c r="EZ61" s="60"/>
      <c r="FA61" s="60"/>
      <c r="FB61" s="60"/>
      <c r="FC61" s="60"/>
      <c r="FD61" s="60"/>
      <c r="FE61" s="60"/>
      <c r="FF61" s="60"/>
      <c r="FG61" s="60"/>
      <c r="FH61" s="60"/>
      <c r="FI61" s="60"/>
      <c r="FJ61" s="60"/>
      <c r="FK61" s="60"/>
      <c r="FL61" s="60"/>
      <c r="FM61" s="60"/>
      <c r="FN61" s="60"/>
      <c r="FO61" s="60"/>
      <c r="FP61" s="60"/>
      <c r="FQ61" s="60"/>
      <c r="FR61" s="60"/>
      <c r="FS61" s="60"/>
      <c r="FT61" s="60"/>
      <c r="FU61" s="60"/>
      <c r="FV61" s="60"/>
      <c r="FW61" s="60"/>
      <c r="FX61" s="60"/>
      <c r="FY61" s="60"/>
      <c r="FZ61" s="60"/>
      <c r="GA61" s="60"/>
      <c r="GB61" s="60"/>
      <c r="GC61" s="60"/>
      <c r="GD61" s="60"/>
      <c r="GE61" s="60"/>
      <c r="GF61" s="60"/>
      <c r="GG61" s="60"/>
      <c r="GH61" s="60"/>
      <c r="GI61" s="60"/>
      <c r="GJ61" s="60"/>
      <c r="GK61" s="60"/>
      <c r="GL61" s="60"/>
      <c r="GM61" s="60"/>
      <c r="GN61" s="60"/>
      <c r="GO61" s="60"/>
      <c r="GP61" s="60"/>
      <c r="GQ61" s="60"/>
      <c r="GR61" s="60"/>
      <c r="GS61" s="60"/>
      <c r="GT61" s="60"/>
      <c r="GU61" s="60"/>
      <c r="GV61" s="60"/>
      <c r="GW61" s="60"/>
      <c r="GX61" s="60"/>
      <c r="GY61" s="60"/>
      <c r="GZ61" s="60"/>
      <c r="HA61" s="60"/>
      <c r="HB61" s="60"/>
      <c r="HC61" s="60"/>
      <c r="HD61" s="60"/>
      <c r="HE61" s="60"/>
      <c r="HF61" s="60"/>
      <c r="HG61" s="60"/>
      <c r="HH61" s="60"/>
      <c r="HI61" s="60"/>
      <c r="HJ61" s="60"/>
      <c r="HK61" s="60"/>
      <c r="HL61" s="60"/>
    </row>
    <row r="62" spans="1:220" s="61" customFormat="1" ht="16.5" customHeight="1" x14ac:dyDescent="0.15">
      <c r="A62" s="99"/>
      <c r="B62" s="91" t="s">
        <v>142</v>
      </c>
      <c r="C62" s="101"/>
      <c r="D62" s="61" t="s">
        <v>114</v>
      </c>
      <c r="E62" s="53"/>
      <c r="F62" s="53"/>
      <c r="G62" s="88" t="s">
        <v>477</v>
      </c>
      <c r="H62" s="54"/>
      <c r="I62" s="54"/>
      <c r="J62" s="53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0"/>
      <c r="DY62" s="60"/>
      <c r="DZ62" s="60"/>
      <c r="EA62" s="60"/>
      <c r="EB62" s="60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60"/>
      <c r="ET62" s="60"/>
      <c r="EU62" s="60"/>
      <c r="EV62" s="60"/>
      <c r="EW62" s="60"/>
      <c r="EX62" s="60"/>
      <c r="EY62" s="60"/>
      <c r="EZ62" s="60"/>
      <c r="FA62" s="60"/>
      <c r="FB62" s="60"/>
      <c r="FC62" s="60"/>
      <c r="FD62" s="60"/>
      <c r="FE62" s="60"/>
      <c r="FF62" s="60"/>
      <c r="FG62" s="60"/>
      <c r="FH62" s="60"/>
      <c r="FI62" s="60"/>
      <c r="FJ62" s="60"/>
      <c r="FK62" s="60"/>
      <c r="FL62" s="60"/>
      <c r="FM62" s="60"/>
      <c r="FN62" s="60"/>
      <c r="FO62" s="60"/>
      <c r="FP62" s="60"/>
      <c r="FQ62" s="60"/>
      <c r="FR62" s="60"/>
      <c r="FS62" s="60"/>
      <c r="FT62" s="60"/>
      <c r="FU62" s="60"/>
      <c r="FV62" s="60"/>
      <c r="FW62" s="60"/>
      <c r="FX62" s="60"/>
      <c r="FY62" s="60"/>
      <c r="FZ62" s="60"/>
      <c r="GA62" s="60"/>
      <c r="GB62" s="60"/>
      <c r="GC62" s="60"/>
      <c r="GD62" s="60"/>
      <c r="GE62" s="60"/>
      <c r="GF62" s="60"/>
      <c r="GG62" s="60"/>
      <c r="GH62" s="60"/>
      <c r="GI62" s="60"/>
      <c r="GJ62" s="60"/>
      <c r="GK62" s="60"/>
      <c r="GL62" s="60"/>
      <c r="GM62" s="60"/>
      <c r="GN62" s="60"/>
      <c r="GO62" s="60"/>
      <c r="GP62" s="60"/>
      <c r="GQ62" s="60"/>
      <c r="GR62" s="60"/>
      <c r="GS62" s="60"/>
      <c r="GT62" s="60"/>
      <c r="GU62" s="60"/>
      <c r="GV62" s="60"/>
      <c r="GW62" s="60"/>
      <c r="GX62" s="60"/>
      <c r="GY62" s="60"/>
      <c r="GZ62" s="60"/>
      <c r="HA62" s="60"/>
      <c r="HB62" s="60"/>
      <c r="HC62" s="60"/>
      <c r="HD62" s="60"/>
      <c r="HE62" s="60"/>
      <c r="HF62" s="60"/>
      <c r="HG62" s="60"/>
      <c r="HH62" s="60"/>
      <c r="HI62" s="60"/>
      <c r="HJ62" s="60"/>
      <c r="HK62" s="60"/>
      <c r="HL62" s="60"/>
    </row>
    <row r="63" spans="1:220" s="61" customFormat="1" ht="16.5" customHeight="1" x14ac:dyDescent="0.15">
      <c r="A63" s="99"/>
      <c r="B63" s="91" t="s">
        <v>143</v>
      </c>
      <c r="C63" s="101"/>
      <c r="D63" s="62" t="s">
        <v>115</v>
      </c>
      <c r="E63" s="53"/>
      <c r="F63" s="53"/>
      <c r="G63" s="88" t="s">
        <v>477</v>
      </c>
      <c r="H63" s="54"/>
      <c r="I63" s="54"/>
      <c r="J63" s="53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0"/>
      <c r="EO63" s="60"/>
      <c r="EP63" s="60"/>
      <c r="EQ63" s="60"/>
      <c r="ER63" s="60"/>
      <c r="ES63" s="60"/>
      <c r="ET63" s="60"/>
      <c r="EU63" s="60"/>
      <c r="EV63" s="60"/>
      <c r="EW63" s="60"/>
      <c r="EX63" s="60"/>
      <c r="EY63" s="60"/>
      <c r="EZ63" s="60"/>
      <c r="FA63" s="60"/>
      <c r="FB63" s="60"/>
      <c r="FC63" s="60"/>
      <c r="FD63" s="60"/>
      <c r="FE63" s="60"/>
      <c r="FF63" s="60"/>
      <c r="FG63" s="60"/>
      <c r="FH63" s="60"/>
      <c r="FI63" s="60"/>
      <c r="FJ63" s="60"/>
      <c r="FK63" s="60"/>
      <c r="FL63" s="60"/>
      <c r="FM63" s="60"/>
      <c r="FN63" s="60"/>
      <c r="FO63" s="60"/>
      <c r="FP63" s="60"/>
      <c r="FQ63" s="60"/>
      <c r="FR63" s="60"/>
      <c r="FS63" s="60"/>
      <c r="FT63" s="60"/>
      <c r="FU63" s="60"/>
      <c r="FV63" s="60"/>
      <c r="FW63" s="60"/>
      <c r="FX63" s="60"/>
      <c r="FY63" s="60"/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0"/>
      <c r="GK63" s="60"/>
      <c r="GL63" s="60"/>
      <c r="GM63" s="60"/>
      <c r="GN63" s="60"/>
      <c r="GO63" s="60"/>
      <c r="GP63" s="60"/>
      <c r="GQ63" s="60"/>
      <c r="GR63" s="60"/>
      <c r="GS63" s="60"/>
      <c r="GT63" s="60"/>
      <c r="GU63" s="60"/>
      <c r="GV63" s="60"/>
      <c r="GW63" s="60"/>
      <c r="GX63" s="60"/>
      <c r="GY63" s="60"/>
      <c r="GZ63" s="60"/>
      <c r="HA63" s="60"/>
      <c r="HB63" s="60"/>
      <c r="HC63" s="60"/>
      <c r="HD63" s="60"/>
      <c r="HE63" s="60"/>
      <c r="HF63" s="60"/>
      <c r="HG63" s="60"/>
      <c r="HH63" s="60"/>
      <c r="HI63" s="60"/>
      <c r="HJ63" s="60"/>
      <c r="HK63" s="60"/>
      <c r="HL63" s="60"/>
    </row>
    <row r="64" spans="1:220" s="61" customFormat="1" ht="16.5" customHeight="1" x14ac:dyDescent="0.15">
      <c r="A64" s="99"/>
      <c r="B64" s="91" t="s">
        <v>144</v>
      </c>
      <c r="C64" s="100" t="s">
        <v>128</v>
      </c>
      <c r="D64" s="51" t="s">
        <v>180</v>
      </c>
      <c r="E64" s="53"/>
      <c r="F64" s="53"/>
      <c r="G64" s="88" t="s">
        <v>477</v>
      </c>
      <c r="H64" s="54"/>
      <c r="I64" s="54"/>
      <c r="J64" s="5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0"/>
      <c r="FE64" s="60"/>
      <c r="FF64" s="60"/>
      <c r="FG64" s="60"/>
      <c r="FH64" s="60"/>
      <c r="FI64" s="60"/>
      <c r="FJ64" s="60"/>
      <c r="FK64" s="60"/>
      <c r="FL64" s="60"/>
      <c r="FM64" s="60"/>
      <c r="FN64" s="60"/>
      <c r="FO64" s="60"/>
      <c r="FP64" s="60"/>
      <c r="FQ64" s="60"/>
      <c r="FR64" s="60"/>
      <c r="FS64" s="60"/>
      <c r="FT64" s="60"/>
      <c r="FU64" s="60"/>
      <c r="FV64" s="60"/>
      <c r="FW64" s="60"/>
      <c r="FX64" s="60"/>
      <c r="FY64" s="60"/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0"/>
      <c r="GK64" s="60"/>
      <c r="GL64" s="60"/>
      <c r="GM64" s="60"/>
      <c r="GN64" s="60"/>
      <c r="GO64" s="60"/>
      <c r="GP64" s="60"/>
      <c r="GQ64" s="60"/>
      <c r="GR64" s="60"/>
      <c r="GS64" s="60"/>
      <c r="GT64" s="60"/>
      <c r="GU64" s="60"/>
      <c r="GV64" s="60"/>
      <c r="GW64" s="60"/>
      <c r="GX64" s="60"/>
      <c r="GY64" s="60"/>
      <c r="GZ64" s="60"/>
      <c r="HA64" s="60"/>
      <c r="HB64" s="60"/>
      <c r="HC64" s="60"/>
      <c r="HD64" s="60"/>
      <c r="HE64" s="60"/>
      <c r="HF64" s="60"/>
      <c r="HG64" s="60"/>
      <c r="HH64" s="60"/>
      <c r="HI64" s="60"/>
      <c r="HJ64" s="60"/>
      <c r="HK64" s="60"/>
      <c r="HL64" s="60"/>
    </row>
    <row r="65" spans="1:220" s="57" customFormat="1" ht="16.5" customHeight="1" x14ac:dyDescent="0.15">
      <c r="A65" s="99"/>
      <c r="B65" s="91" t="s">
        <v>145</v>
      </c>
      <c r="C65" s="101"/>
      <c r="D65" s="51" t="s">
        <v>130</v>
      </c>
      <c r="E65" s="53"/>
      <c r="F65" s="53"/>
      <c r="G65" s="88" t="s">
        <v>477</v>
      </c>
      <c r="H65" s="54"/>
      <c r="I65" s="54"/>
      <c r="J65" s="59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  <c r="CX65" s="56"/>
      <c r="CY65" s="56"/>
      <c r="CZ65" s="56"/>
      <c r="DA65" s="56"/>
      <c r="DB65" s="56"/>
      <c r="DC65" s="56"/>
      <c r="DD65" s="56"/>
      <c r="DE65" s="56"/>
      <c r="DF65" s="56"/>
      <c r="DG65" s="56"/>
      <c r="DH65" s="56"/>
      <c r="DI65" s="56"/>
      <c r="DJ65" s="56"/>
      <c r="DK65" s="56"/>
      <c r="DL65" s="56"/>
      <c r="DM65" s="56"/>
      <c r="DN65" s="56"/>
      <c r="DO65" s="56"/>
      <c r="DP65" s="56"/>
      <c r="DQ65" s="56"/>
      <c r="DR65" s="56"/>
      <c r="DS65" s="56"/>
      <c r="DT65" s="56"/>
      <c r="DU65" s="56"/>
      <c r="DV65" s="56"/>
      <c r="DW65" s="56"/>
      <c r="DX65" s="56"/>
      <c r="DY65" s="56"/>
      <c r="DZ65" s="56"/>
      <c r="EA65" s="56"/>
      <c r="EB65" s="56"/>
      <c r="EC65" s="56"/>
      <c r="ED65" s="56"/>
      <c r="EE65" s="56"/>
      <c r="EF65" s="56"/>
      <c r="EG65" s="56"/>
      <c r="EH65" s="56"/>
      <c r="EI65" s="56"/>
      <c r="EJ65" s="56"/>
      <c r="EK65" s="56"/>
      <c r="EL65" s="56"/>
      <c r="EM65" s="56"/>
      <c r="EN65" s="56"/>
      <c r="EO65" s="56"/>
      <c r="EP65" s="56"/>
      <c r="EQ65" s="56"/>
      <c r="ER65" s="56"/>
      <c r="ES65" s="56"/>
      <c r="ET65" s="56"/>
      <c r="EU65" s="56"/>
      <c r="EV65" s="56"/>
      <c r="EW65" s="56"/>
      <c r="EX65" s="56"/>
      <c r="EY65" s="56"/>
      <c r="EZ65" s="56"/>
      <c r="FA65" s="56"/>
      <c r="FB65" s="56"/>
      <c r="FC65" s="56"/>
      <c r="FD65" s="56"/>
      <c r="FE65" s="56"/>
      <c r="FF65" s="56"/>
      <c r="FG65" s="56"/>
      <c r="FH65" s="56"/>
      <c r="FI65" s="56"/>
      <c r="FJ65" s="56"/>
      <c r="FK65" s="56"/>
      <c r="FL65" s="56"/>
      <c r="FM65" s="56"/>
      <c r="FN65" s="56"/>
      <c r="FO65" s="56"/>
      <c r="FP65" s="56"/>
      <c r="FQ65" s="56"/>
      <c r="FR65" s="56"/>
      <c r="FS65" s="56"/>
      <c r="FT65" s="56"/>
      <c r="FU65" s="56"/>
      <c r="FV65" s="56"/>
      <c r="FW65" s="56"/>
      <c r="FX65" s="56"/>
      <c r="FY65" s="56"/>
      <c r="FZ65" s="56"/>
      <c r="GA65" s="56"/>
      <c r="GB65" s="56"/>
      <c r="GC65" s="56"/>
      <c r="GD65" s="56"/>
      <c r="GE65" s="56"/>
      <c r="GF65" s="56"/>
      <c r="GG65" s="56"/>
      <c r="GH65" s="56"/>
      <c r="GI65" s="56"/>
      <c r="GJ65" s="56"/>
      <c r="GK65" s="56"/>
      <c r="GL65" s="56"/>
      <c r="GM65" s="56"/>
      <c r="GN65" s="56"/>
      <c r="GO65" s="56"/>
      <c r="GP65" s="56"/>
      <c r="GQ65" s="56"/>
      <c r="GR65" s="56"/>
      <c r="GS65" s="56"/>
      <c r="GT65" s="56"/>
      <c r="GU65" s="56"/>
      <c r="GV65" s="56"/>
      <c r="GW65" s="56"/>
      <c r="GX65" s="56"/>
      <c r="GY65" s="56"/>
      <c r="GZ65" s="56"/>
      <c r="HA65" s="56"/>
      <c r="HB65" s="56"/>
      <c r="HC65" s="56"/>
      <c r="HD65" s="56"/>
      <c r="HE65" s="56"/>
      <c r="HF65" s="56"/>
      <c r="HG65" s="56"/>
      <c r="HH65" s="56"/>
      <c r="HI65" s="56"/>
      <c r="HJ65" s="56"/>
      <c r="HK65" s="56"/>
      <c r="HL65" s="56"/>
    </row>
    <row r="66" spans="1:220" s="94" customFormat="1" ht="16.5" customHeight="1" x14ac:dyDescent="0.15">
      <c r="A66" s="99"/>
      <c r="B66" s="91" t="s">
        <v>146</v>
      </c>
      <c r="C66" s="101"/>
      <c r="D66" s="51" t="s">
        <v>705</v>
      </c>
      <c r="E66" s="81"/>
      <c r="F66" s="81"/>
      <c r="G66" s="88" t="s">
        <v>477</v>
      </c>
      <c r="H66" s="82"/>
      <c r="I66" s="82"/>
      <c r="J66" s="83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6"/>
      <c r="CU66" s="56"/>
      <c r="CV66" s="56"/>
      <c r="CW66" s="56"/>
      <c r="CX66" s="56"/>
      <c r="CY66" s="56"/>
      <c r="CZ66" s="56"/>
      <c r="DA66" s="56"/>
      <c r="DB66" s="56"/>
      <c r="DC66" s="56"/>
      <c r="DD66" s="56"/>
      <c r="DE66" s="56"/>
      <c r="DF66" s="56"/>
      <c r="DG66" s="56"/>
      <c r="DH66" s="56"/>
      <c r="DI66" s="56"/>
      <c r="DJ66" s="56"/>
      <c r="DK66" s="56"/>
      <c r="DL66" s="56"/>
      <c r="DM66" s="56"/>
      <c r="DN66" s="56"/>
      <c r="DO66" s="56"/>
      <c r="DP66" s="56"/>
      <c r="DQ66" s="56"/>
      <c r="DR66" s="56"/>
      <c r="DS66" s="56"/>
      <c r="DT66" s="56"/>
      <c r="DU66" s="56"/>
      <c r="DV66" s="56"/>
      <c r="DW66" s="56"/>
      <c r="DX66" s="56"/>
      <c r="DY66" s="56"/>
      <c r="DZ66" s="56"/>
      <c r="EA66" s="56"/>
      <c r="EB66" s="56"/>
      <c r="EC66" s="56"/>
      <c r="ED66" s="56"/>
      <c r="EE66" s="56"/>
      <c r="EF66" s="56"/>
      <c r="EG66" s="56"/>
      <c r="EH66" s="56"/>
      <c r="EI66" s="56"/>
      <c r="EJ66" s="56"/>
      <c r="EK66" s="56"/>
      <c r="EL66" s="56"/>
      <c r="EM66" s="56"/>
      <c r="EN66" s="56"/>
      <c r="EO66" s="56"/>
      <c r="EP66" s="56"/>
      <c r="EQ66" s="56"/>
      <c r="ER66" s="56"/>
      <c r="ES66" s="56"/>
      <c r="ET66" s="56"/>
      <c r="EU66" s="56"/>
      <c r="EV66" s="56"/>
      <c r="EW66" s="56"/>
      <c r="EX66" s="56"/>
      <c r="EY66" s="56"/>
      <c r="EZ66" s="56"/>
      <c r="FA66" s="56"/>
      <c r="FB66" s="56"/>
      <c r="FC66" s="56"/>
      <c r="FD66" s="56"/>
      <c r="FE66" s="56"/>
      <c r="FF66" s="56"/>
      <c r="FG66" s="56"/>
      <c r="FH66" s="56"/>
      <c r="FI66" s="56"/>
      <c r="FJ66" s="56"/>
      <c r="FK66" s="56"/>
      <c r="FL66" s="56"/>
      <c r="FM66" s="56"/>
      <c r="FN66" s="56"/>
      <c r="FO66" s="56"/>
      <c r="FP66" s="56"/>
      <c r="FQ66" s="56"/>
      <c r="FR66" s="56"/>
      <c r="FS66" s="56"/>
      <c r="FT66" s="56"/>
      <c r="FU66" s="56"/>
      <c r="FV66" s="56"/>
      <c r="FW66" s="56"/>
      <c r="FX66" s="56"/>
      <c r="FY66" s="56"/>
      <c r="FZ66" s="56"/>
      <c r="GA66" s="56"/>
      <c r="GB66" s="56"/>
      <c r="GC66" s="56"/>
      <c r="GD66" s="56"/>
      <c r="GE66" s="56"/>
      <c r="GF66" s="56"/>
      <c r="GG66" s="56"/>
      <c r="GH66" s="56"/>
      <c r="GI66" s="56"/>
      <c r="GJ66" s="56"/>
      <c r="GK66" s="56"/>
      <c r="GL66" s="56"/>
      <c r="GM66" s="56"/>
      <c r="GN66" s="56"/>
      <c r="GO66" s="56"/>
      <c r="GP66" s="56"/>
      <c r="GQ66" s="56"/>
      <c r="GR66" s="56"/>
      <c r="GS66" s="56"/>
      <c r="GT66" s="56"/>
      <c r="GU66" s="56"/>
      <c r="GV66" s="56"/>
      <c r="GW66" s="56"/>
      <c r="GX66" s="56"/>
      <c r="GY66" s="56"/>
      <c r="GZ66" s="56"/>
      <c r="HA66" s="56"/>
      <c r="HB66" s="56"/>
      <c r="HC66" s="56"/>
      <c r="HD66" s="56"/>
      <c r="HE66" s="56"/>
      <c r="HF66" s="56"/>
      <c r="HG66" s="56"/>
      <c r="HH66" s="56"/>
      <c r="HI66" s="56"/>
      <c r="HJ66" s="56"/>
      <c r="HK66" s="56"/>
      <c r="HL66" s="56"/>
    </row>
    <row r="67" spans="1:220" s="61" customFormat="1" ht="16.5" customHeight="1" x14ac:dyDescent="0.15">
      <c r="A67" s="99"/>
      <c r="B67" s="91" t="s">
        <v>147</v>
      </c>
      <c r="C67" s="103"/>
      <c r="D67" s="61" t="s">
        <v>706</v>
      </c>
      <c r="E67" s="53"/>
      <c r="F67" s="53"/>
      <c r="G67" s="88" t="s">
        <v>477</v>
      </c>
      <c r="H67" s="54"/>
      <c r="I67" s="54"/>
      <c r="J67" s="5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0"/>
      <c r="CX67" s="60"/>
      <c r="CY67" s="60"/>
      <c r="CZ67" s="60"/>
      <c r="DA67" s="60"/>
      <c r="DB67" s="60"/>
      <c r="DC67" s="60"/>
      <c r="DD67" s="60"/>
      <c r="DE67" s="60"/>
      <c r="DF67" s="60"/>
      <c r="DG67" s="60"/>
      <c r="DH67" s="60"/>
      <c r="DI67" s="60"/>
      <c r="DJ67" s="60"/>
      <c r="DK67" s="60"/>
      <c r="DL67" s="60"/>
      <c r="DM67" s="60"/>
      <c r="DN67" s="60"/>
      <c r="DO67" s="60"/>
      <c r="DP67" s="60"/>
      <c r="DQ67" s="60"/>
      <c r="DR67" s="60"/>
      <c r="DS67" s="60"/>
      <c r="DT67" s="60"/>
      <c r="DU67" s="60"/>
      <c r="DV67" s="60"/>
      <c r="DW67" s="60"/>
      <c r="DX67" s="60"/>
      <c r="DY67" s="60"/>
      <c r="DZ67" s="60"/>
      <c r="EA67" s="60"/>
      <c r="EB67" s="60"/>
      <c r="EC67" s="60"/>
      <c r="ED67" s="60"/>
      <c r="EE67" s="60"/>
      <c r="EF67" s="60"/>
      <c r="EG67" s="60"/>
      <c r="EH67" s="60"/>
      <c r="EI67" s="60"/>
      <c r="EJ67" s="60"/>
      <c r="EK67" s="60"/>
      <c r="EL67" s="60"/>
      <c r="EM67" s="60"/>
      <c r="EN67" s="60"/>
      <c r="EO67" s="60"/>
      <c r="EP67" s="60"/>
      <c r="EQ67" s="60"/>
      <c r="ER67" s="60"/>
      <c r="ES67" s="60"/>
      <c r="ET67" s="60"/>
      <c r="EU67" s="60"/>
      <c r="EV67" s="60"/>
      <c r="EW67" s="60"/>
      <c r="EX67" s="60"/>
      <c r="EY67" s="60"/>
      <c r="EZ67" s="60"/>
      <c r="FA67" s="60"/>
      <c r="FB67" s="60"/>
      <c r="FC67" s="60"/>
      <c r="FD67" s="60"/>
      <c r="FE67" s="60"/>
      <c r="FF67" s="60"/>
      <c r="FG67" s="60"/>
      <c r="FH67" s="60"/>
      <c r="FI67" s="60"/>
      <c r="FJ67" s="60"/>
      <c r="FK67" s="60"/>
      <c r="FL67" s="60"/>
      <c r="FM67" s="60"/>
      <c r="FN67" s="60"/>
      <c r="FO67" s="60"/>
      <c r="FP67" s="60"/>
      <c r="FQ67" s="60"/>
      <c r="FR67" s="60"/>
      <c r="FS67" s="60"/>
      <c r="FT67" s="60"/>
      <c r="FU67" s="60"/>
      <c r="FV67" s="60"/>
      <c r="FW67" s="60"/>
      <c r="FX67" s="60"/>
      <c r="FY67" s="60"/>
      <c r="FZ67" s="60"/>
      <c r="GA67" s="60"/>
      <c r="GB67" s="60"/>
      <c r="GC67" s="60"/>
      <c r="GD67" s="60"/>
      <c r="GE67" s="60"/>
      <c r="GF67" s="60"/>
      <c r="GG67" s="60"/>
      <c r="GH67" s="60"/>
      <c r="GI67" s="60"/>
      <c r="GJ67" s="60"/>
      <c r="GK67" s="60"/>
      <c r="GL67" s="60"/>
      <c r="GM67" s="60"/>
      <c r="GN67" s="60"/>
      <c r="GO67" s="60"/>
      <c r="GP67" s="60"/>
      <c r="GQ67" s="60"/>
      <c r="GR67" s="60"/>
      <c r="GS67" s="60"/>
      <c r="GT67" s="60"/>
      <c r="GU67" s="60"/>
      <c r="GV67" s="60"/>
      <c r="GW67" s="60"/>
      <c r="GX67" s="60"/>
      <c r="GY67" s="60"/>
      <c r="GZ67" s="60"/>
      <c r="HA67" s="60"/>
      <c r="HB67" s="60"/>
      <c r="HC67" s="60"/>
      <c r="HD67" s="60"/>
      <c r="HE67" s="60"/>
      <c r="HF67" s="60"/>
      <c r="HG67" s="60"/>
      <c r="HH67" s="60"/>
      <c r="HI67" s="60"/>
      <c r="HJ67" s="60"/>
      <c r="HK67" s="60"/>
      <c r="HL67" s="60"/>
    </row>
    <row r="68" spans="1:220" s="61" customFormat="1" ht="16.5" customHeight="1" x14ac:dyDescent="0.15">
      <c r="A68" s="99"/>
      <c r="B68" s="91" t="s">
        <v>148</v>
      </c>
      <c r="C68" s="100" t="s">
        <v>129</v>
      </c>
      <c r="D68" s="51" t="s">
        <v>135</v>
      </c>
      <c r="E68" s="53"/>
      <c r="F68" s="53"/>
      <c r="G68" s="88" t="s">
        <v>477</v>
      </c>
      <c r="H68" s="54"/>
      <c r="I68" s="54"/>
      <c r="J68" s="53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0"/>
      <c r="CS68" s="60"/>
      <c r="CT68" s="60"/>
      <c r="CU68" s="60"/>
      <c r="CV68" s="60"/>
      <c r="CW68" s="60"/>
      <c r="CX68" s="60"/>
      <c r="CY68" s="60"/>
      <c r="CZ68" s="60"/>
      <c r="DA68" s="60"/>
      <c r="DB68" s="60"/>
      <c r="DC68" s="60"/>
      <c r="DD68" s="60"/>
      <c r="DE68" s="60"/>
      <c r="DF68" s="60"/>
      <c r="DG68" s="60"/>
      <c r="DH68" s="60"/>
      <c r="DI68" s="60"/>
      <c r="DJ68" s="60"/>
      <c r="DK68" s="60"/>
      <c r="DL68" s="60"/>
      <c r="DM68" s="60"/>
      <c r="DN68" s="60"/>
      <c r="DO68" s="60"/>
      <c r="DP68" s="60"/>
      <c r="DQ68" s="60"/>
      <c r="DR68" s="60"/>
      <c r="DS68" s="60"/>
      <c r="DT68" s="60"/>
      <c r="DU68" s="60"/>
      <c r="DV68" s="60"/>
      <c r="DW68" s="60"/>
      <c r="DX68" s="60"/>
      <c r="DY68" s="60"/>
      <c r="DZ68" s="60"/>
      <c r="EA68" s="60"/>
      <c r="EB68" s="60"/>
      <c r="EC68" s="60"/>
      <c r="ED68" s="60"/>
      <c r="EE68" s="60"/>
      <c r="EF68" s="60"/>
      <c r="EG68" s="60"/>
      <c r="EH68" s="60"/>
      <c r="EI68" s="60"/>
      <c r="EJ68" s="60"/>
      <c r="EK68" s="60"/>
      <c r="EL68" s="60"/>
      <c r="EM68" s="60"/>
      <c r="EN68" s="60"/>
      <c r="EO68" s="60"/>
      <c r="EP68" s="60"/>
      <c r="EQ68" s="60"/>
      <c r="ER68" s="60"/>
      <c r="ES68" s="60"/>
      <c r="ET68" s="60"/>
      <c r="EU68" s="60"/>
      <c r="EV68" s="60"/>
      <c r="EW68" s="60"/>
      <c r="EX68" s="60"/>
      <c r="EY68" s="60"/>
      <c r="EZ68" s="60"/>
      <c r="FA68" s="60"/>
      <c r="FB68" s="60"/>
      <c r="FC68" s="60"/>
      <c r="FD68" s="60"/>
      <c r="FE68" s="60"/>
      <c r="FF68" s="60"/>
      <c r="FG68" s="60"/>
      <c r="FH68" s="60"/>
      <c r="FI68" s="60"/>
      <c r="FJ68" s="60"/>
      <c r="FK68" s="60"/>
      <c r="FL68" s="60"/>
      <c r="FM68" s="60"/>
      <c r="FN68" s="60"/>
      <c r="FO68" s="60"/>
      <c r="FP68" s="60"/>
      <c r="FQ68" s="60"/>
      <c r="FR68" s="60"/>
      <c r="FS68" s="60"/>
      <c r="FT68" s="60"/>
      <c r="FU68" s="60"/>
      <c r="FV68" s="60"/>
      <c r="FW68" s="60"/>
      <c r="FX68" s="60"/>
      <c r="FY68" s="60"/>
      <c r="FZ68" s="60"/>
      <c r="GA68" s="60"/>
      <c r="GB68" s="60"/>
      <c r="GC68" s="60"/>
      <c r="GD68" s="60"/>
      <c r="GE68" s="60"/>
      <c r="GF68" s="60"/>
      <c r="GG68" s="60"/>
      <c r="GH68" s="60"/>
      <c r="GI68" s="60"/>
      <c r="GJ68" s="60"/>
      <c r="GK68" s="60"/>
      <c r="GL68" s="60"/>
      <c r="GM68" s="60"/>
      <c r="GN68" s="60"/>
      <c r="GO68" s="60"/>
      <c r="GP68" s="60"/>
      <c r="GQ68" s="60"/>
      <c r="GR68" s="60"/>
      <c r="GS68" s="60"/>
      <c r="GT68" s="60"/>
      <c r="GU68" s="60"/>
      <c r="GV68" s="60"/>
      <c r="GW68" s="60"/>
      <c r="GX68" s="60"/>
      <c r="GY68" s="60"/>
      <c r="GZ68" s="60"/>
      <c r="HA68" s="60"/>
      <c r="HB68" s="60"/>
      <c r="HC68" s="60"/>
      <c r="HD68" s="60"/>
      <c r="HE68" s="60"/>
      <c r="HF68" s="60"/>
      <c r="HG68" s="60"/>
      <c r="HH68" s="60"/>
      <c r="HI68" s="60"/>
      <c r="HJ68" s="60"/>
      <c r="HK68" s="60"/>
      <c r="HL68" s="60"/>
    </row>
    <row r="69" spans="1:220" s="61" customFormat="1" ht="16.5" customHeight="1" x14ac:dyDescent="0.15">
      <c r="A69" s="99"/>
      <c r="B69" s="91" t="s">
        <v>152</v>
      </c>
      <c r="C69" s="101"/>
      <c r="D69" s="51" t="s">
        <v>134</v>
      </c>
      <c r="E69" s="53"/>
      <c r="F69" s="53"/>
      <c r="G69" s="88" t="s">
        <v>477</v>
      </c>
      <c r="H69" s="54"/>
      <c r="I69" s="54"/>
      <c r="J69" s="53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60"/>
      <c r="CY69" s="60"/>
      <c r="CZ69" s="60"/>
      <c r="DA69" s="60"/>
      <c r="DB69" s="60"/>
      <c r="DC69" s="60"/>
      <c r="DD69" s="60"/>
      <c r="DE69" s="60"/>
      <c r="DF69" s="60"/>
      <c r="DG69" s="60"/>
      <c r="DH69" s="60"/>
      <c r="DI69" s="60"/>
      <c r="DJ69" s="60"/>
      <c r="DK69" s="60"/>
      <c r="DL69" s="60"/>
      <c r="DM69" s="60"/>
      <c r="DN69" s="60"/>
      <c r="DO69" s="60"/>
      <c r="DP69" s="60"/>
      <c r="DQ69" s="60"/>
      <c r="DR69" s="60"/>
      <c r="DS69" s="60"/>
      <c r="DT69" s="60"/>
      <c r="DU69" s="60"/>
      <c r="DV69" s="60"/>
      <c r="DW69" s="60"/>
      <c r="DX69" s="60"/>
      <c r="DY69" s="60"/>
      <c r="DZ69" s="60"/>
      <c r="EA69" s="60"/>
      <c r="EB69" s="60"/>
      <c r="EC69" s="60"/>
      <c r="ED69" s="60"/>
      <c r="EE69" s="60"/>
      <c r="EF69" s="60"/>
      <c r="EG69" s="60"/>
      <c r="EH69" s="60"/>
      <c r="EI69" s="60"/>
      <c r="EJ69" s="60"/>
      <c r="EK69" s="60"/>
      <c r="EL69" s="60"/>
      <c r="EM69" s="60"/>
      <c r="EN69" s="60"/>
      <c r="EO69" s="60"/>
      <c r="EP69" s="60"/>
      <c r="EQ69" s="60"/>
      <c r="ER69" s="60"/>
      <c r="ES69" s="60"/>
      <c r="ET69" s="60"/>
      <c r="EU69" s="60"/>
      <c r="EV69" s="60"/>
      <c r="EW69" s="60"/>
      <c r="EX69" s="60"/>
      <c r="EY69" s="60"/>
      <c r="EZ69" s="60"/>
      <c r="FA69" s="60"/>
      <c r="FB69" s="60"/>
      <c r="FC69" s="60"/>
      <c r="FD69" s="60"/>
      <c r="FE69" s="60"/>
      <c r="FF69" s="60"/>
      <c r="FG69" s="60"/>
      <c r="FH69" s="60"/>
      <c r="FI69" s="60"/>
      <c r="FJ69" s="60"/>
      <c r="FK69" s="60"/>
      <c r="FL69" s="60"/>
      <c r="FM69" s="60"/>
      <c r="FN69" s="60"/>
      <c r="FO69" s="60"/>
      <c r="FP69" s="60"/>
      <c r="FQ69" s="60"/>
      <c r="FR69" s="60"/>
      <c r="FS69" s="60"/>
      <c r="FT69" s="60"/>
      <c r="FU69" s="60"/>
      <c r="FV69" s="60"/>
      <c r="FW69" s="60"/>
      <c r="FX69" s="60"/>
      <c r="FY69" s="60"/>
      <c r="FZ69" s="60"/>
      <c r="GA69" s="60"/>
      <c r="GB69" s="60"/>
      <c r="GC69" s="60"/>
      <c r="GD69" s="60"/>
      <c r="GE69" s="60"/>
      <c r="GF69" s="60"/>
      <c r="GG69" s="60"/>
      <c r="GH69" s="60"/>
      <c r="GI69" s="60"/>
      <c r="GJ69" s="60"/>
      <c r="GK69" s="60"/>
      <c r="GL69" s="60"/>
      <c r="GM69" s="60"/>
      <c r="GN69" s="60"/>
      <c r="GO69" s="60"/>
      <c r="GP69" s="60"/>
      <c r="GQ69" s="60"/>
      <c r="GR69" s="60"/>
      <c r="GS69" s="60"/>
      <c r="GT69" s="60"/>
      <c r="GU69" s="60"/>
      <c r="GV69" s="60"/>
      <c r="GW69" s="60"/>
      <c r="GX69" s="60"/>
      <c r="GY69" s="60"/>
      <c r="GZ69" s="60"/>
      <c r="HA69" s="60"/>
      <c r="HB69" s="60"/>
      <c r="HC69" s="60"/>
      <c r="HD69" s="60"/>
      <c r="HE69" s="60"/>
      <c r="HF69" s="60"/>
      <c r="HG69" s="60"/>
      <c r="HH69" s="60"/>
      <c r="HI69" s="60"/>
      <c r="HJ69" s="60"/>
      <c r="HK69" s="60"/>
      <c r="HL69" s="60"/>
    </row>
    <row r="70" spans="1:220" s="61" customFormat="1" ht="16.5" customHeight="1" x14ac:dyDescent="0.15">
      <c r="A70" s="99"/>
      <c r="B70" s="91" t="s">
        <v>153</v>
      </c>
      <c r="C70" s="101"/>
      <c r="D70" s="51" t="s">
        <v>133</v>
      </c>
      <c r="E70" s="53"/>
      <c r="F70" s="53"/>
      <c r="G70" s="88" t="s">
        <v>477</v>
      </c>
      <c r="H70" s="54"/>
      <c r="I70" s="54"/>
      <c r="J70" s="5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60"/>
      <c r="CV70" s="60"/>
      <c r="CW70" s="60"/>
      <c r="CX70" s="60"/>
      <c r="CY70" s="60"/>
      <c r="CZ70" s="60"/>
      <c r="DA70" s="60"/>
      <c r="DB70" s="60"/>
      <c r="DC70" s="60"/>
      <c r="DD70" s="60"/>
      <c r="DE70" s="60"/>
      <c r="DF70" s="60"/>
      <c r="DG70" s="60"/>
      <c r="DH70" s="60"/>
      <c r="DI70" s="60"/>
      <c r="DJ70" s="60"/>
      <c r="DK70" s="60"/>
      <c r="DL70" s="60"/>
      <c r="DM70" s="60"/>
      <c r="DN70" s="60"/>
      <c r="DO70" s="60"/>
      <c r="DP70" s="60"/>
      <c r="DQ70" s="60"/>
      <c r="DR70" s="60"/>
      <c r="DS70" s="60"/>
      <c r="DT70" s="60"/>
      <c r="DU70" s="60"/>
      <c r="DV70" s="60"/>
      <c r="DW70" s="60"/>
      <c r="DX70" s="60"/>
      <c r="DY70" s="60"/>
      <c r="DZ70" s="60"/>
      <c r="EA70" s="60"/>
      <c r="EB70" s="60"/>
      <c r="EC70" s="60"/>
      <c r="ED70" s="60"/>
      <c r="EE70" s="60"/>
      <c r="EF70" s="60"/>
      <c r="EG70" s="60"/>
      <c r="EH70" s="60"/>
      <c r="EI70" s="60"/>
      <c r="EJ70" s="60"/>
      <c r="EK70" s="60"/>
      <c r="EL70" s="60"/>
      <c r="EM70" s="60"/>
      <c r="EN70" s="60"/>
      <c r="EO70" s="60"/>
      <c r="EP70" s="60"/>
      <c r="EQ70" s="60"/>
      <c r="ER70" s="60"/>
      <c r="ES70" s="60"/>
      <c r="ET70" s="60"/>
      <c r="EU70" s="60"/>
      <c r="EV70" s="60"/>
      <c r="EW70" s="60"/>
      <c r="EX70" s="60"/>
      <c r="EY70" s="60"/>
      <c r="EZ70" s="60"/>
      <c r="FA70" s="60"/>
      <c r="FB70" s="60"/>
      <c r="FC70" s="60"/>
      <c r="FD70" s="60"/>
      <c r="FE70" s="60"/>
      <c r="FF70" s="60"/>
      <c r="FG70" s="60"/>
      <c r="FH70" s="60"/>
      <c r="FI70" s="60"/>
      <c r="FJ70" s="60"/>
      <c r="FK70" s="60"/>
      <c r="FL70" s="60"/>
      <c r="FM70" s="60"/>
      <c r="FN70" s="60"/>
      <c r="FO70" s="60"/>
      <c r="FP70" s="60"/>
      <c r="FQ70" s="60"/>
      <c r="FR70" s="60"/>
      <c r="FS70" s="60"/>
      <c r="FT70" s="60"/>
      <c r="FU70" s="60"/>
      <c r="FV70" s="60"/>
      <c r="FW70" s="60"/>
      <c r="FX70" s="60"/>
      <c r="FY70" s="60"/>
      <c r="FZ70" s="60"/>
      <c r="GA70" s="60"/>
      <c r="GB70" s="60"/>
      <c r="GC70" s="60"/>
      <c r="GD70" s="60"/>
      <c r="GE70" s="60"/>
      <c r="GF70" s="60"/>
      <c r="GG70" s="60"/>
      <c r="GH70" s="60"/>
      <c r="GI70" s="60"/>
      <c r="GJ70" s="60"/>
      <c r="GK70" s="60"/>
      <c r="GL70" s="60"/>
      <c r="GM70" s="60"/>
      <c r="GN70" s="60"/>
      <c r="GO70" s="60"/>
      <c r="GP70" s="60"/>
      <c r="GQ70" s="60"/>
      <c r="GR70" s="60"/>
      <c r="GS70" s="60"/>
      <c r="GT70" s="60"/>
      <c r="GU70" s="60"/>
      <c r="GV70" s="60"/>
      <c r="GW70" s="60"/>
      <c r="GX70" s="60"/>
      <c r="GY70" s="60"/>
      <c r="GZ70" s="60"/>
      <c r="HA70" s="60"/>
      <c r="HB70" s="60"/>
      <c r="HC70" s="60"/>
      <c r="HD70" s="60"/>
      <c r="HE70" s="60"/>
      <c r="HF70" s="60"/>
      <c r="HG70" s="60"/>
      <c r="HH70" s="60"/>
      <c r="HI70" s="60"/>
      <c r="HJ70" s="60"/>
      <c r="HK70" s="60"/>
      <c r="HL70" s="60"/>
    </row>
    <row r="71" spans="1:220" s="61" customFormat="1" ht="16.5" customHeight="1" x14ac:dyDescent="0.15">
      <c r="A71" s="99"/>
      <c r="B71" s="91" t="s">
        <v>154</v>
      </c>
      <c r="C71" s="101"/>
      <c r="D71" s="51" t="s">
        <v>132</v>
      </c>
      <c r="E71" s="53"/>
      <c r="F71" s="53"/>
      <c r="G71" s="88" t="s">
        <v>477</v>
      </c>
      <c r="H71" s="54"/>
      <c r="I71" s="54"/>
      <c r="J71" s="53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0"/>
      <c r="DY71" s="60"/>
      <c r="DZ71" s="60"/>
      <c r="EA71" s="60"/>
      <c r="EB71" s="60"/>
      <c r="EC71" s="60"/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0"/>
      <c r="EO71" s="60"/>
      <c r="EP71" s="60"/>
      <c r="EQ71" s="60"/>
      <c r="ER71" s="60"/>
      <c r="ES71" s="60"/>
      <c r="ET71" s="60"/>
      <c r="EU71" s="60"/>
      <c r="EV71" s="60"/>
      <c r="EW71" s="60"/>
      <c r="EX71" s="60"/>
      <c r="EY71" s="60"/>
      <c r="EZ71" s="60"/>
      <c r="FA71" s="60"/>
      <c r="FB71" s="60"/>
      <c r="FC71" s="60"/>
      <c r="FD71" s="60"/>
      <c r="FE71" s="60"/>
      <c r="FF71" s="60"/>
      <c r="FG71" s="60"/>
      <c r="FH71" s="60"/>
      <c r="FI71" s="60"/>
      <c r="FJ71" s="60"/>
      <c r="FK71" s="60"/>
      <c r="FL71" s="60"/>
      <c r="FM71" s="60"/>
      <c r="FN71" s="60"/>
      <c r="FO71" s="60"/>
      <c r="FP71" s="60"/>
      <c r="FQ71" s="60"/>
      <c r="FR71" s="60"/>
      <c r="FS71" s="60"/>
      <c r="FT71" s="60"/>
      <c r="FU71" s="60"/>
      <c r="FV71" s="60"/>
      <c r="FW71" s="60"/>
      <c r="FX71" s="60"/>
      <c r="FY71" s="60"/>
      <c r="FZ71" s="60"/>
      <c r="GA71" s="60"/>
      <c r="GB71" s="60"/>
      <c r="GC71" s="60"/>
      <c r="GD71" s="60"/>
      <c r="GE71" s="60"/>
      <c r="GF71" s="60"/>
      <c r="GG71" s="60"/>
      <c r="GH71" s="60"/>
      <c r="GI71" s="60"/>
      <c r="GJ71" s="60"/>
      <c r="GK71" s="60"/>
      <c r="GL71" s="60"/>
      <c r="GM71" s="60"/>
      <c r="GN71" s="60"/>
      <c r="GO71" s="60"/>
      <c r="GP71" s="60"/>
      <c r="GQ71" s="60"/>
      <c r="GR71" s="60"/>
      <c r="GS71" s="60"/>
      <c r="GT71" s="60"/>
      <c r="GU71" s="60"/>
      <c r="GV71" s="60"/>
      <c r="GW71" s="60"/>
      <c r="GX71" s="60"/>
      <c r="GY71" s="60"/>
      <c r="GZ71" s="60"/>
      <c r="HA71" s="60"/>
      <c r="HB71" s="60"/>
      <c r="HC71" s="60"/>
      <c r="HD71" s="60"/>
      <c r="HE71" s="60"/>
      <c r="HF71" s="60"/>
      <c r="HG71" s="60"/>
      <c r="HH71" s="60"/>
      <c r="HI71" s="60"/>
      <c r="HJ71" s="60"/>
      <c r="HK71" s="60"/>
      <c r="HL71" s="60"/>
    </row>
    <row r="72" spans="1:220" s="57" customFormat="1" ht="16.5" customHeight="1" x14ac:dyDescent="0.15">
      <c r="A72" s="99"/>
      <c r="B72" s="91" t="s">
        <v>174</v>
      </c>
      <c r="C72" s="103"/>
      <c r="D72" s="51" t="s">
        <v>131</v>
      </c>
      <c r="E72" s="53"/>
      <c r="F72" s="53"/>
      <c r="G72" s="88" t="s">
        <v>477</v>
      </c>
      <c r="H72" s="54"/>
      <c r="I72" s="54"/>
      <c r="J72" s="59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56"/>
      <c r="CU72" s="56"/>
      <c r="CV72" s="56"/>
      <c r="CW72" s="56"/>
      <c r="CX72" s="56"/>
      <c r="CY72" s="56"/>
      <c r="CZ72" s="56"/>
      <c r="DA72" s="56"/>
      <c r="DB72" s="56"/>
      <c r="DC72" s="56"/>
      <c r="DD72" s="56"/>
      <c r="DE72" s="56"/>
      <c r="DF72" s="56"/>
      <c r="DG72" s="56"/>
      <c r="DH72" s="56"/>
      <c r="DI72" s="56"/>
      <c r="DJ72" s="56"/>
      <c r="DK72" s="56"/>
      <c r="DL72" s="56"/>
      <c r="DM72" s="56"/>
      <c r="DN72" s="56"/>
      <c r="DO72" s="56"/>
      <c r="DP72" s="56"/>
      <c r="DQ72" s="56"/>
      <c r="DR72" s="56"/>
      <c r="DS72" s="56"/>
      <c r="DT72" s="56"/>
      <c r="DU72" s="56"/>
      <c r="DV72" s="56"/>
      <c r="DW72" s="56"/>
      <c r="DX72" s="56"/>
      <c r="DY72" s="56"/>
      <c r="DZ72" s="56"/>
      <c r="EA72" s="56"/>
      <c r="EB72" s="56"/>
      <c r="EC72" s="56"/>
      <c r="ED72" s="56"/>
      <c r="EE72" s="56"/>
      <c r="EF72" s="56"/>
      <c r="EG72" s="56"/>
      <c r="EH72" s="56"/>
      <c r="EI72" s="56"/>
      <c r="EJ72" s="56"/>
      <c r="EK72" s="56"/>
      <c r="EL72" s="56"/>
      <c r="EM72" s="56"/>
      <c r="EN72" s="56"/>
      <c r="EO72" s="56"/>
      <c r="EP72" s="56"/>
      <c r="EQ72" s="56"/>
      <c r="ER72" s="56"/>
      <c r="ES72" s="56"/>
      <c r="ET72" s="56"/>
      <c r="EU72" s="56"/>
      <c r="EV72" s="56"/>
      <c r="EW72" s="56"/>
      <c r="EX72" s="56"/>
      <c r="EY72" s="56"/>
      <c r="EZ72" s="56"/>
      <c r="FA72" s="56"/>
      <c r="FB72" s="56"/>
      <c r="FC72" s="56"/>
      <c r="FD72" s="56"/>
      <c r="FE72" s="56"/>
      <c r="FF72" s="56"/>
      <c r="FG72" s="56"/>
      <c r="FH72" s="56"/>
      <c r="FI72" s="56"/>
      <c r="FJ72" s="56"/>
      <c r="FK72" s="56"/>
      <c r="FL72" s="56"/>
      <c r="FM72" s="56"/>
      <c r="FN72" s="56"/>
      <c r="FO72" s="56"/>
      <c r="FP72" s="56"/>
      <c r="FQ72" s="56"/>
      <c r="FR72" s="56"/>
      <c r="FS72" s="56"/>
      <c r="FT72" s="56"/>
      <c r="FU72" s="56"/>
      <c r="FV72" s="56"/>
      <c r="FW72" s="56"/>
      <c r="FX72" s="56"/>
      <c r="FY72" s="56"/>
      <c r="FZ72" s="56"/>
      <c r="GA72" s="56"/>
      <c r="GB72" s="56"/>
      <c r="GC72" s="56"/>
      <c r="GD72" s="56"/>
      <c r="GE72" s="56"/>
      <c r="GF72" s="56"/>
      <c r="GG72" s="56"/>
      <c r="GH72" s="56"/>
      <c r="GI72" s="56"/>
      <c r="GJ72" s="56"/>
      <c r="GK72" s="56"/>
      <c r="GL72" s="56"/>
      <c r="GM72" s="56"/>
      <c r="GN72" s="56"/>
      <c r="GO72" s="56"/>
      <c r="GP72" s="56"/>
      <c r="GQ72" s="56"/>
      <c r="GR72" s="56"/>
      <c r="GS72" s="56"/>
      <c r="GT72" s="56"/>
      <c r="GU72" s="56"/>
      <c r="GV72" s="56"/>
      <c r="GW72" s="56"/>
      <c r="GX72" s="56"/>
      <c r="GY72" s="56"/>
      <c r="GZ72" s="56"/>
      <c r="HA72" s="56"/>
      <c r="HB72" s="56"/>
      <c r="HC72" s="56"/>
      <c r="HD72" s="56"/>
      <c r="HE72" s="56"/>
      <c r="HF72" s="56"/>
      <c r="HG72" s="56"/>
      <c r="HH72" s="56"/>
      <c r="HI72" s="56"/>
      <c r="HJ72" s="56"/>
      <c r="HK72" s="56"/>
      <c r="HL72" s="56"/>
    </row>
    <row r="73" spans="1:220" s="61" customFormat="1" ht="16.5" customHeight="1" x14ac:dyDescent="0.15">
      <c r="A73" s="99"/>
      <c r="B73" s="91" t="s">
        <v>155</v>
      </c>
      <c r="C73" s="100" t="s">
        <v>138</v>
      </c>
      <c r="D73" s="51" t="s">
        <v>77</v>
      </c>
      <c r="E73" s="53"/>
      <c r="F73" s="53"/>
      <c r="G73" s="88" t="s">
        <v>477</v>
      </c>
      <c r="H73" s="54"/>
      <c r="I73" s="54"/>
      <c r="J73" s="5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0"/>
      <c r="FE73" s="60"/>
      <c r="FF73" s="60"/>
      <c r="FG73" s="60"/>
      <c r="FH73" s="60"/>
      <c r="FI73" s="60"/>
      <c r="FJ73" s="60"/>
      <c r="FK73" s="60"/>
      <c r="FL73" s="60"/>
      <c r="FM73" s="60"/>
      <c r="FN73" s="60"/>
      <c r="FO73" s="60"/>
      <c r="FP73" s="60"/>
      <c r="FQ73" s="60"/>
      <c r="FR73" s="60"/>
      <c r="FS73" s="60"/>
      <c r="FT73" s="60"/>
      <c r="FU73" s="60"/>
      <c r="FV73" s="60"/>
      <c r="FW73" s="60"/>
      <c r="FX73" s="60"/>
      <c r="FY73" s="60"/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0"/>
      <c r="GK73" s="60"/>
      <c r="GL73" s="60"/>
      <c r="GM73" s="60"/>
      <c r="GN73" s="60"/>
      <c r="GO73" s="60"/>
      <c r="GP73" s="60"/>
      <c r="GQ73" s="60"/>
      <c r="GR73" s="60"/>
      <c r="GS73" s="60"/>
      <c r="GT73" s="60"/>
      <c r="GU73" s="60"/>
      <c r="GV73" s="60"/>
      <c r="GW73" s="60"/>
      <c r="GX73" s="60"/>
      <c r="GY73" s="60"/>
      <c r="GZ73" s="60"/>
      <c r="HA73" s="60"/>
      <c r="HB73" s="60"/>
      <c r="HC73" s="60"/>
      <c r="HD73" s="60"/>
      <c r="HE73" s="60"/>
      <c r="HF73" s="60"/>
      <c r="HG73" s="60"/>
      <c r="HH73" s="60"/>
      <c r="HI73" s="60"/>
      <c r="HJ73" s="60"/>
      <c r="HK73" s="60"/>
      <c r="HL73" s="60"/>
    </row>
    <row r="74" spans="1:220" s="61" customFormat="1" ht="16.5" customHeight="1" x14ac:dyDescent="0.15">
      <c r="A74" s="99"/>
      <c r="B74" s="91" t="s">
        <v>159</v>
      </c>
      <c r="C74" s="101"/>
      <c r="D74" s="51" t="s">
        <v>78</v>
      </c>
      <c r="E74" s="53"/>
      <c r="F74" s="53"/>
      <c r="G74" s="88" t="s">
        <v>477</v>
      </c>
      <c r="H74" s="54"/>
      <c r="I74" s="54"/>
      <c r="J74" s="53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0"/>
      <c r="DY74" s="60"/>
      <c r="DZ74" s="60"/>
      <c r="EA74" s="60"/>
      <c r="EB74" s="60"/>
      <c r="EC74" s="60"/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0"/>
      <c r="EO74" s="60"/>
      <c r="EP74" s="60"/>
      <c r="EQ74" s="60"/>
      <c r="ER74" s="60"/>
      <c r="ES74" s="60"/>
      <c r="ET74" s="60"/>
      <c r="EU74" s="60"/>
      <c r="EV74" s="60"/>
      <c r="EW74" s="60"/>
      <c r="EX74" s="60"/>
      <c r="EY74" s="60"/>
      <c r="EZ74" s="60"/>
      <c r="FA74" s="60"/>
      <c r="FB74" s="60"/>
      <c r="FC74" s="60"/>
      <c r="FD74" s="60"/>
      <c r="FE74" s="60"/>
      <c r="FF74" s="60"/>
      <c r="FG74" s="60"/>
      <c r="FH74" s="60"/>
      <c r="FI74" s="60"/>
      <c r="FJ74" s="60"/>
      <c r="FK74" s="60"/>
      <c r="FL74" s="60"/>
      <c r="FM74" s="60"/>
      <c r="FN74" s="60"/>
      <c r="FO74" s="60"/>
      <c r="FP74" s="60"/>
      <c r="FQ74" s="60"/>
      <c r="FR74" s="60"/>
      <c r="FS74" s="60"/>
      <c r="FT74" s="60"/>
      <c r="FU74" s="60"/>
      <c r="FV74" s="60"/>
      <c r="FW74" s="60"/>
      <c r="FX74" s="60"/>
      <c r="FY74" s="60"/>
      <c r="FZ74" s="60"/>
      <c r="GA74" s="60"/>
      <c r="GB74" s="60"/>
      <c r="GC74" s="60"/>
      <c r="GD74" s="60"/>
      <c r="GE74" s="60"/>
      <c r="GF74" s="60"/>
      <c r="GG74" s="60"/>
      <c r="GH74" s="60"/>
      <c r="GI74" s="60"/>
      <c r="GJ74" s="60"/>
      <c r="GK74" s="60"/>
      <c r="GL74" s="60"/>
      <c r="GM74" s="60"/>
      <c r="GN74" s="60"/>
      <c r="GO74" s="60"/>
      <c r="GP74" s="60"/>
      <c r="GQ74" s="60"/>
      <c r="GR74" s="60"/>
      <c r="GS74" s="60"/>
      <c r="GT74" s="60"/>
      <c r="GU74" s="60"/>
      <c r="GV74" s="60"/>
      <c r="GW74" s="60"/>
      <c r="GX74" s="60"/>
      <c r="GY74" s="60"/>
      <c r="GZ74" s="60"/>
      <c r="HA74" s="60"/>
      <c r="HB74" s="60"/>
      <c r="HC74" s="60"/>
      <c r="HD74" s="60"/>
      <c r="HE74" s="60"/>
      <c r="HF74" s="60"/>
      <c r="HG74" s="60"/>
      <c r="HH74" s="60"/>
      <c r="HI74" s="60"/>
      <c r="HJ74" s="60"/>
      <c r="HK74" s="60"/>
      <c r="HL74" s="60"/>
    </row>
    <row r="75" spans="1:220" s="61" customFormat="1" ht="16.5" customHeight="1" x14ac:dyDescent="0.15">
      <c r="A75" s="99"/>
      <c r="B75" s="91" t="s">
        <v>160</v>
      </c>
      <c r="C75" s="101"/>
      <c r="D75" s="51" t="s">
        <v>149</v>
      </c>
      <c r="E75" s="53"/>
      <c r="F75" s="53"/>
      <c r="G75" s="88" t="s">
        <v>477</v>
      </c>
      <c r="H75" s="54"/>
      <c r="I75" s="54"/>
      <c r="J75" s="53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0"/>
      <c r="DX75" s="60"/>
      <c r="DY75" s="60"/>
      <c r="DZ75" s="60"/>
      <c r="EA75" s="60"/>
      <c r="EB75" s="60"/>
      <c r="EC75" s="60"/>
      <c r="ED75" s="60"/>
      <c r="EE75" s="60"/>
      <c r="EF75" s="60"/>
      <c r="EG75" s="60"/>
      <c r="EH75" s="60"/>
      <c r="EI75" s="60"/>
      <c r="EJ75" s="60"/>
      <c r="EK75" s="60"/>
      <c r="EL75" s="60"/>
      <c r="EM75" s="60"/>
      <c r="EN75" s="60"/>
      <c r="EO75" s="60"/>
      <c r="EP75" s="60"/>
      <c r="EQ75" s="60"/>
      <c r="ER75" s="60"/>
      <c r="ES75" s="60"/>
      <c r="ET75" s="60"/>
      <c r="EU75" s="60"/>
      <c r="EV75" s="60"/>
      <c r="EW75" s="60"/>
      <c r="EX75" s="60"/>
      <c r="EY75" s="60"/>
      <c r="EZ75" s="60"/>
      <c r="FA75" s="60"/>
      <c r="FB75" s="60"/>
      <c r="FC75" s="60"/>
      <c r="FD75" s="60"/>
      <c r="FE75" s="60"/>
      <c r="FF75" s="60"/>
      <c r="FG75" s="60"/>
      <c r="FH75" s="60"/>
      <c r="FI75" s="60"/>
      <c r="FJ75" s="60"/>
      <c r="FK75" s="60"/>
      <c r="FL75" s="60"/>
      <c r="FM75" s="60"/>
      <c r="FN75" s="60"/>
      <c r="FO75" s="60"/>
      <c r="FP75" s="60"/>
      <c r="FQ75" s="60"/>
      <c r="FR75" s="60"/>
      <c r="FS75" s="60"/>
      <c r="FT75" s="60"/>
      <c r="FU75" s="60"/>
      <c r="FV75" s="60"/>
      <c r="FW75" s="60"/>
      <c r="FX75" s="60"/>
      <c r="FY75" s="60"/>
      <c r="FZ75" s="60"/>
      <c r="GA75" s="60"/>
      <c r="GB75" s="60"/>
      <c r="GC75" s="60"/>
      <c r="GD75" s="60"/>
      <c r="GE75" s="60"/>
      <c r="GF75" s="60"/>
      <c r="GG75" s="60"/>
      <c r="GH75" s="60"/>
      <c r="GI75" s="60"/>
      <c r="GJ75" s="60"/>
      <c r="GK75" s="60"/>
      <c r="GL75" s="60"/>
      <c r="GM75" s="60"/>
      <c r="GN75" s="60"/>
      <c r="GO75" s="60"/>
      <c r="GP75" s="60"/>
      <c r="GQ75" s="60"/>
      <c r="GR75" s="60"/>
      <c r="GS75" s="60"/>
      <c r="GT75" s="60"/>
      <c r="GU75" s="60"/>
      <c r="GV75" s="60"/>
      <c r="GW75" s="60"/>
      <c r="GX75" s="60"/>
      <c r="GY75" s="60"/>
      <c r="GZ75" s="60"/>
      <c r="HA75" s="60"/>
      <c r="HB75" s="60"/>
      <c r="HC75" s="60"/>
      <c r="HD75" s="60"/>
      <c r="HE75" s="60"/>
      <c r="HF75" s="60"/>
      <c r="HG75" s="60"/>
      <c r="HH75" s="60"/>
      <c r="HI75" s="60"/>
      <c r="HJ75" s="60"/>
      <c r="HK75" s="60"/>
      <c r="HL75" s="60"/>
    </row>
    <row r="76" spans="1:220" s="61" customFormat="1" ht="16.5" customHeight="1" x14ac:dyDescent="0.15">
      <c r="A76" s="99"/>
      <c r="B76" s="91" t="s">
        <v>161</v>
      </c>
      <c r="C76" s="101"/>
      <c r="D76" s="51" t="s">
        <v>150</v>
      </c>
      <c r="E76" s="53"/>
      <c r="F76" s="53"/>
      <c r="G76" s="88" t="s">
        <v>477</v>
      </c>
      <c r="H76" s="54"/>
      <c r="I76" s="54"/>
      <c r="J76" s="5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0"/>
      <c r="EW76" s="60"/>
      <c r="EX76" s="60"/>
      <c r="EY76" s="60"/>
      <c r="EZ76" s="60"/>
      <c r="FA76" s="60"/>
      <c r="FB76" s="60"/>
      <c r="FC76" s="60"/>
      <c r="FD76" s="60"/>
      <c r="FE76" s="60"/>
      <c r="FF76" s="60"/>
      <c r="FG76" s="60"/>
      <c r="FH76" s="60"/>
      <c r="FI76" s="60"/>
      <c r="FJ76" s="60"/>
      <c r="FK76" s="60"/>
      <c r="FL76" s="60"/>
      <c r="FM76" s="60"/>
      <c r="FN76" s="60"/>
      <c r="FO76" s="60"/>
      <c r="FP76" s="60"/>
      <c r="FQ76" s="60"/>
      <c r="FR76" s="60"/>
      <c r="FS76" s="60"/>
      <c r="FT76" s="60"/>
      <c r="FU76" s="60"/>
      <c r="FV76" s="60"/>
      <c r="FW76" s="60"/>
      <c r="FX76" s="60"/>
      <c r="FY76" s="60"/>
      <c r="FZ76" s="60"/>
      <c r="GA76" s="60"/>
      <c r="GB76" s="60"/>
      <c r="GC76" s="60"/>
      <c r="GD76" s="60"/>
      <c r="GE76" s="60"/>
      <c r="GF76" s="60"/>
      <c r="GG76" s="60"/>
      <c r="GH76" s="60"/>
      <c r="GI76" s="60"/>
      <c r="GJ76" s="60"/>
      <c r="GK76" s="60"/>
      <c r="GL76" s="60"/>
      <c r="GM76" s="60"/>
      <c r="GN76" s="60"/>
      <c r="GO76" s="60"/>
      <c r="GP76" s="60"/>
      <c r="GQ76" s="60"/>
      <c r="GR76" s="60"/>
      <c r="GS76" s="60"/>
      <c r="GT76" s="60"/>
      <c r="GU76" s="60"/>
      <c r="GV76" s="60"/>
      <c r="GW76" s="60"/>
      <c r="GX76" s="60"/>
      <c r="GY76" s="60"/>
      <c r="GZ76" s="60"/>
      <c r="HA76" s="60"/>
      <c r="HB76" s="60"/>
      <c r="HC76" s="60"/>
      <c r="HD76" s="60"/>
      <c r="HE76" s="60"/>
      <c r="HF76" s="60"/>
      <c r="HG76" s="60"/>
      <c r="HH76" s="60"/>
      <c r="HI76" s="60"/>
      <c r="HJ76" s="60"/>
      <c r="HK76" s="60"/>
      <c r="HL76" s="60"/>
    </row>
    <row r="77" spans="1:220" s="61" customFormat="1" ht="16.5" customHeight="1" x14ac:dyDescent="0.15">
      <c r="A77" s="99"/>
      <c r="B77" s="91" t="s">
        <v>165</v>
      </c>
      <c r="C77" s="101"/>
      <c r="D77" s="51" t="s">
        <v>81</v>
      </c>
      <c r="E77" s="53"/>
      <c r="F77" s="53"/>
      <c r="G77" s="88" t="s">
        <v>477</v>
      </c>
      <c r="H77" s="54"/>
      <c r="I77" s="54"/>
      <c r="J77" s="53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60"/>
      <c r="EB77" s="60"/>
      <c r="EC77" s="60"/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0"/>
      <c r="EO77" s="60"/>
      <c r="EP77" s="60"/>
      <c r="EQ77" s="60"/>
      <c r="ER77" s="60"/>
      <c r="ES77" s="60"/>
      <c r="ET77" s="60"/>
      <c r="EU77" s="60"/>
      <c r="EV77" s="60"/>
      <c r="EW77" s="60"/>
      <c r="EX77" s="60"/>
      <c r="EY77" s="60"/>
      <c r="EZ77" s="60"/>
      <c r="FA77" s="60"/>
      <c r="FB77" s="60"/>
      <c r="FC77" s="60"/>
      <c r="FD77" s="60"/>
      <c r="FE77" s="60"/>
      <c r="FF77" s="60"/>
      <c r="FG77" s="60"/>
      <c r="FH77" s="60"/>
      <c r="FI77" s="60"/>
      <c r="FJ77" s="60"/>
      <c r="FK77" s="60"/>
      <c r="FL77" s="60"/>
      <c r="FM77" s="60"/>
      <c r="FN77" s="60"/>
      <c r="FO77" s="60"/>
      <c r="FP77" s="60"/>
      <c r="FQ77" s="60"/>
      <c r="FR77" s="60"/>
      <c r="FS77" s="60"/>
      <c r="FT77" s="60"/>
      <c r="FU77" s="60"/>
      <c r="FV77" s="60"/>
      <c r="FW77" s="60"/>
      <c r="FX77" s="60"/>
      <c r="FY77" s="60"/>
      <c r="FZ77" s="60"/>
      <c r="GA77" s="60"/>
      <c r="GB77" s="60"/>
      <c r="GC77" s="60"/>
      <c r="GD77" s="60"/>
      <c r="GE77" s="60"/>
      <c r="GF77" s="60"/>
      <c r="GG77" s="60"/>
      <c r="GH77" s="60"/>
      <c r="GI77" s="60"/>
      <c r="GJ77" s="60"/>
      <c r="GK77" s="60"/>
      <c r="GL77" s="60"/>
      <c r="GM77" s="60"/>
      <c r="GN77" s="60"/>
      <c r="GO77" s="60"/>
      <c r="GP77" s="60"/>
      <c r="GQ77" s="60"/>
      <c r="GR77" s="60"/>
      <c r="GS77" s="60"/>
      <c r="GT77" s="60"/>
      <c r="GU77" s="60"/>
      <c r="GV77" s="60"/>
      <c r="GW77" s="60"/>
      <c r="GX77" s="60"/>
      <c r="GY77" s="60"/>
      <c r="GZ77" s="60"/>
      <c r="HA77" s="60"/>
      <c r="HB77" s="60"/>
      <c r="HC77" s="60"/>
      <c r="HD77" s="60"/>
      <c r="HE77" s="60"/>
      <c r="HF77" s="60"/>
      <c r="HG77" s="60"/>
      <c r="HH77" s="60"/>
      <c r="HI77" s="60"/>
      <c r="HJ77" s="60"/>
      <c r="HK77" s="60"/>
      <c r="HL77" s="60"/>
    </row>
    <row r="78" spans="1:220" s="61" customFormat="1" ht="16.5" customHeight="1" x14ac:dyDescent="0.15">
      <c r="A78" s="99"/>
      <c r="B78" s="91" t="s">
        <v>166</v>
      </c>
      <c r="C78" s="101"/>
      <c r="D78" s="51" t="s">
        <v>82</v>
      </c>
      <c r="E78" s="53"/>
      <c r="F78" s="53"/>
      <c r="G78" s="88" t="s">
        <v>477</v>
      </c>
      <c r="H78" s="54"/>
      <c r="I78" s="54"/>
      <c r="J78" s="53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0"/>
      <c r="DY78" s="60"/>
      <c r="DZ78" s="60"/>
      <c r="EA78" s="60"/>
      <c r="EB78" s="60"/>
      <c r="EC78" s="60"/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0"/>
      <c r="EO78" s="60"/>
      <c r="EP78" s="60"/>
      <c r="EQ78" s="60"/>
      <c r="ER78" s="60"/>
      <c r="ES78" s="60"/>
      <c r="ET78" s="60"/>
      <c r="EU78" s="60"/>
      <c r="EV78" s="60"/>
      <c r="EW78" s="60"/>
      <c r="EX78" s="60"/>
      <c r="EY78" s="60"/>
      <c r="EZ78" s="60"/>
      <c r="FA78" s="60"/>
      <c r="FB78" s="60"/>
      <c r="FC78" s="60"/>
      <c r="FD78" s="60"/>
      <c r="FE78" s="60"/>
      <c r="FF78" s="60"/>
      <c r="FG78" s="60"/>
      <c r="FH78" s="60"/>
      <c r="FI78" s="60"/>
      <c r="FJ78" s="60"/>
      <c r="FK78" s="60"/>
      <c r="FL78" s="60"/>
      <c r="FM78" s="60"/>
      <c r="FN78" s="60"/>
      <c r="FO78" s="60"/>
      <c r="FP78" s="60"/>
      <c r="FQ78" s="60"/>
      <c r="FR78" s="60"/>
      <c r="FS78" s="60"/>
      <c r="FT78" s="60"/>
      <c r="FU78" s="60"/>
      <c r="FV78" s="60"/>
      <c r="FW78" s="60"/>
      <c r="FX78" s="60"/>
      <c r="FY78" s="60"/>
      <c r="FZ78" s="60"/>
      <c r="GA78" s="60"/>
      <c r="GB78" s="60"/>
      <c r="GC78" s="60"/>
      <c r="GD78" s="60"/>
      <c r="GE78" s="60"/>
      <c r="GF78" s="60"/>
      <c r="GG78" s="60"/>
      <c r="GH78" s="60"/>
      <c r="GI78" s="60"/>
      <c r="GJ78" s="60"/>
      <c r="GK78" s="60"/>
      <c r="GL78" s="60"/>
      <c r="GM78" s="60"/>
      <c r="GN78" s="60"/>
      <c r="GO78" s="60"/>
      <c r="GP78" s="60"/>
      <c r="GQ78" s="60"/>
      <c r="GR78" s="60"/>
      <c r="GS78" s="60"/>
      <c r="GT78" s="60"/>
      <c r="GU78" s="60"/>
      <c r="GV78" s="60"/>
      <c r="GW78" s="60"/>
      <c r="GX78" s="60"/>
      <c r="GY78" s="60"/>
      <c r="GZ78" s="60"/>
      <c r="HA78" s="60"/>
      <c r="HB78" s="60"/>
      <c r="HC78" s="60"/>
      <c r="HD78" s="60"/>
      <c r="HE78" s="60"/>
      <c r="HF78" s="60"/>
      <c r="HG78" s="60"/>
      <c r="HH78" s="60"/>
      <c r="HI78" s="60"/>
      <c r="HJ78" s="60"/>
      <c r="HK78" s="60"/>
      <c r="HL78" s="60"/>
    </row>
    <row r="79" spans="1:220" s="61" customFormat="1" ht="16.5" customHeight="1" x14ac:dyDescent="0.15">
      <c r="A79" s="99"/>
      <c r="B79" s="91" t="s">
        <v>167</v>
      </c>
      <c r="C79" s="101"/>
      <c r="D79" s="51" t="s">
        <v>83</v>
      </c>
      <c r="E79" s="53"/>
      <c r="F79" s="53"/>
      <c r="G79" s="88" t="s">
        <v>477</v>
      </c>
      <c r="H79" s="54"/>
      <c r="I79" s="54"/>
      <c r="J79" s="5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60"/>
      <c r="EX79" s="60"/>
      <c r="EY79" s="60"/>
      <c r="EZ79" s="60"/>
      <c r="FA79" s="60"/>
      <c r="FB79" s="60"/>
      <c r="FC79" s="60"/>
      <c r="FD79" s="60"/>
      <c r="FE79" s="60"/>
      <c r="FF79" s="60"/>
      <c r="FG79" s="60"/>
      <c r="FH79" s="60"/>
      <c r="FI79" s="60"/>
      <c r="FJ79" s="60"/>
      <c r="FK79" s="60"/>
      <c r="FL79" s="60"/>
      <c r="FM79" s="60"/>
      <c r="FN79" s="60"/>
      <c r="FO79" s="60"/>
      <c r="FP79" s="60"/>
      <c r="FQ79" s="60"/>
      <c r="FR79" s="60"/>
      <c r="FS79" s="60"/>
      <c r="FT79" s="60"/>
      <c r="FU79" s="60"/>
      <c r="FV79" s="60"/>
      <c r="FW79" s="60"/>
      <c r="FX79" s="60"/>
      <c r="FY79" s="60"/>
      <c r="FZ79" s="60"/>
      <c r="GA79" s="60"/>
      <c r="GB79" s="60"/>
      <c r="GC79" s="60"/>
      <c r="GD79" s="60"/>
      <c r="GE79" s="60"/>
      <c r="GF79" s="60"/>
      <c r="GG79" s="60"/>
      <c r="GH79" s="60"/>
      <c r="GI79" s="60"/>
      <c r="GJ79" s="60"/>
      <c r="GK79" s="60"/>
      <c r="GL79" s="60"/>
      <c r="GM79" s="60"/>
      <c r="GN79" s="60"/>
      <c r="GO79" s="60"/>
      <c r="GP79" s="60"/>
      <c r="GQ79" s="60"/>
      <c r="GR79" s="60"/>
      <c r="GS79" s="60"/>
      <c r="GT79" s="60"/>
      <c r="GU79" s="60"/>
      <c r="GV79" s="60"/>
      <c r="GW79" s="60"/>
      <c r="GX79" s="60"/>
      <c r="GY79" s="60"/>
      <c r="GZ79" s="60"/>
      <c r="HA79" s="60"/>
      <c r="HB79" s="60"/>
      <c r="HC79" s="60"/>
      <c r="HD79" s="60"/>
      <c r="HE79" s="60"/>
      <c r="HF79" s="60"/>
      <c r="HG79" s="60"/>
      <c r="HH79" s="60"/>
      <c r="HI79" s="60"/>
      <c r="HJ79" s="60"/>
      <c r="HK79" s="60"/>
      <c r="HL79" s="60"/>
    </row>
    <row r="80" spans="1:220" s="61" customFormat="1" ht="16.5" customHeight="1" x14ac:dyDescent="0.15">
      <c r="A80" s="99"/>
      <c r="B80" s="91" t="s">
        <v>168</v>
      </c>
      <c r="C80" s="103"/>
      <c r="D80" s="51" t="s">
        <v>151</v>
      </c>
      <c r="E80" s="53"/>
      <c r="F80" s="53"/>
      <c r="G80" s="88" t="s">
        <v>477</v>
      </c>
      <c r="H80" s="54"/>
      <c r="I80" s="54"/>
      <c r="J80" s="53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0"/>
      <c r="FE80" s="60"/>
      <c r="FF80" s="60"/>
      <c r="FG80" s="60"/>
      <c r="FH80" s="60"/>
      <c r="FI80" s="60"/>
      <c r="FJ80" s="60"/>
      <c r="FK80" s="60"/>
      <c r="FL80" s="60"/>
      <c r="FM80" s="60"/>
      <c r="FN80" s="60"/>
      <c r="FO80" s="60"/>
      <c r="FP80" s="60"/>
      <c r="FQ80" s="60"/>
      <c r="FR80" s="60"/>
      <c r="FS80" s="60"/>
      <c r="FT80" s="60"/>
      <c r="FU80" s="60"/>
      <c r="FV80" s="60"/>
      <c r="FW80" s="60"/>
      <c r="FX80" s="60"/>
      <c r="FY80" s="60"/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0"/>
      <c r="GK80" s="60"/>
      <c r="GL80" s="60"/>
      <c r="GM80" s="60"/>
      <c r="GN80" s="60"/>
      <c r="GO80" s="60"/>
      <c r="GP80" s="60"/>
      <c r="GQ80" s="60"/>
      <c r="GR80" s="60"/>
      <c r="GS80" s="60"/>
      <c r="GT80" s="60"/>
      <c r="GU80" s="60"/>
      <c r="GV80" s="60"/>
      <c r="GW80" s="60"/>
      <c r="GX80" s="60"/>
      <c r="GY80" s="60"/>
      <c r="GZ80" s="60"/>
      <c r="HA80" s="60"/>
      <c r="HB80" s="60"/>
      <c r="HC80" s="60"/>
      <c r="HD80" s="60"/>
      <c r="HE80" s="60"/>
      <c r="HF80" s="60"/>
      <c r="HG80" s="60"/>
      <c r="HH80" s="60"/>
      <c r="HI80" s="60"/>
      <c r="HJ80" s="60"/>
      <c r="HK80" s="60"/>
      <c r="HL80" s="60"/>
    </row>
    <row r="81" spans="1:220" s="61" customFormat="1" ht="16.5" customHeight="1" x14ac:dyDescent="0.15">
      <c r="A81" s="99"/>
      <c r="B81" s="91" t="s">
        <v>169</v>
      </c>
      <c r="C81" s="120" t="s">
        <v>156</v>
      </c>
      <c r="D81" s="51" t="s">
        <v>157</v>
      </c>
      <c r="E81" s="53"/>
      <c r="F81" s="53"/>
      <c r="G81" s="88" t="s">
        <v>477</v>
      </c>
      <c r="H81" s="54"/>
      <c r="I81" s="54"/>
      <c r="J81" s="53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0"/>
      <c r="DY81" s="60"/>
      <c r="DZ81" s="60"/>
      <c r="EA81" s="60"/>
      <c r="EB81" s="60"/>
      <c r="EC81" s="60"/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60"/>
      <c r="EX81" s="60"/>
      <c r="EY81" s="60"/>
      <c r="EZ81" s="60"/>
      <c r="FA81" s="60"/>
      <c r="FB81" s="60"/>
      <c r="FC81" s="60"/>
      <c r="FD81" s="60"/>
      <c r="FE81" s="60"/>
      <c r="FF81" s="60"/>
      <c r="FG81" s="60"/>
      <c r="FH81" s="60"/>
      <c r="FI81" s="60"/>
      <c r="FJ81" s="60"/>
      <c r="FK81" s="60"/>
      <c r="FL81" s="60"/>
      <c r="FM81" s="60"/>
      <c r="FN81" s="60"/>
      <c r="FO81" s="60"/>
      <c r="FP81" s="60"/>
      <c r="FQ81" s="60"/>
      <c r="FR81" s="60"/>
      <c r="FS81" s="60"/>
      <c r="FT81" s="60"/>
      <c r="FU81" s="60"/>
      <c r="FV81" s="60"/>
      <c r="FW81" s="60"/>
      <c r="FX81" s="60"/>
      <c r="FY81" s="60"/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0"/>
      <c r="GK81" s="60"/>
      <c r="GL81" s="60"/>
      <c r="GM81" s="60"/>
      <c r="GN81" s="60"/>
      <c r="GO81" s="60"/>
      <c r="GP81" s="60"/>
      <c r="GQ81" s="60"/>
      <c r="GR81" s="60"/>
      <c r="GS81" s="60"/>
      <c r="GT81" s="60"/>
      <c r="GU81" s="60"/>
      <c r="GV81" s="60"/>
      <c r="GW81" s="60"/>
      <c r="GX81" s="60"/>
      <c r="GY81" s="60"/>
      <c r="GZ81" s="60"/>
      <c r="HA81" s="60"/>
      <c r="HB81" s="60"/>
      <c r="HC81" s="60"/>
      <c r="HD81" s="60"/>
      <c r="HE81" s="60"/>
      <c r="HF81" s="60"/>
      <c r="HG81" s="60"/>
      <c r="HH81" s="60"/>
      <c r="HI81" s="60"/>
      <c r="HJ81" s="60"/>
      <c r="HK81" s="60"/>
      <c r="HL81" s="60"/>
    </row>
    <row r="82" spans="1:220" s="61" customFormat="1" ht="16.5" customHeight="1" x14ac:dyDescent="0.15">
      <c r="A82" s="99"/>
      <c r="B82" s="91" t="s">
        <v>431</v>
      </c>
      <c r="C82" s="120"/>
      <c r="D82" s="51" t="s">
        <v>158</v>
      </c>
      <c r="E82" s="53"/>
      <c r="F82" s="53"/>
      <c r="G82" s="88" t="s">
        <v>477</v>
      </c>
      <c r="H82" s="54"/>
      <c r="I82" s="54"/>
      <c r="J82" s="5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0"/>
      <c r="FE82" s="60"/>
      <c r="FF82" s="60"/>
      <c r="FG82" s="60"/>
      <c r="FH82" s="60"/>
      <c r="FI82" s="60"/>
      <c r="FJ82" s="60"/>
      <c r="FK82" s="60"/>
      <c r="FL82" s="60"/>
      <c r="FM82" s="60"/>
      <c r="FN82" s="60"/>
      <c r="FO82" s="60"/>
      <c r="FP82" s="60"/>
      <c r="FQ82" s="60"/>
      <c r="FR82" s="60"/>
      <c r="FS82" s="60"/>
      <c r="FT82" s="60"/>
      <c r="FU82" s="60"/>
      <c r="FV82" s="60"/>
      <c r="FW82" s="60"/>
      <c r="FX82" s="60"/>
      <c r="FY82" s="60"/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0"/>
      <c r="GK82" s="60"/>
      <c r="GL82" s="60"/>
      <c r="GM82" s="60"/>
      <c r="GN82" s="60"/>
      <c r="GO82" s="60"/>
      <c r="GP82" s="60"/>
      <c r="GQ82" s="60"/>
      <c r="GR82" s="60"/>
      <c r="GS82" s="60"/>
      <c r="GT82" s="60"/>
      <c r="GU82" s="60"/>
      <c r="GV82" s="60"/>
      <c r="GW82" s="60"/>
      <c r="GX82" s="60"/>
      <c r="GY82" s="60"/>
      <c r="GZ82" s="60"/>
      <c r="HA82" s="60"/>
      <c r="HB82" s="60"/>
      <c r="HC82" s="60"/>
      <c r="HD82" s="60"/>
      <c r="HE82" s="60"/>
      <c r="HF82" s="60"/>
      <c r="HG82" s="60"/>
      <c r="HH82" s="60"/>
      <c r="HI82" s="60"/>
      <c r="HJ82" s="60"/>
      <c r="HK82" s="60"/>
      <c r="HL82" s="60"/>
    </row>
    <row r="83" spans="1:220" s="61" customFormat="1" ht="16.5" customHeight="1" x14ac:dyDescent="0.15">
      <c r="A83" s="99"/>
      <c r="B83" s="91" t="s">
        <v>175</v>
      </c>
      <c r="C83" s="120"/>
      <c r="D83" s="51" t="s">
        <v>488</v>
      </c>
      <c r="E83" s="53"/>
      <c r="F83" s="53"/>
      <c r="G83" s="95" t="s">
        <v>26</v>
      </c>
      <c r="H83" s="54"/>
      <c r="I83" s="54"/>
      <c r="J83" s="53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0"/>
      <c r="FE83" s="60"/>
      <c r="FF83" s="60"/>
      <c r="FG83" s="60"/>
      <c r="FH83" s="60"/>
      <c r="FI83" s="60"/>
      <c r="FJ83" s="60"/>
      <c r="FK83" s="60"/>
      <c r="FL83" s="60"/>
      <c r="FM83" s="60"/>
      <c r="FN83" s="60"/>
      <c r="FO83" s="60"/>
      <c r="FP83" s="60"/>
      <c r="FQ83" s="60"/>
      <c r="FR83" s="60"/>
      <c r="FS83" s="60"/>
      <c r="FT83" s="60"/>
      <c r="FU83" s="60"/>
      <c r="FV83" s="60"/>
      <c r="FW83" s="60"/>
      <c r="FX83" s="60"/>
      <c r="FY83" s="60"/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0"/>
      <c r="GK83" s="60"/>
      <c r="GL83" s="60"/>
      <c r="GM83" s="60"/>
      <c r="GN83" s="60"/>
      <c r="GO83" s="60"/>
      <c r="GP83" s="60"/>
      <c r="GQ83" s="60"/>
      <c r="GR83" s="60"/>
      <c r="GS83" s="60"/>
      <c r="GT83" s="60"/>
      <c r="GU83" s="60"/>
      <c r="GV83" s="60"/>
      <c r="GW83" s="60"/>
      <c r="GX83" s="60"/>
      <c r="GY83" s="60"/>
      <c r="GZ83" s="60"/>
      <c r="HA83" s="60"/>
      <c r="HB83" s="60"/>
      <c r="HC83" s="60"/>
      <c r="HD83" s="60"/>
      <c r="HE83" s="60"/>
      <c r="HF83" s="60"/>
      <c r="HG83" s="60"/>
      <c r="HH83" s="60"/>
      <c r="HI83" s="60"/>
      <c r="HJ83" s="60"/>
      <c r="HK83" s="60"/>
      <c r="HL83" s="60"/>
    </row>
    <row r="84" spans="1:220" s="61" customFormat="1" ht="16.5" customHeight="1" x14ac:dyDescent="0.15">
      <c r="A84" s="99"/>
      <c r="B84" s="91" t="s">
        <v>176</v>
      </c>
      <c r="C84" s="120"/>
      <c r="D84" s="51" t="s">
        <v>162</v>
      </c>
      <c r="E84" s="53"/>
      <c r="F84" s="53"/>
      <c r="G84" s="88" t="s">
        <v>477</v>
      </c>
      <c r="H84" s="54"/>
      <c r="I84" s="54"/>
      <c r="J84" s="53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/>
      <c r="CZ84" s="60"/>
      <c r="DA84" s="60"/>
      <c r="DB84" s="60"/>
      <c r="DC84" s="60"/>
      <c r="DD84" s="60"/>
      <c r="DE84" s="60"/>
      <c r="DF84" s="60"/>
      <c r="DG84" s="60"/>
      <c r="DH84" s="60"/>
      <c r="DI84" s="60"/>
      <c r="DJ84" s="60"/>
      <c r="DK84" s="60"/>
      <c r="DL84" s="60"/>
      <c r="DM84" s="60"/>
      <c r="DN84" s="60"/>
      <c r="DO84" s="60"/>
      <c r="DP84" s="60"/>
      <c r="DQ84" s="60"/>
      <c r="DR84" s="60"/>
      <c r="DS84" s="60"/>
      <c r="DT84" s="60"/>
      <c r="DU84" s="60"/>
      <c r="DV84" s="60"/>
      <c r="DW84" s="60"/>
      <c r="DX84" s="60"/>
      <c r="DY84" s="60"/>
      <c r="DZ84" s="60"/>
      <c r="EA84" s="60"/>
      <c r="EB84" s="60"/>
      <c r="EC84" s="60"/>
      <c r="ED84" s="60"/>
      <c r="EE84" s="60"/>
      <c r="EF84" s="60"/>
      <c r="EG84" s="60"/>
      <c r="EH84" s="60"/>
      <c r="EI84" s="60"/>
      <c r="EJ84" s="60"/>
      <c r="EK84" s="60"/>
      <c r="EL84" s="60"/>
      <c r="EM84" s="60"/>
      <c r="EN84" s="60"/>
      <c r="EO84" s="60"/>
      <c r="EP84" s="60"/>
      <c r="EQ84" s="60"/>
      <c r="ER84" s="60"/>
      <c r="ES84" s="60"/>
      <c r="ET84" s="60"/>
      <c r="EU84" s="60"/>
      <c r="EV84" s="60"/>
      <c r="EW84" s="60"/>
      <c r="EX84" s="60"/>
      <c r="EY84" s="60"/>
      <c r="EZ84" s="60"/>
      <c r="FA84" s="60"/>
      <c r="FB84" s="60"/>
      <c r="FC84" s="60"/>
      <c r="FD84" s="60"/>
      <c r="FE84" s="60"/>
      <c r="FF84" s="60"/>
      <c r="FG84" s="60"/>
      <c r="FH84" s="60"/>
      <c r="FI84" s="60"/>
      <c r="FJ84" s="60"/>
      <c r="FK84" s="60"/>
      <c r="FL84" s="60"/>
      <c r="FM84" s="60"/>
      <c r="FN84" s="60"/>
      <c r="FO84" s="60"/>
      <c r="FP84" s="60"/>
      <c r="FQ84" s="60"/>
      <c r="FR84" s="60"/>
      <c r="FS84" s="60"/>
      <c r="FT84" s="60"/>
      <c r="FU84" s="60"/>
      <c r="FV84" s="60"/>
      <c r="FW84" s="60"/>
      <c r="FX84" s="60"/>
      <c r="FY84" s="60"/>
      <c r="FZ84" s="60"/>
      <c r="GA84" s="60"/>
      <c r="GB84" s="60"/>
      <c r="GC84" s="60"/>
      <c r="GD84" s="60"/>
      <c r="GE84" s="60"/>
      <c r="GF84" s="60"/>
      <c r="GG84" s="60"/>
      <c r="GH84" s="60"/>
      <c r="GI84" s="60"/>
      <c r="GJ84" s="60"/>
      <c r="GK84" s="60"/>
      <c r="GL84" s="60"/>
      <c r="GM84" s="60"/>
      <c r="GN84" s="60"/>
      <c r="GO84" s="60"/>
      <c r="GP84" s="60"/>
      <c r="GQ84" s="60"/>
      <c r="GR84" s="60"/>
      <c r="GS84" s="60"/>
      <c r="GT84" s="60"/>
      <c r="GU84" s="60"/>
      <c r="GV84" s="60"/>
      <c r="GW84" s="60"/>
      <c r="GX84" s="60"/>
      <c r="GY84" s="60"/>
      <c r="GZ84" s="60"/>
      <c r="HA84" s="60"/>
      <c r="HB84" s="60"/>
      <c r="HC84" s="60"/>
      <c r="HD84" s="60"/>
      <c r="HE84" s="60"/>
      <c r="HF84" s="60"/>
      <c r="HG84" s="60"/>
      <c r="HH84" s="60"/>
      <c r="HI84" s="60"/>
      <c r="HJ84" s="60"/>
      <c r="HK84" s="60"/>
      <c r="HL84" s="60"/>
    </row>
    <row r="85" spans="1:220" s="61" customFormat="1" ht="16.5" customHeight="1" x14ac:dyDescent="0.15">
      <c r="A85" s="99"/>
      <c r="B85" s="91" t="s">
        <v>187</v>
      </c>
      <c r="C85" s="120"/>
      <c r="D85" s="51" t="s">
        <v>163</v>
      </c>
      <c r="E85" s="53"/>
      <c r="F85" s="53"/>
      <c r="G85" s="88" t="s">
        <v>477</v>
      </c>
      <c r="H85" s="54"/>
      <c r="I85" s="54"/>
      <c r="J85" s="5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60"/>
      <c r="CY85" s="60"/>
      <c r="CZ85" s="60"/>
      <c r="DA85" s="60"/>
      <c r="DB85" s="60"/>
      <c r="DC85" s="60"/>
      <c r="DD85" s="60"/>
      <c r="DE85" s="60"/>
      <c r="DF85" s="60"/>
      <c r="DG85" s="60"/>
      <c r="DH85" s="60"/>
      <c r="DI85" s="60"/>
      <c r="DJ85" s="60"/>
      <c r="DK85" s="60"/>
      <c r="DL85" s="60"/>
      <c r="DM85" s="60"/>
      <c r="DN85" s="60"/>
      <c r="DO85" s="60"/>
      <c r="DP85" s="60"/>
      <c r="DQ85" s="60"/>
      <c r="DR85" s="60"/>
      <c r="DS85" s="60"/>
      <c r="DT85" s="60"/>
      <c r="DU85" s="60"/>
      <c r="DV85" s="60"/>
      <c r="DW85" s="60"/>
      <c r="DX85" s="60"/>
      <c r="DY85" s="60"/>
      <c r="DZ85" s="60"/>
      <c r="EA85" s="60"/>
      <c r="EB85" s="60"/>
      <c r="EC85" s="60"/>
      <c r="ED85" s="60"/>
      <c r="EE85" s="60"/>
      <c r="EF85" s="60"/>
      <c r="EG85" s="60"/>
      <c r="EH85" s="60"/>
      <c r="EI85" s="60"/>
      <c r="EJ85" s="60"/>
      <c r="EK85" s="60"/>
      <c r="EL85" s="60"/>
      <c r="EM85" s="60"/>
      <c r="EN85" s="60"/>
      <c r="EO85" s="60"/>
      <c r="EP85" s="60"/>
      <c r="EQ85" s="60"/>
      <c r="ER85" s="60"/>
      <c r="ES85" s="60"/>
      <c r="ET85" s="60"/>
      <c r="EU85" s="60"/>
      <c r="EV85" s="60"/>
      <c r="EW85" s="60"/>
      <c r="EX85" s="60"/>
      <c r="EY85" s="60"/>
      <c r="EZ85" s="60"/>
      <c r="FA85" s="60"/>
      <c r="FB85" s="60"/>
      <c r="FC85" s="60"/>
      <c r="FD85" s="60"/>
      <c r="FE85" s="60"/>
      <c r="FF85" s="60"/>
      <c r="FG85" s="60"/>
      <c r="FH85" s="60"/>
      <c r="FI85" s="60"/>
      <c r="FJ85" s="60"/>
      <c r="FK85" s="60"/>
      <c r="FL85" s="60"/>
      <c r="FM85" s="60"/>
      <c r="FN85" s="60"/>
      <c r="FO85" s="60"/>
      <c r="FP85" s="60"/>
      <c r="FQ85" s="60"/>
      <c r="FR85" s="60"/>
      <c r="FS85" s="60"/>
      <c r="FT85" s="60"/>
      <c r="FU85" s="60"/>
      <c r="FV85" s="60"/>
      <c r="FW85" s="60"/>
      <c r="FX85" s="60"/>
      <c r="FY85" s="60"/>
      <c r="FZ85" s="60"/>
      <c r="GA85" s="60"/>
      <c r="GB85" s="60"/>
      <c r="GC85" s="60"/>
      <c r="GD85" s="60"/>
      <c r="GE85" s="60"/>
      <c r="GF85" s="60"/>
      <c r="GG85" s="60"/>
      <c r="GH85" s="60"/>
      <c r="GI85" s="60"/>
      <c r="GJ85" s="60"/>
      <c r="GK85" s="60"/>
      <c r="GL85" s="60"/>
      <c r="GM85" s="60"/>
      <c r="GN85" s="60"/>
      <c r="GO85" s="60"/>
      <c r="GP85" s="60"/>
      <c r="GQ85" s="60"/>
      <c r="GR85" s="60"/>
      <c r="GS85" s="60"/>
      <c r="GT85" s="60"/>
      <c r="GU85" s="60"/>
      <c r="GV85" s="60"/>
      <c r="GW85" s="60"/>
      <c r="GX85" s="60"/>
      <c r="GY85" s="60"/>
      <c r="GZ85" s="60"/>
      <c r="HA85" s="60"/>
      <c r="HB85" s="60"/>
      <c r="HC85" s="60"/>
      <c r="HD85" s="60"/>
      <c r="HE85" s="60"/>
      <c r="HF85" s="60"/>
      <c r="HG85" s="60"/>
      <c r="HH85" s="60"/>
      <c r="HI85" s="60"/>
      <c r="HJ85" s="60"/>
      <c r="HK85" s="60"/>
      <c r="HL85" s="60"/>
    </row>
    <row r="86" spans="1:220" s="61" customFormat="1" ht="16.5" customHeight="1" x14ac:dyDescent="0.15">
      <c r="A86" s="99"/>
      <c r="B86" s="91" t="s">
        <v>188</v>
      </c>
      <c r="C86" s="120"/>
      <c r="D86" s="51" t="s">
        <v>164</v>
      </c>
      <c r="E86" s="53"/>
      <c r="F86" s="53"/>
      <c r="G86" s="88" t="s">
        <v>477</v>
      </c>
      <c r="H86" s="54"/>
      <c r="I86" s="54"/>
      <c r="J86" s="53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60"/>
      <c r="CV86" s="60"/>
      <c r="CW86" s="60"/>
      <c r="CX86" s="60"/>
      <c r="CY86" s="60"/>
      <c r="CZ86" s="60"/>
      <c r="DA86" s="60"/>
      <c r="DB86" s="60"/>
      <c r="DC86" s="60"/>
      <c r="DD86" s="60"/>
      <c r="DE86" s="60"/>
      <c r="DF86" s="60"/>
      <c r="DG86" s="60"/>
      <c r="DH86" s="60"/>
      <c r="DI86" s="60"/>
      <c r="DJ86" s="60"/>
      <c r="DK86" s="60"/>
      <c r="DL86" s="60"/>
      <c r="DM86" s="60"/>
      <c r="DN86" s="60"/>
      <c r="DO86" s="60"/>
      <c r="DP86" s="60"/>
      <c r="DQ86" s="60"/>
      <c r="DR86" s="60"/>
      <c r="DS86" s="60"/>
      <c r="DT86" s="60"/>
      <c r="DU86" s="60"/>
      <c r="DV86" s="60"/>
      <c r="DW86" s="60"/>
      <c r="DX86" s="60"/>
      <c r="DY86" s="60"/>
      <c r="DZ86" s="60"/>
      <c r="EA86" s="60"/>
      <c r="EB86" s="60"/>
      <c r="EC86" s="60"/>
      <c r="ED86" s="60"/>
      <c r="EE86" s="60"/>
      <c r="EF86" s="60"/>
      <c r="EG86" s="60"/>
      <c r="EH86" s="60"/>
      <c r="EI86" s="60"/>
      <c r="EJ86" s="60"/>
      <c r="EK86" s="60"/>
      <c r="EL86" s="60"/>
      <c r="EM86" s="60"/>
      <c r="EN86" s="60"/>
      <c r="EO86" s="60"/>
      <c r="EP86" s="60"/>
      <c r="EQ86" s="60"/>
      <c r="ER86" s="60"/>
      <c r="ES86" s="60"/>
      <c r="ET86" s="60"/>
      <c r="EU86" s="60"/>
      <c r="EV86" s="60"/>
      <c r="EW86" s="60"/>
      <c r="EX86" s="60"/>
      <c r="EY86" s="60"/>
      <c r="EZ86" s="60"/>
      <c r="FA86" s="60"/>
      <c r="FB86" s="60"/>
      <c r="FC86" s="60"/>
      <c r="FD86" s="60"/>
      <c r="FE86" s="60"/>
      <c r="FF86" s="60"/>
      <c r="FG86" s="60"/>
      <c r="FH86" s="60"/>
      <c r="FI86" s="60"/>
      <c r="FJ86" s="60"/>
      <c r="FK86" s="60"/>
      <c r="FL86" s="60"/>
      <c r="FM86" s="60"/>
      <c r="FN86" s="60"/>
      <c r="FO86" s="60"/>
      <c r="FP86" s="60"/>
      <c r="FQ86" s="60"/>
      <c r="FR86" s="60"/>
      <c r="FS86" s="60"/>
      <c r="FT86" s="60"/>
      <c r="FU86" s="60"/>
      <c r="FV86" s="60"/>
      <c r="FW86" s="60"/>
      <c r="FX86" s="60"/>
      <c r="FY86" s="60"/>
      <c r="FZ86" s="60"/>
      <c r="GA86" s="60"/>
      <c r="GB86" s="60"/>
      <c r="GC86" s="60"/>
      <c r="GD86" s="60"/>
      <c r="GE86" s="60"/>
      <c r="GF86" s="60"/>
      <c r="GG86" s="60"/>
      <c r="GH86" s="60"/>
      <c r="GI86" s="60"/>
      <c r="GJ86" s="60"/>
      <c r="GK86" s="60"/>
      <c r="GL86" s="60"/>
      <c r="GM86" s="60"/>
      <c r="GN86" s="60"/>
      <c r="GO86" s="60"/>
      <c r="GP86" s="60"/>
      <c r="GQ86" s="60"/>
      <c r="GR86" s="60"/>
      <c r="GS86" s="60"/>
      <c r="GT86" s="60"/>
      <c r="GU86" s="60"/>
      <c r="GV86" s="60"/>
      <c r="GW86" s="60"/>
      <c r="GX86" s="60"/>
      <c r="GY86" s="60"/>
      <c r="GZ86" s="60"/>
      <c r="HA86" s="60"/>
      <c r="HB86" s="60"/>
      <c r="HC86" s="60"/>
      <c r="HD86" s="60"/>
      <c r="HE86" s="60"/>
      <c r="HF86" s="60"/>
      <c r="HG86" s="60"/>
      <c r="HH86" s="60"/>
      <c r="HI86" s="60"/>
      <c r="HJ86" s="60"/>
      <c r="HK86" s="60"/>
      <c r="HL86" s="60"/>
    </row>
    <row r="87" spans="1:220" s="61" customFormat="1" ht="16.5" customHeight="1" x14ac:dyDescent="0.15">
      <c r="A87" s="99"/>
      <c r="B87" s="91" t="s">
        <v>189</v>
      </c>
      <c r="C87" s="100" t="s">
        <v>108</v>
      </c>
      <c r="D87" s="64" t="s">
        <v>172</v>
      </c>
      <c r="E87" s="53"/>
      <c r="F87" s="53"/>
      <c r="G87" s="88" t="s">
        <v>477</v>
      </c>
      <c r="H87" s="54"/>
      <c r="I87" s="54"/>
      <c r="J87" s="53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60"/>
      <c r="CV87" s="60"/>
      <c r="CW87" s="60"/>
      <c r="CX87" s="60"/>
      <c r="CY87" s="60"/>
      <c r="CZ87" s="60"/>
      <c r="DA87" s="60"/>
      <c r="DB87" s="60"/>
      <c r="DC87" s="60"/>
      <c r="DD87" s="60"/>
      <c r="DE87" s="60"/>
      <c r="DF87" s="60"/>
      <c r="DG87" s="60"/>
      <c r="DH87" s="60"/>
      <c r="DI87" s="60"/>
      <c r="DJ87" s="60"/>
      <c r="DK87" s="60"/>
      <c r="DL87" s="60"/>
      <c r="DM87" s="60"/>
      <c r="DN87" s="60"/>
      <c r="DO87" s="60"/>
      <c r="DP87" s="60"/>
      <c r="DQ87" s="60"/>
      <c r="DR87" s="60"/>
      <c r="DS87" s="60"/>
      <c r="DT87" s="60"/>
      <c r="DU87" s="60"/>
      <c r="DV87" s="60"/>
      <c r="DW87" s="60"/>
      <c r="DX87" s="60"/>
      <c r="DY87" s="60"/>
      <c r="DZ87" s="60"/>
      <c r="EA87" s="60"/>
      <c r="EB87" s="60"/>
      <c r="EC87" s="60"/>
      <c r="ED87" s="60"/>
      <c r="EE87" s="60"/>
      <c r="EF87" s="60"/>
      <c r="EG87" s="60"/>
      <c r="EH87" s="60"/>
      <c r="EI87" s="60"/>
      <c r="EJ87" s="60"/>
      <c r="EK87" s="60"/>
      <c r="EL87" s="60"/>
      <c r="EM87" s="60"/>
      <c r="EN87" s="60"/>
      <c r="EO87" s="60"/>
      <c r="EP87" s="60"/>
      <c r="EQ87" s="60"/>
      <c r="ER87" s="60"/>
      <c r="ES87" s="60"/>
      <c r="ET87" s="60"/>
      <c r="EU87" s="60"/>
      <c r="EV87" s="60"/>
      <c r="EW87" s="60"/>
      <c r="EX87" s="60"/>
      <c r="EY87" s="60"/>
      <c r="EZ87" s="60"/>
      <c r="FA87" s="60"/>
      <c r="FB87" s="60"/>
      <c r="FC87" s="60"/>
      <c r="FD87" s="60"/>
      <c r="FE87" s="60"/>
      <c r="FF87" s="60"/>
      <c r="FG87" s="60"/>
      <c r="FH87" s="60"/>
      <c r="FI87" s="60"/>
      <c r="FJ87" s="60"/>
      <c r="FK87" s="60"/>
      <c r="FL87" s="60"/>
      <c r="FM87" s="60"/>
      <c r="FN87" s="60"/>
      <c r="FO87" s="60"/>
      <c r="FP87" s="60"/>
      <c r="FQ87" s="60"/>
      <c r="FR87" s="60"/>
      <c r="FS87" s="60"/>
      <c r="FT87" s="60"/>
      <c r="FU87" s="60"/>
      <c r="FV87" s="60"/>
      <c r="FW87" s="60"/>
      <c r="FX87" s="60"/>
      <c r="FY87" s="60"/>
      <c r="FZ87" s="60"/>
      <c r="GA87" s="60"/>
      <c r="GB87" s="60"/>
      <c r="GC87" s="60"/>
      <c r="GD87" s="60"/>
      <c r="GE87" s="60"/>
      <c r="GF87" s="60"/>
      <c r="GG87" s="60"/>
      <c r="GH87" s="60"/>
      <c r="GI87" s="60"/>
      <c r="GJ87" s="60"/>
      <c r="GK87" s="60"/>
      <c r="GL87" s="60"/>
      <c r="GM87" s="60"/>
      <c r="GN87" s="60"/>
      <c r="GO87" s="60"/>
      <c r="GP87" s="60"/>
      <c r="GQ87" s="60"/>
      <c r="GR87" s="60"/>
      <c r="GS87" s="60"/>
      <c r="GT87" s="60"/>
      <c r="GU87" s="60"/>
      <c r="GV87" s="60"/>
      <c r="GW87" s="60"/>
      <c r="GX87" s="60"/>
      <c r="GY87" s="60"/>
      <c r="GZ87" s="60"/>
      <c r="HA87" s="60"/>
      <c r="HB87" s="60"/>
      <c r="HC87" s="60"/>
      <c r="HD87" s="60"/>
      <c r="HE87" s="60"/>
      <c r="HF87" s="60"/>
      <c r="HG87" s="60"/>
      <c r="HH87" s="60"/>
      <c r="HI87" s="60"/>
      <c r="HJ87" s="60"/>
      <c r="HK87" s="60"/>
      <c r="HL87" s="60"/>
    </row>
    <row r="88" spans="1:220" s="61" customFormat="1" ht="16.5" customHeight="1" x14ac:dyDescent="0.15">
      <c r="A88" s="99"/>
      <c r="B88" s="91" t="s">
        <v>190</v>
      </c>
      <c r="C88" s="101"/>
      <c r="D88" s="64" t="s">
        <v>109</v>
      </c>
      <c r="E88" s="53"/>
      <c r="F88" s="53"/>
      <c r="G88" s="88" t="s">
        <v>477</v>
      </c>
      <c r="H88" s="54"/>
      <c r="I88" s="54"/>
      <c r="J88" s="5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C88" s="60"/>
      <c r="DD88" s="60"/>
      <c r="DE88" s="60"/>
      <c r="DF88" s="60"/>
      <c r="DG88" s="60"/>
      <c r="DH88" s="60"/>
      <c r="DI88" s="60"/>
      <c r="DJ88" s="60"/>
      <c r="DK88" s="60"/>
      <c r="DL88" s="60"/>
      <c r="DM88" s="60"/>
      <c r="DN88" s="60"/>
      <c r="DO88" s="60"/>
      <c r="DP88" s="60"/>
      <c r="DQ88" s="60"/>
      <c r="DR88" s="60"/>
      <c r="DS88" s="60"/>
      <c r="DT88" s="60"/>
      <c r="DU88" s="60"/>
      <c r="DV88" s="60"/>
      <c r="DW88" s="60"/>
      <c r="DX88" s="60"/>
      <c r="DY88" s="60"/>
      <c r="DZ88" s="60"/>
      <c r="EA88" s="60"/>
      <c r="EB88" s="60"/>
      <c r="EC88" s="60"/>
      <c r="ED88" s="60"/>
      <c r="EE88" s="60"/>
      <c r="EF88" s="60"/>
      <c r="EG88" s="60"/>
      <c r="EH88" s="60"/>
      <c r="EI88" s="60"/>
      <c r="EJ88" s="60"/>
      <c r="EK88" s="60"/>
      <c r="EL88" s="60"/>
      <c r="EM88" s="60"/>
      <c r="EN88" s="60"/>
      <c r="EO88" s="60"/>
      <c r="EP88" s="60"/>
      <c r="EQ88" s="60"/>
      <c r="ER88" s="60"/>
      <c r="ES88" s="60"/>
      <c r="ET88" s="60"/>
      <c r="EU88" s="60"/>
      <c r="EV88" s="60"/>
      <c r="EW88" s="60"/>
      <c r="EX88" s="60"/>
      <c r="EY88" s="60"/>
      <c r="EZ88" s="60"/>
      <c r="FA88" s="60"/>
      <c r="FB88" s="60"/>
      <c r="FC88" s="60"/>
      <c r="FD88" s="60"/>
      <c r="FE88" s="60"/>
      <c r="FF88" s="60"/>
      <c r="FG88" s="60"/>
      <c r="FH88" s="60"/>
      <c r="FI88" s="60"/>
      <c r="FJ88" s="60"/>
      <c r="FK88" s="60"/>
      <c r="FL88" s="60"/>
      <c r="FM88" s="60"/>
      <c r="FN88" s="60"/>
      <c r="FO88" s="60"/>
      <c r="FP88" s="60"/>
      <c r="FQ88" s="60"/>
      <c r="FR88" s="60"/>
      <c r="FS88" s="60"/>
      <c r="FT88" s="60"/>
      <c r="FU88" s="60"/>
      <c r="FV88" s="60"/>
      <c r="FW88" s="60"/>
      <c r="FX88" s="60"/>
      <c r="FY88" s="60"/>
      <c r="FZ88" s="60"/>
      <c r="GA88" s="60"/>
      <c r="GB88" s="60"/>
      <c r="GC88" s="60"/>
      <c r="GD88" s="60"/>
      <c r="GE88" s="60"/>
      <c r="GF88" s="60"/>
      <c r="GG88" s="60"/>
      <c r="GH88" s="60"/>
      <c r="GI88" s="60"/>
      <c r="GJ88" s="60"/>
      <c r="GK88" s="60"/>
      <c r="GL88" s="60"/>
      <c r="GM88" s="60"/>
      <c r="GN88" s="60"/>
      <c r="GO88" s="60"/>
      <c r="GP88" s="60"/>
      <c r="GQ88" s="60"/>
      <c r="GR88" s="60"/>
      <c r="GS88" s="60"/>
      <c r="GT88" s="60"/>
      <c r="GU88" s="60"/>
      <c r="GV88" s="60"/>
      <c r="GW88" s="60"/>
      <c r="GX88" s="60"/>
      <c r="GY88" s="60"/>
      <c r="GZ88" s="60"/>
      <c r="HA88" s="60"/>
      <c r="HB88" s="60"/>
      <c r="HC88" s="60"/>
      <c r="HD88" s="60"/>
      <c r="HE88" s="60"/>
      <c r="HF88" s="60"/>
      <c r="HG88" s="60"/>
      <c r="HH88" s="60"/>
      <c r="HI88" s="60"/>
      <c r="HJ88" s="60"/>
      <c r="HK88" s="60"/>
      <c r="HL88" s="60"/>
    </row>
    <row r="89" spans="1:220" s="61" customFormat="1" ht="16.5" customHeight="1" x14ac:dyDescent="0.15">
      <c r="A89" s="99"/>
      <c r="B89" s="91" t="s">
        <v>191</v>
      </c>
      <c r="C89" s="101"/>
      <c r="D89" s="61" t="s">
        <v>173</v>
      </c>
      <c r="E89" s="53"/>
      <c r="F89" s="53"/>
      <c r="G89" s="88" t="s">
        <v>477</v>
      </c>
      <c r="H89" s="54"/>
      <c r="I89" s="54"/>
      <c r="J89" s="53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60"/>
      <c r="CY89" s="60"/>
      <c r="CZ89" s="60"/>
      <c r="DA89" s="60"/>
      <c r="DB89" s="60"/>
      <c r="DC89" s="60"/>
      <c r="DD89" s="60"/>
      <c r="DE89" s="60"/>
      <c r="DF89" s="60"/>
      <c r="DG89" s="60"/>
      <c r="DH89" s="60"/>
      <c r="DI89" s="60"/>
      <c r="DJ89" s="60"/>
      <c r="DK89" s="60"/>
      <c r="DL89" s="60"/>
      <c r="DM89" s="60"/>
      <c r="DN89" s="60"/>
      <c r="DO89" s="60"/>
      <c r="DP89" s="60"/>
      <c r="DQ89" s="60"/>
      <c r="DR89" s="60"/>
      <c r="DS89" s="60"/>
      <c r="DT89" s="60"/>
      <c r="DU89" s="60"/>
      <c r="DV89" s="60"/>
      <c r="DW89" s="60"/>
      <c r="DX89" s="60"/>
      <c r="DY89" s="60"/>
      <c r="DZ89" s="60"/>
      <c r="EA89" s="60"/>
      <c r="EB89" s="60"/>
      <c r="EC89" s="60"/>
      <c r="ED89" s="60"/>
      <c r="EE89" s="60"/>
      <c r="EF89" s="60"/>
      <c r="EG89" s="60"/>
      <c r="EH89" s="60"/>
      <c r="EI89" s="60"/>
      <c r="EJ89" s="60"/>
      <c r="EK89" s="60"/>
      <c r="EL89" s="60"/>
      <c r="EM89" s="60"/>
      <c r="EN89" s="60"/>
      <c r="EO89" s="60"/>
      <c r="EP89" s="60"/>
      <c r="EQ89" s="60"/>
      <c r="ER89" s="60"/>
      <c r="ES89" s="60"/>
      <c r="ET89" s="60"/>
      <c r="EU89" s="60"/>
      <c r="EV89" s="60"/>
      <c r="EW89" s="60"/>
      <c r="EX89" s="60"/>
      <c r="EY89" s="60"/>
      <c r="EZ89" s="60"/>
      <c r="FA89" s="60"/>
      <c r="FB89" s="60"/>
      <c r="FC89" s="60"/>
      <c r="FD89" s="60"/>
      <c r="FE89" s="60"/>
      <c r="FF89" s="60"/>
      <c r="FG89" s="60"/>
      <c r="FH89" s="60"/>
      <c r="FI89" s="60"/>
      <c r="FJ89" s="60"/>
      <c r="FK89" s="60"/>
      <c r="FL89" s="60"/>
      <c r="FM89" s="60"/>
      <c r="FN89" s="60"/>
      <c r="FO89" s="60"/>
      <c r="FP89" s="60"/>
      <c r="FQ89" s="60"/>
      <c r="FR89" s="60"/>
      <c r="FS89" s="60"/>
      <c r="FT89" s="60"/>
      <c r="FU89" s="60"/>
      <c r="FV89" s="60"/>
      <c r="FW89" s="60"/>
      <c r="FX89" s="60"/>
      <c r="FY89" s="60"/>
      <c r="FZ89" s="60"/>
      <c r="GA89" s="60"/>
      <c r="GB89" s="60"/>
      <c r="GC89" s="60"/>
      <c r="GD89" s="60"/>
      <c r="GE89" s="60"/>
      <c r="GF89" s="60"/>
      <c r="GG89" s="60"/>
      <c r="GH89" s="60"/>
      <c r="GI89" s="60"/>
      <c r="GJ89" s="60"/>
      <c r="GK89" s="60"/>
      <c r="GL89" s="60"/>
      <c r="GM89" s="60"/>
      <c r="GN89" s="60"/>
      <c r="GO89" s="60"/>
      <c r="GP89" s="60"/>
      <c r="GQ89" s="60"/>
      <c r="GR89" s="60"/>
      <c r="GS89" s="60"/>
      <c r="GT89" s="60"/>
      <c r="GU89" s="60"/>
      <c r="GV89" s="60"/>
      <c r="GW89" s="60"/>
      <c r="GX89" s="60"/>
      <c r="GY89" s="60"/>
      <c r="GZ89" s="60"/>
      <c r="HA89" s="60"/>
      <c r="HB89" s="60"/>
      <c r="HC89" s="60"/>
      <c r="HD89" s="60"/>
      <c r="HE89" s="60"/>
      <c r="HF89" s="60"/>
      <c r="HG89" s="60"/>
      <c r="HH89" s="60"/>
      <c r="HI89" s="60"/>
      <c r="HJ89" s="60"/>
      <c r="HK89" s="60"/>
      <c r="HL89" s="60"/>
    </row>
    <row r="90" spans="1:220" s="61" customFormat="1" ht="16.5" customHeight="1" x14ac:dyDescent="0.15">
      <c r="A90" s="99"/>
      <c r="B90" s="91" t="s">
        <v>192</v>
      </c>
      <c r="C90" s="100" t="s">
        <v>129</v>
      </c>
      <c r="D90" s="51" t="s">
        <v>170</v>
      </c>
      <c r="E90" s="53"/>
      <c r="F90" s="53"/>
      <c r="G90" s="88" t="s">
        <v>477</v>
      </c>
      <c r="H90" s="54"/>
      <c r="I90" s="54"/>
      <c r="J90" s="53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60"/>
      <c r="CV90" s="60"/>
      <c r="CW90" s="60"/>
      <c r="CX90" s="60"/>
      <c r="CY90" s="60"/>
      <c r="CZ90" s="60"/>
      <c r="DA90" s="60"/>
      <c r="DB90" s="60"/>
      <c r="DC90" s="60"/>
      <c r="DD90" s="60"/>
      <c r="DE90" s="60"/>
      <c r="DF90" s="60"/>
      <c r="DG90" s="60"/>
      <c r="DH90" s="60"/>
      <c r="DI90" s="60"/>
      <c r="DJ90" s="60"/>
      <c r="DK90" s="60"/>
      <c r="DL90" s="60"/>
      <c r="DM90" s="60"/>
      <c r="DN90" s="60"/>
      <c r="DO90" s="60"/>
      <c r="DP90" s="60"/>
      <c r="DQ90" s="60"/>
      <c r="DR90" s="60"/>
      <c r="DS90" s="60"/>
      <c r="DT90" s="60"/>
      <c r="DU90" s="60"/>
      <c r="DV90" s="60"/>
      <c r="DW90" s="60"/>
      <c r="DX90" s="60"/>
      <c r="DY90" s="60"/>
      <c r="DZ90" s="60"/>
      <c r="EA90" s="60"/>
      <c r="EB90" s="60"/>
      <c r="EC90" s="60"/>
      <c r="ED90" s="60"/>
      <c r="EE90" s="60"/>
      <c r="EF90" s="60"/>
      <c r="EG90" s="60"/>
      <c r="EH90" s="60"/>
      <c r="EI90" s="60"/>
      <c r="EJ90" s="60"/>
      <c r="EK90" s="60"/>
      <c r="EL90" s="60"/>
      <c r="EM90" s="60"/>
      <c r="EN90" s="60"/>
      <c r="EO90" s="60"/>
      <c r="EP90" s="60"/>
      <c r="EQ90" s="60"/>
      <c r="ER90" s="60"/>
      <c r="ES90" s="60"/>
      <c r="ET90" s="60"/>
      <c r="EU90" s="60"/>
      <c r="EV90" s="60"/>
      <c r="EW90" s="60"/>
      <c r="EX90" s="60"/>
      <c r="EY90" s="60"/>
      <c r="EZ90" s="60"/>
      <c r="FA90" s="60"/>
      <c r="FB90" s="60"/>
      <c r="FC90" s="60"/>
      <c r="FD90" s="60"/>
      <c r="FE90" s="60"/>
      <c r="FF90" s="60"/>
      <c r="FG90" s="60"/>
      <c r="FH90" s="60"/>
      <c r="FI90" s="60"/>
      <c r="FJ90" s="60"/>
      <c r="FK90" s="60"/>
      <c r="FL90" s="60"/>
      <c r="FM90" s="60"/>
      <c r="FN90" s="60"/>
      <c r="FO90" s="60"/>
      <c r="FP90" s="60"/>
      <c r="FQ90" s="60"/>
      <c r="FR90" s="60"/>
      <c r="FS90" s="60"/>
      <c r="FT90" s="60"/>
      <c r="FU90" s="60"/>
      <c r="FV90" s="60"/>
      <c r="FW90" s="60"/>
      <c r="FX90" s="60"/>
      <c r="FY90" s="60"/>
      <c r="FZ90" s="60"/>
      <c r="GA90" s="60"/>
      <c r="GB90" s="60"/>
      <c r="GC90" s="60"/>
      <c r="GD90" s="60"/>
      <c r="GE90" s="60"/>
      <c r="GF90" s="60"/>
      <c r="GG90" s="60"/>
      <c r="GH90" s="60"/>
      <c r="GI90" s="60"/>
      <c r="GJ90" s="60"/>
      <c r="GK90" s="60"/>
      <c r="GL90" s="60"/>
      <c r="GM90" s="60"/>
      <c r="GN90" s="60"/>
      <c r="GO90" s="60"/>
      <c r="GP90" s="60"/>
      <c r="GQ90" s="60"/>
      <c r="GR90" s="60"/>
      <c r="GS90" s="60"/>
      <c r="GT90" s="60"/>
      <c r="GU90" s="60"/>
      <c r="GV90" s="60"/>
      <c r="GW90" s="60"/>
      <c r="GX90" s="60"/>
      <c r="GY90" s="60"/>
      <c r="GZ90" s="60"/>
      <c r="HA90" s="60"/>
      <c r="HB90" s="60"/>
      <c r="HC90" s="60"/>
      <c r="HD90" s="60"/>
      <c r="HE90" s="60"/>
      <c r="HF90" s="60"/>
      <c r="HG90" s="60"/>
      <c r="HH90" s="60"/>
      <c r="HI90" s="60"/>
      <c r="HJ90" s="60"/>
      <c r="HK90" s="60"/>
      <c r="HL90" s="60"/>
    </row>
    <row r="91" spans="1:220" s="61" customFormat="1" ht="16.5" customHeight="1" x14ac:dyDescent="0.15">
      <c r="A91" s="99"/>
      <c r="B91" s="91" t="s">
        <v>193</v>
      </c>
      <c r="C91" s="101"/>
      <c r="D91" s="51" t="s">
        <v>134</v>
      </c>
      <c r="E91" s="53"/>
      <c r="F91" s="53"/>
      <c r="G91" s="88" t="s">
        <v>477</v>
      </c>
      <c r="H91" s="54"/>
      <c r="I91" s="54"/>
      <c r="J91" s="5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/>
      <c r="CZ91" s="60"/>
      <c r="DA91" s="60"/>
      <c r="DB91" s="60"/>
      <c r="DC91" s="60"/>
      <c r="DD91" s="60"/>
      <c r="DE91" s="60"/>
      <c r="DF91" s="60"/>
      <c r="DG91" s="60"/>
      <c r="DH91" s="60"/>
      <c r="DI91" s="60"/>
      <c r="DJ91" s="60"/>
      <c r="DK91" s="60"/>
      <c r="DL91" s="60"/>
      <c r="DM91" s="60"/>
      <c r="DN91" s="60"/>
      <c r="DO91" s="60"/>
      <c r="DP91" s="60"/>
      <c r="DQ91" s="60"/>
      <c r="DR91" s="60"/>
      <c r="DS91" s="60"/>
      <c r="DT91" s="60"/>
      <c r="DU91" s="60"/>
      <c r="DV91" s="60"/>
      <c r="DW91" s="60"/>
      <c r="DX91" s="60"/>
      <c r="DY91" s="60"/>
      <c r="DZ91" s="60"/>
      <c r="EA91" s="60"/>
      <c r="EB91" s="60"/>
      <c r="EC91" s="60"/>
      <c r="ED91" s="60"/>
      <c r="EE91" s="60"/>
      <c r="EF91" s="60"/>
      <c r="EG91" s="60"/>
      <c r="EH91" s="60"/>
      <c r="EI91" s="60"/>
      <c r="EJ91" s="60"/>
      <c r="EK91" s="60"/>
      <c r="EL91" s="60"/>
      <c r="EM91" s="60"/>
      <c r="EN91" s="60"/>
      <c r="EO91" s="60"/>
      <c r="EP91" s="60"/>
      <c r="EQ91" s="60"/>
      <c r="ER91" s="60"/>
      <c r="ES91" s="60"/>
      <c r="ET91" s="60"/>
      <c r="EU91" s="60"/>
      <c r="EV91" s="60"/>
      <c r="EW91" s="60"/>
      <c r="EX91" s="60"/>
      <c r="EY91" s="60"/>
      <c r="EZ91" s="60"/>
      <c r="FA91" s="60"/>
      <c r="FB91" s="60"/>
      <c r="FC91" s="60"/>
      <c r="FD91" s="60"/>
      <c r="FE91" s="60"/>
      <c r="FF91" s="60"/>
      <c r="FG91" s="60"/>
      <c r="FH91" s="60"/>
      <c r="FI91" s="60"/>
      <c r="FJ91" s="60"/>
      <c r="FK91" s="60"/>
      <c r="FL91" s="60"/>
      <c r="FM91" s="60"/>
      <c r="FN91" s="60"/>
      <c r="FO91" s="60"/>
      <c r="FP91" s="60"/>
      <c r="FQ91" s="60"/>
      <c r="FR91" s="60"/>
      <c r="FS91" s="60"/>
      <c r="FT91" s="60"/>
      <c r="FU91" s="60"/>
      <c r="FV91" s="60"/>
      <c r="FW91" s="60"/>
      <c r="FX91" s="60"/>
      <c r="FY91" s="60"/>
      <c r="FZ91" s="60"/>
      <c r="GA91" s="60"/>
      <c r="GB91" s="60"/>
      <c r="GC91" s="60"/>
      <c r="GD91" s="60"/>
      <c r="GE91" s="60"/>
      <c r="GF91" s="60"/>
      <c r="GG91" s="60"/>
      <c r="GH91" s="60"/>
      <c r="GI91" s="60"/>
      <c r="GJ91" s="60"/>
      <c r="GK91" s="60"/>
      <c r="GL91" s="60"/>
      <c r="GM91" s="60"/>
      <c r="GN91" s="60"/>
      <c r="GO91" s="60"/>
      <c r="GP91" s="60"/>
      <c r="GQ91" s="60"/>
      <c r="GR91" s="60"/>
      <c r="GS91" s="60"/>
      <c r="GT91" s="60"/>
      <c r="GU91" s="60"/>
      <c r="GV91" s="60"/>
      <c r="GW91" s="60"/>
      <c r="GX91" s="60"/>
      <c r="GY91" s="60"/>
      <c r="GZ91" s="60"/>
      <c r="HA91" s="60"/>
      <c r="HB91" s="60"/>
      <c r="HC91" s="60"/>
      <c r="HD91" s="60"/>
      <c r="HE91" s="60"/>
      <c r="HF91" s="60"/>
      <c r="HG91" s="60"/>
      <c r="HH91" s="60"/>
      <c r="HI91" s="60"/>
      <c r="HJ91" s="60"/>
      <c r="HK91" s="60"/>
      <c r="HL91" s="60"/>
    </row>
    <row r="92" spans="1:220" s="61" customFormat="1" ht="16.5" customHeight="1" x14ac:dyDescent="0.15">
      <c r="A92" s="99"/>
      <c r="B92" s="91" t="s">
        <v>194</v>
      </c>
      <c r="C92" s="101"/>
      <c r="D92" s="51" t="s">
        <v>133</v>
      </c>
      <c r="E92" s="53"/>
      <c r="F92" s="53"/>
      <c r="G92" s="88" t="s">
        <v>477</v>
      </c>
      <c r="H92" s="54"/>
      <c r="I92" s="54"/>
      <c r="J92" s="53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0"/>
      <c r="CO92" s="60"/>
      <c r="CP92" s="60"/>
      <c r="CQ92" s="60"/>
      <c r="CR92" s="60"/>
      <c r="CS92" s="60"/>
      <c r="CT92" s="60"/>
      <c r="CU92" s="60"/>
      <c r="CV92" s="60"/>
      <c r="CW92" s="60"/>
      <c r="CX92" s="60"/>
      <c r="CY92" s="60"/>
      <c r="CZ92" s="60"/>
      <c r="DA92" s="60"/>
      <c r="DB92" s="60"/>
      <c r="DC92" s="60"/>
      <c r="DD92" s="60"/>
      <c r="DE92" s="60"/>
      <c r="DF92" s="60"/>
      <c r="DG92" s="60"/>
      <c r="DH92" s="60"/>
      <c r="DI92" s="60"/>
      <c r="DJ92" s="60"/>
      <c r="DK92" s="60"/>
      <c r="DL92" s="60"/>
      <c r="DM92" s="60"/>
      <c r="DN92" s="60"/>
      <c r="DO92" s="60"/>
      <c r="DP92" s="60"/>
      <c r="DQ92" s="60"/>
      <c r="DR92" s="60"/>
      <c r="DS92" s="60"/>
      <c r="DT92" s="60"/>
      <c r="DU92" s="60"/>
      <c r="DV92" s="60"/>
      <c r="DW92" s="60"/>
      <c r="DX92" s="60"/>
      <c r="DY92" s="60"/>
      <c r="DZ92" s="60"/>
      <c r="EA92" s="60"/>
      <c r="EB92" s="60"/>
      <c r="EC92" s="60"/>
      <c r="ED92" s="60"/>
      <c r="EE92" s="60"/>
      <c r="EF92" s="60"/>
      <c r="EG92" s="60"/>
      <c r="EH92" s="60"/>
      <c r="EI92" s="60"/>
      <c r="EJ92" s="60"/>
      <c r="EK92" s="60"/>
      <c r="EL92" s="60"/>
      <c r="EM92" s="60"/>
      <c r="EN92" s="60"/>
      <c r="EO92" s="60"/>
      <c r="EP92" s="60"/>
      <c r="EQ92" s="60"/>
      <c r="ER92" s="60"/>
      <c r="ES92" s="60"/>
      <c r="ET92" s="60"/>
      <c r="EU92" s="60"/>
      <c r="EV92" s="60"/>
      <c r="EW92" s="60"/>
      <c r="EX92" s="60"/>
      <c r="EY92" s="60"/>
      <c r="EZ92" s="60"/>
      <c r="FA92" s="60"/>
      <c r="FB92" s="60"/>
      <c r="FC92" s="60"/>
      <c r="FD92" s="60"/>
      <c r="FE92" s="60"/>
      <c r="FF92" s="60"/>
      <c r="FG92" s="60"/>
      <c r="FH92" s="60"/>
      <c r="FI92" s="60"/>
      <c r="FJ92" s="60"/>
      <c r="FK92" s="60"/>
      <c r="FL92" s="60"/>
      <c r="FM92" s="60"/>
      <c r="FN92" s="60"/>
      <c r="FO92" s="60"/>
      <c r="FP92" s="60"/>
      <c r="FQ92" s="60"/>
      <c r="FR92" s="60"/>
      <c r="FS92" s="60"/>
      <c r="FT92" s="60"/>
      <c r="FU92" s="60"/>
      <c r="FV92" s="60"/>
      <c r="FW92" s="60"/>
      <c r="FX92" s="60"/>
      <c r="FY92" s="60"/>
      <c r="FZ92" s="60"/>
      <c r="GA92" s="60"/>
      <c r="GB92" s="60"/>
      <c r="GC92" s="60"/>
      <c r="GD92" s="60"/>
      <c r="GE92" s="60"/>
      <c r="GF92" s="60"/>
      <c r="GG92" s="60"/>
      <c r="GH92" s="60"/>
      <c r="GI92" s="60"/>
      <c r="GJ92" s="60"/>
      <c r="GK92" s="60"/>
      <c r="GL92" s="60"/>
      <c r="GM92" s="60"/>
      <c r="GN92" s="60"/>
      <c r="GO92" s="60"/>
      <c r="GP92" s="60"/>
      <c r="GQ92" s="60"/>
      <c r="GR92" s="60"/>
      <c r="GS92" s="60"/>
      <c r="GT92" s="60"/>
      <c r="GU92" s="60"/>
      <c r="GV92" s="60"/>
      <c r="GW92" s="60"/>
      <c r="GX92" s="60"/>
      <c r="GY92" s="60"/>
      <c r="GZ92" s="60"/>
      <c r="HA92" s="60"/>
      <c r="HB92" s="60"/>
      <c r="HC92" s="60"/>
      <c r="HD92" s="60"/>
      <c r="HE92" s="60"/>
      <c r="HF92" s="60"/>
      <c r="HG92" s="60"/>
      <c r="HH92" s="60"/>
      <c r="HI92" s="60"/>
      <c r="HJ92" s="60"/>
      <c r="HK92" s="60"/>
      <c r="HL92" s="60"/>
    </row>
    <row r="93" spans="1:220" s="61" customFormat="1" ht="16.5" customHeight="1" x14ac:dyDescent="0.15">
      <c r="A93" s="111"/>
      <c r="B93" s="91" t="s">
        <v>195</v>
      </c>
      <c r="C93" s="103"/>
      <c r="D93" s="51" t="s">
        <v>171</v>
      </c>
      <c r="E93" s="53"/>
      <c r="F93" s="53"/>
      <c r="G93" s="88" t="s">
        <v>477</v>
      </c>
      <c r="H93" s="54"/>
      <c r="I93" s="54"/>
      <c r="J93" s="53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60"/>
      <c r="DF93" s="60"/>
      <c r="DG93" s="60"/>
      <c r="DH93" s="60"/>
      <c r="DI93" s="60"/>
      <c r="DJ93" s="60"/>
      <c r="DK93" s="60"/>
      <c r="DL93" s="60"/>
      <c r="DM93" s="60"/>
      <c r="DN93" s="60"/>
      <c r="DO93" s="60"/>
      <c r="DP93" s="60"/>
      <c r="DQ93" s="60"/>
      <c r="DR93" s="60"/>
      <c r="DS93" s="60"/>
      <c r="DT93" s="60"/>
      <c r="DU93" s="60"/>
      <c r="DV93" s="60"/>
      <c r="DW93" s="60"/>
      <c r="DX93" s="60"/>
      <c r="DY93" s="60"/>
      <c r="DZ93" s="60"/>
      <c r="EA93" s="60"/>
      <c r="EB93" s="60"/>
      <c r="EC93" s="60"/>
      <c r="ED93" s="60"/>
      <c r="EE93" s="60"/>
      <c r="EF93" s="60"/>
      <c r="EG93" s="60"/>
      <c r="EH93" s="60"/>
      <c r="EI93" s="60"/>
      <c r="EJ93" s="60"/>
      <c r="EK93" s="60"/>
      <c r="EL93" s="60"/>
      <c r="EM93" s="60"/>
      <c r="EN93" s="60"/>
      <c r="EO93" s="60"/>
      <c r="EP93" s="60"/>
      <c r="EQ93" s="60"/>
      <c r="ER93" s="60"/>
      <c r="ES93" s="60"/>
      <c r="ET93" s="60"/>
      <c r="EU93" s="60"/>
      <c r="EV93" s="60"/>
      <c r="EW93" s="60"/>
      <c r="EX93" s="60"/>
      <c r="EY93" s="60"/>
      <c r="EZ93" s="60"/>
      <c r="FA93" s="60"/>
      <c r="FB93" s="60"/>
      <c r="FC93" s="60"/>
      <c r="FD93" s="60"/>
      <c r="FE93" s="60"/>
      <c r="FF93" s="60"/>
      <c r="FG93" s="60"/>
      <c r="FH93" s="60"/>
      <c r="FI93" s="60"/>
      <c r="FJ93" s="60"/>
      <c r="FK93" s="60"/>
      <c r="FL93" s="60"/>
      <c r="FM93" s="60"/>
      <c r="FN93" s="60"/>
      <c r="FO93" s="60"/>
      <c r="FP93" s="60"/>
      <c r="FQ93" s="60"/>
      <c r="FR93" s="60"/>
      <c r="FS93" s="60"/>
      <c r="FT93" s="60"/>
      <c r="FU93" s="60"/>
      <c r="FV93" s="60"/>
      <c r="FW93" s="60"/>
      <c r="FX93" s="60"/>
      <c r="FY93" s="60"/>
      <c r="FZ93" s="60"/>
      <c r="GA93" s="60"/>
      <c r="GB93" s="60"/>
      <c r="GC93" s="60"/>
      <c r="GD93" s="60"/>
      <c r="GE93" s="60"/>
      <c r="GF93" s="60"/>
      <c r="GG93" s="60"/>
      <c r="GH93" s="60"/>
      <c r="GI93" s="60"/>
      <c r="GJ93" s="60"/>
      <c r="GK93" s="60"/>
      <c r="GL93" s="60"/>
      <c r="GM93" s="60"/>
      <c r="GN93" s="60"/>
      <c r="GO93" s="60"/>
      <c r="GP93" s="60"/>
      <c r="GQ93" s="60"/>
      <c r="GR93" s="60"/>
      <c r="GS93" s="60"/>
      <c r="GT93" s="60"/>
      <c r="GU93" s="60"/>
      <c r="GV93" s="60"/>
      <c r="GW93" s="60"/>
      <c r="GX93" s="60"/>
      <c r="GY93" s="60"/>
      <c r="GZ93" s="60"/>
      <c r="HA93" s="60"/>
      <c r="HB93" s="60"/>
      <c r="HC93" s="60"/>
      <c r="HD93" s="60"/>
      <c r="HE93" s="60"/>
      <c r="HF93" s="60"/>
      <c r="HG93" s="60"/>
      <c r="HH93" s="60"/>
      <c r="HI93" s="60"/>
      <c r="HJ93" s="60"/>
      <c r="HK93" s="60"/>
      <c r="HL93" s="60"/>
    </row>
    <row r="94" spans="1:220" s="85" customFormat="1" ht="35.25" customHeight="1" x14ac:dyDescent="0.15">
      <c r="A94" s="98" t="s">
        <v>440</v>
      </c>
      <c r="B94" s="91" t="s">
        <v>196</v>
      </c>
      <c r="C94" s="83" t="s">
        <v>441</v>
      </c>
      <c r="D94" s="80" t="s">
        <v>442</v>
      </c>
      <c r="E94" s="81"/>
      <c r="F94" s="81"/>
      <c r="G94" s="88" t="s">
        <v>477</v>
      </c>
      <c r="H94" s="82"/>
      <c r="I94" s="82"/>
      <c r="J94" s="81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  <c r="FU94" s="84"/>
      <c r="FV94" s="84"/>
      <c r="FW94" s="84"/>
      <c r="FX94" s="84"/>
      <c r="FY94" s="84"/>
      <c r="FZ94" s="84"/>
      <c r="GA94" s="84"/>
      <c r="GB94" s="84"/>
      <c r="GC94" s="84"/>
      <c r="GD94" s="84"/>
      <c r="GE94" s="84"/>
      <c r="GF94" s="84"/>
      <c r="GG94" s="84"/>
      <c r="GH94" s="84"/>
      <c r="GI94" s="84"/>
      <c r="GJ94" s="84"/>
      <c r="GK94" s="84"/>
      <c r="GL94" s="84"/>
      <c r="GM94" s="84"/>
      <c r="GN94" s="84"/>
      <c r="GO94" s="84"/>
      <c r="GP94" s="84"/>
      <c r="GQ94" s="84"/>
      <c r="GR94" s="84"/>
      <c r="GS94" s="84"/>
      <c r="GT94" s="84"/>
      <c r="GU94" s="84"/>
      <c r="GV94" s="84"/>
      <c r="GW94" s="84"/>
      <c r="GX94" s="84"/>
      <c r="GY94" s="84"/>
      <c r="GZ94" s="84"/>
      <c r="HA94" s="84"/>
      <c r="HB94" s="84"/>
      <c r="HC94" s="84"/>
      <c r="HD94" s="84"/>
      <c r="HE94" s="84"/>
      <c r="HF94" s="84"/>
      <c r="HG94" s="84"/>
      <c r="HH94" s="84"/>
      <c r="HI94" s="84"/>
      <c r="HJ94" s="84"/>
      <c r="HK94" s="84"/>
      <c r="HL94" s="84"/>
    </row>
    <row r="95" spans="1:220" s="85" customFormat="1" ht="16.5" customHeight="1" x14ac:dyDescent="0.15">
      <c r="A95" s="99"/>
      <c r="B95" s="91" t="s">
        <v>197</v>
      </c>
      <c r="C95" s="100" t="s">
        <v>443</v>
      </c>
      <c r="D95" s="80" t="s">
        <v>444</v>
      </c>
      <c r="E95" s="81"/>
      <c r="F95" s="81"/>
      <c r="G95" s="88" t="s">
        <v>477</v>
      </c>
      <c r="H95" s="82"/>
      <c r="I95" s="82"/>
      <c r="J95" s="81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  <c r="FU95" s="84"/>
      <c r="FV95" s="84"/>
      <c r="FW95" s="84"/>
      <c r="FX95" s="84"/>
      <c r="FY95" s="84"/>
      <c r="FZ95" s="84"/>
      <c r="GA95" s="84"/>
      <c r="GB95" s="84"/>
      <c r="GC95" s="84"/>
      <c r="GD95" s="84"/>
      <c r="GE95" s="84"/>
      <c r="GF95" s="84"/>
      <c r="GG95" s="84"/>
      <c r="GH95" s="84"/>
      <c r="GI95" s="84"/>
      <c r="GJ95" s="84"/>
      <c r="GK95" s="84"/>
      <c r="GL95" s="84"/>
      <c r="GM95" s="84"/>
      <c r="GN95" s="84"/>
      <c r="GO95" s="84"/>
      <c r="GP95" s="84"/>
      <c r="GQ95" s="84"/>
      <c r="GR95" s="84"/>
      <c r="GS95" s="84"/>
      <c r="GT95" s="84"/>
      <c r="GU95" s="84"/>
      <c r="GV95" s="84"/>
      <c r="GW95" s="84"/>
      <c r="GX95" s="84"/>
      <c r="GY95" s="84"/>
      <c r="GZ95" s="84"/>
      <c r="HA95" s="84"/>
      <c r="HB95" s="84"/>
      <c r="HC95" s="84"/>
      <c r="HD95" s="84"/>
      <c r="HE95" s="84"/>
      <c r="HF95" s="84"/>
      <c r="HG95" s="84"/>
      <c r="HH95" s="84"/>
      <c r="HI95" s="84"/>
      <c r="HJ95" s="84"/>
      <c r="HK95" s="84"/>
      <c r="HL95" s="84"/>
    </row>
    <row r="96" spans="1:220" s="85" customFormat="1" ht="16.5" customHeight="1" x14ac:dyDescent="0.15">
      <c r="A96" s="99"/>
      <c r="B96" s="91" t="s">
        <v>198</v>
      </c>
      <c r="C96" s="101"/>
      <c r="D96" s="80" t="s">
        <v>446</v>
      </c>
      <c r="E96" s="81"/>
      <c r="F96" s="81"/>
      <c r="G96" s="88" t="s">
        <v>477</v>
      </c>
      <c r="H96" s="82"/>
      <c r="I96" s="82"/>
      <c r="J96" s="81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  <c r="FU96" s="84"/>
      <c r="FV96" s="84"/>
      <c r="FW96" s="84"/>
      <c r="FX96" s="84"/>
      <c r="FY96" s="84"/>
      <c r="FZ96" s="84"/>
      <c r="GA96" s="84"/>
      <c r="GB96" s="84"/>
      <c r="GC96" s="84"/>
      <c r="GD96" s="84"/>
      <c r="GE96" s="84"/>
      <c r="GF96" s="84"/>
      <c r="GG96" s="84"/>
      <c r="GH96" s="84"/>
      <c r="GI96" s="84"/>
      <c r="GJ96" s="84"/>
      <c r="GK96" s="84"/>
      <c r="GL96" s="84"/>
      <c r="GM96" s="84"/>
      <c r="GN96" s="84"/>
      <c r="GO96" s="84"/>
      <c r="GP96" s="84"/>
      <c r="GQ96" s="84"/>
      <c r="GR96" s="84"/>
      <c r="GS96" s="84"/>
      <c r="GT96" s="84"/>
      <c r="GU96" s="84"/>
      <c r="GV96" s="84"/>
      <c r="GW96" s="84"/>
      <c r="GX96" s="84"/>
      <c r="GY96" s="84"/>
      <c r="GZ96" s="84"/>
      <c r="HA96" s="84"/>
      <c r="HB96" s="84"/>
      <c r="HC96" s="84"/>
      <c r="HD96" s="84"/>
      <c r="HE96" s="84"/>
      <c r="HF96" s="84"/>
      <c r="HG96" s="84"/>
      <c r="HH96" s="84"/>
      <c r="HI96" s="84"/>
      <c r="HJ96" s="84"/>
      <c r="HK96" s="84"/>
      <c r="HL96" s="84"/>
    </row>
    <row r="97" spans="1:220" s="85" customFormat="1" ht="16.5" customHeight="1" x14ac:dyDescent="0.15">
      <c r="A97" s="99"/>
      <c r="B97" s="91" t="s">
        <v>199</v>
      </c>
      <c r="C97" s="101"/>
      <c r="D97" s="80" t="s">
        <v>445</v>
      </c>
      <c r="E97" s="81"/>
      <c r="F97" s="81"/>
      <c r="G97" s="88" t="s">
        <v>477</v>
      </c>
      <c r="H97" s="82"/>
      <c r="I97" s="82"/>
      <c r="J97" s="81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  <c r="FU97" s="84"/>
      <c r="FV97" s="84"/>
      <c r="FW97" s="84"/>
      <c r="FX97" s="84"/>
      <c r="FY97" s="84"/>
      <c r="FZ97" s="84"/>
      <c r="GA97" s="84"/>
      <c r="GB97" s="84"/>
      <c r="GC97" s="84"/>
      <c r="GD97" s="84"/>
      <c r="GE97" s="84"/>
      <c r="GF97" s="84"/>
      <c r="GG97" s="84"/>
      <c r="GH97" s="84"/>
      <c r="GI97" s="84"/>
      <c r="GJ97" s="84"/>
      <c r="GK97" s="84"/>
      <c r="GL97" s="84"/>
      <c r="GM97" s="84"/>
      <c r="GN97" s="84"/>
      <c r="GO97" s="84"/>
      <c r="GP97" s="84"/>
      <c r="GQ97" s="84"/>
      <c r="GR97" s="84"/>
      <c r="GS97" s="84"/>
      <c r="GT97" s="84"/>
      <c r="GU97" s="84"/>
      <c r="GV97" s="84"/>
      <c r="GW97" s="84"/>
      <c r="GX97" s="84"/>
      <c r="GY97" s="84"/>
      <c r="GZ97" s="84"/>
      <c r="HA97" s="84"/>
      <c r="HB97" s="84"/>
      <c r="HC97" s="84"/>
      <c r="HD97" s="84"/>
      <c r="HE97" s="84"/>
      <c r="HF97" s="84"/>
      <c r="HG97" s="84"/>
      <c r="HH97" s="84"/>
      <c r="HI97" s="84"/>
      <c r="HJ97" s="84"/>
      <c r="HK97" s="84"/>
      <c r="HL97" s="84"/>
    </row>
    <row r="98" spans="1:220" s="85" customFormat="1" ht="16.5" customHeight="1" x14ac:dyDescent="0.15">
      <c r="A98" s="99"/>
      <c r="B98" s="91" t="s">
        <v>200</v>
      </c>
      <c r="C98" s="101"/>
      <c r="D98" s="80" t="s">
        <v>447</v>
      </c>
      <c r="E98" s="81"/>
      <c r="F98" s="81"/>
      <c r="G98" s="88" t="s">
        <v>477</v>
      </c>
      <c r="H98" s="82"/>
      <c r="I98" s="82"/>
      <c r="J98" s="81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  <c r="FU98" s="84"/>
      <c r="FV98" s="84"/>
      <c r="FW98" s="84"/>
      <c r="FX98" s="84"/>
      <c r="FY98" s="84"/>
      <c r="FZ98" s="84"/>
      <c r="GA98" s="84"/>
      <c r="GB98" s="84"/>
      <c r="GC98" s="84"/>
      <c r="GD98" s="84"/>
      <c r="GE98" s="84"/>
      <c r="GF98" s="84"/>
      <c r="GG98" s="84"/>
      <c r="GH98" s="84"/>
      <c r="GI98" s="84"/>
      <c r="GJ98" s="84"/>
      <c r="GK98" s="84"/>
      <c r="GL98" s="84"/>
      <c r="GM98" s="84"/>
      <c r="GN98" s="84"/>
      <c r="GO98" s="84"/>
      <c r="GP98" s="84"/>
      <c r="GQ98" s="84"/>
      <c r="GR98" s="84"/>
      <c r="GS98" s="84"/>
      <c r="GT98" s="84"/>
      <c r="GU98" s="84"/>
      <c r="GV98" s="84"/>
      <c r="GW98" s="84"/>
      <c r="GX98" s="84"/>
      <c r="GY98" s="84"/>
      <c r="GZ98" s="84"/>
      <c r="HA98" s="84"/>
      <c r="HB98" s="84"/>
      <c r="HC98" s="84"/>
      <c r="HD98" s="84"/>
      <c r="HE98" s="84"/>
      <c r="HF98" s="84"/>
      <c r="HG98" s="84"/>
      <c r="HH98" s="84"/>
      <c r="HI98" s="84"/>
      <c r="HJ98" s="84"/>
      <c r="HK98" s="84"/>
      <c r="HL98" s="84"/>
    </row>
    <row r="99" spans="1:220" s="85" customFormat="1" ht="16.5" customHeight="1" x14ac:dyDescent="0.15">
      <c r="A99" s="99"/>
      <c r="B99" s="91" t="s">
        <v>201</v>
      </c>
      <c r="C99" s="101"/>
      <c r="D99" s="80" t="s">
        <v>449</v>
      </c>
      <c r="E99" s="81"/>
      <c r="F99" s="81"/>
      <c r="G99" s="88" t="s">
        <v>477</v>
      </c>
      <c r="H99" s="82"/>
      <c r="I99" s="82"/>
      <c r="J99" s="81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  <c r="FU99" s="84"/>
      <c r="FV99" s="84"/>
      <c r="FW99" s="84"/>
      <c r="FX99" s="84"/>
      <c r="FY99" s="84"/>
      <c r="FZ99" s="84"/>
      <c r="GA99" s="84"/>
      <c r="GB99" s="84"/>
      <c r="GC99" s="84"/>
      <c r="GD99" s="84"/>
      <c r="GE99" s="84"/>
      <c r="GF99" s="84"/>
      <c r="GG99" s="84"/>
      <c r="GH99" s="84"/>
      <c r="GI99" s="84"/>
      <c r="GJ99" s="84"/>
      <c r="GK99" s="84"/>
      <c r="GL99" s="84"/>
      <c r="GM99" s="84"/>
      <c r="GN99" s="84"/>
      <c r="GO99" s="84"/>
      <c r="GP99" s="84"/>
      <c r="GQ99" s="84"/>
      <c r="GR99" s="84"/>
      <c r="GS99" s="84"/>
      <c r="GT99" s="84"/>
      <c r="GU99" s="84"/>
      <c r="GV99" s="84"/>
      <c r="GW99" s="84"/>
      <c r="GX99" s="84"/>
      <c r="GY99" s="84"/>
      <c r="GZ99" s="84"/>
      <c r="HA99" s="84"/>
      <c r="HB99" s="84"/>
      <c r="HC99" s="84"/>
      <c r="HD99" s="84"/>
      <c r="HE99" s="84"/>
      <c r="HF99" s="84"/>
      <c r="HG99" s="84"/>
      <c r="HH99" s="84"/>
      <c r="HI99" s="84"/>
      <c r="HJ99" s="84"/>
      <c r="HK99" s="84"/>
      <c r="HL99" s="84"/>
    </row>
    <row r="100" spans="1:220" s="85" customFormat="1" ht="16.5" customHeight="1" x14ac:dyDescent="0.15">
      <c r="A100" s="99"/>
      <c r="B100" s="91" t="s">
        <v>202</v>
      </c>
      <c r="C100" s="101"/>
      <c r="D100" s="80" t="s">
        <v>451</v>
      </c>
      <c r="E100" s="81"/>
      <c r="F100" s="81"/>
      <c r="G100" s="88" t="s">
        <v>477</v>
      </c>
      <c r="H100" s="82"/>
      <c r="I100" s="82"/>
      <c r="J100" s="81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  <c r="FU100" s="84"/>
      <c r="FV100" s="84"/>
      <c r="FW100" s="84"/>
      <c r="FX100" s="84"/>
      <c r="FY100" s="84"/>
      <c r="FZ100" s="84"/>
      <c r="GA100" s="84"/>
      <c r="GB100" s="84"/>
      <c r="GC100" s="84"/>
      <c r="GD100" s="84"/>
      <c r="GE100" s="84"/>
      <c r="GF100" s="84"/>
      <c r="GG100" s="84"/>
      <c r="GH100" s="84"/>
      <c r="GI100" s="84"/>
      <c r="GJ100" s="84"/>
      <c r="GK100" s="84"/>
      <c r="GL100" s="84"/>
      <c r="GM100" s="84"/>
      <c r="GN100" s="84"/>
      <c r="GO100" s="84"/>
      <c r="GP100" s="84"/>
      <c r="GQ100" s="84"/>
      <c r="GR100" s="84"/>
      <c r="GS100" s="84"/>
      <c r="GT100" s="84"/>
      <c r="GU100" s="84"/>
      <c r="GV100" s="84"/>
      <c r="GW100" s="84"/>
      <c r="GX100" s="84"/>
      <c r="GY100" s="84"/>
      <c r="GZ100" s="84"/>
      <c r="HA100" s="84"/>
      <c r="HB100" s="84"/>
      <c r="HC100" s="84"/>
      <c r="HD100" s="84"/>
      <c r="HE100" s="84"/>
      <c r="HF100" s="84"/>
      <c r="HG100" s="84"/>
      <c r="HH100" s="84"/>
      <c r="HI100" s="84"/>
      <c r="HJ100" s="84"/>
      <c r="HK100" s="84"/>
      <c r="HL100" s="84"/>
    </row>
    <row r="101" spans="1:220" s="85" customFormat="1" ht="16.5" customHeight="1" x14ac:dyDescent="0.15">
      <c r="A101" s="99"/>
      <c r="B101" s="91" t="s">
        <v>203</v>
      </c>
      <c r="C101" s="101"/>
      <c r="D101" s="80" t="s">
        <v>452</v>
      </c>
      <c r="E101" s="81"/>
      <c r="F101" s="81"/>
      <c r="G101" s="88" t="s">
        <v>477</v>
      </c>
      <c r="H101" s="82"/>
      <c r="I101" s="82"/>
      <c r="J101" s="81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  <c r="FU101" s="84"/>
      <c r="FV101" s="84"/>
      <c r="FW101" s="84"/>
      <c r="FX101" s="84"/>
      <c r="FY101" s="84"/>
      <c r="FZ101" s="84"/>
      <c r="GA101" s="84"/>
      <c r="GB101" s="84"/>
      <c r="GC101" s="84"/>
      <c r="GD101" s="84"/>
      <c r="GE101" s="84"/>
      <c r="GF101" s="84"/>
      <c r="GG101" s="84"/>
      <c r="GH101" s="84"/>
      <c r="GI101" s="84"/>
      <c r="GJ101" s="84"/>
      <c r="GK101" s="84"/>
      <c r="GL101" s="84"/>
      <c r="GM101" s="84"/>
      <c r="GN101" s="84"/>
      <c r="GO101" s="84"/>
      <c r="GP101" s="84"/>
      <c r="GQ101" s="84"/>
      <c r="GR101" s="84"/>
      <c r="GS101" s="84"/>
      <c r="GT101" s="84"/>
      <c r="GU101" s="84"/>
      <c r="GV101" s="84"/>
      <c r="GW101" s="84"/>
      <c r="GX101" s="84"/>
      <c r="GY101" s="84"/>
      <c r="GZ101" s="84"/>
      <c r="HA101" s="84"/>
      <c r="HB101" s="84"/>
      <c r="HC101" s="84"/>
      <c r="HD101" s="84"/>
      <c r="HE101" s="84"/>
      <c r="HF101" s="84"/>
      <c r="HG101" s="84"/>
      <c r="HH101" s="84"/>
      <c r="HI101" s="84"/>
      <c r="HJ101" s="84"/>
      <c r="HK101" s="84"/>
      <c r="HL101" s="84"/>
    </row>
    <row r="102" spans="1:220" s="85" customFormat="1" ht="16.5" customHeight="1" x14ac:dyDescent="0.15">
      <c r="A102" s="99"/>
      <c r="B102" s="91" t="s">
        <v>204</v>
      </c>
      <c r="C102" s="101"/>
      <c r="D102" s="80" t="s">
        <v>450</v>
      </c>
      <c r="E102" s="81"/>
      <c r="F102" s="81"/>
      <c r="G102" s="88" t="s">
        <v>477</v>
      </c>
      <c r="H102" s="82"/>
      <c r="I102" s="82"/>
      <c r="J102" s="81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  <c r="FU102" s="84"/>
      <c r="FV102" s="84"/>
      <c r="FW102" s="84"/>
      <c r="FX102" s="84"/>
      <c r="FY102" s="84"/>
      <c r="FZ102" s="84"/>
      <c r="GA102" s="84"/>
      <c r="GB102" s="84"/>
      <c r="GC102" s="84"/>
      <c r="GD102" s="84"/>
      <c r="GE102" s="84"/>
      <c r="GF102" s="84"/>
      <c r="GG102" s="84"/>
      <c r="GH102" s="84"/>
      <c r="GI102" s="84"/>
      <c r="GJ102" s="84"/>
      <c r="GK102" s="84"/>
      <c r="GL102" s="84"/>
      <c r="GM102" s="84"/>
      <c r="GN102" s="84"/>
      <c r="GO102" s="84"/>
      <c r="GP102" s="84"/>
      <c r="GQ102" s="84"/>
      <c r="GR102" s="84"/>
      <c r="GS102" s="84"/>
      <c r="GT102" s="84"/>
      <c r="GU102" s="84"/>
      <c r="GV102" s="84"/>
      <c r="GW102" s="84"/>
      <c r="GX102" s="84"/>
      <c r="GY102" s="84"/>
      <c r="GZ102" s="84"/>
      <c r="HA102" s="84"/>
      <c r="HB102" s="84"/>
      <c r="HC102" s="84"/>
      <c r="HD102" s="84"/>
      <c r="HE102" s="84"/>
      <c r="HF102" s="84"/>
      <c r="HG102" s="84"/>
      <c r="HH102" s="84"/>
      <c r="HI102" s="84"/>
      <c r="HJ102" s="84"/>
      <c r="HK102" s="84"/>
      <c r="HL102" s="84"/>
    </row>
    <row r="103" spans="1:220" s="85" customFormat="1" ht="16.5" customHeight="1" x14ac:dyDescent="0.15">
      <c r="A103" s="99"/>
      <c r="B103" s="91" t="s">
        <v>485</v>
      </c>
      <c r="C103" s="101"/>
      <c r="D103" s="80" t="s">
        <v>453</v>
      </c>
      <c r="E103" s="81"/>
      <c r="F103" s="81"/>
      <c r="G103" s="88" t="s">
        <v>477</v>
      </c>
      <c r="H103" s="82"/>
      <c r="I103" s="82"/>
      <c r="J103" s="81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  <c r="FU103" s="84"/>
      <c r="FV103" s="84"/>
      <c r="FW103" s="84"/>
      <c r="FX103" s="84"/>
      <c r="FY103" s="84"/>
      <c r="FZ103" s="84"/>
      <c r="GA103" s="84"/>
      <c r="GB103" s="84"/>
      <c r="GC103" s="84"/>
      <c r="GD103" s="84"/>
      <c r="GE103" s="84"/>
      <c r="GF103" s="84"/>
      <c r="GG103" s="84"/>
      <c r="GH103" s="84"/>
      <c r="GI103" s="84"/>
      <c r="GJ103" s="84"/>
      <c r="GK103" s="84"/>
      <c r="GL103" s="84"/>
      <c r="GM103" s="84"/>
      <c r="GN103" s="84"/>
      <c r="GO103" s="84"/>
      <c r="GP103" s="84"/>
      <c r="GQ103" s="84"/>
      <c r="GR103" s="84"/>
      <c r="GS103" s="84"/>
      <c r="GT103" s="84"/>
      <c r="GU103" s="84"/>
      <c r="GV103" s="84"/>
      <c r="GW103" s="84"/>
      <c r="GX103" s="84"/>
      <c r="GY103" s="84"/>
      <c r="GZ103" s="84"/>
      <c r="HA103" s="84"/>
      <c r="HB103" s="84"/>
      <c r="HC103" s="84"/>
      <c r="HD103" s="84"/>
      <c r="HE103" s="84"/>
      <c r="HF103" s="84"/>
      <c r="HG103" s="84"/>
      <c r="HH103" s="84"/>
      <c r="HI103" s="84"/>
      <c r="HJ103" s="84"/>
      <c r="HK103" s="84"/>
      <c r="HL103" s="84"/>
    </row>
    <row r="104" spans="1:220" s="85" customFormat="1" ht="16.5" customHeight="1" x14ac:dyDescent="0.15">
      <c r="A104" s="99"/>
      <c r="B104" s="91" t="s">
        <v>205</v>
      </c>
      <c r="C104" s="101"/>
      <c r="D104" s="80" t="s">
        <v>454</v>
      </c>
      <c r="E104" s="81"/>
      <c r="F104" s="81"/>
      <c r="G104" s="88" t="s">
        <v>477</v>
      </c>
      <c r="H104" s="82"/>
      <c r="I104" s="82"/>
      <c r="J104" s="81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  <c r="FU104" s="84"/>
      <c r="FV104" s="84"/>
      <c r="FW104" s="84"/>
      <c r="FX104" s="84"/>
      <c r="FY104" s="84"/>
      <c r="FZ104" s="84"/>
      <c r="GA104" s="84"/>
      <c r="GB104" s="84"/>
      <c r="GC104" s="84"/>
      <c r="GD104" s="84"/>
      <c r="GE104" s="84"/>
      <c r="GF104" s="84"/>
      <c r="GG104" s="84"/>
      <c r="GH104" s="84"/>
      <c r="GI104" s="84"/>
      <c r="GJ104" s="84"/>
      <c r="GK104" s="84"/>
      <c r="GL104" s="84"/>
      <c r="GM104" s="84"/>
      <c r="GN104" s="84"/>
      <c r="GO104" s="84"/>
      <c r="GP104" s="84"/>
      <c r="GQ104" s="84"/>
      <c r="GR104" s="84"/>
      <c r="GS104" s="84"/>
      <c r="GT104" s="84"/>
      <c r="GU104" s="84"/>
      <c r="GV104" s="84"/>
      <c r="GW104" s="84"/>
      <c r="GX104" s="84"/>
      <c r="GY104" s="84"/>
      <c r="GZ104" s="84"/>
      <c r="HA104" s="84"/>
      <c r="HB104" s="84"/>
      <c r="HC104" s="84"/>
      <c r="HD104" s="84"/>
      <c r="HE104" s="84"/>
      <c r="HF104" s="84"/>
      <c r="HG104" s="84"/>
      <c r="HH104" s="84"/>
      <c r="HI104" s="84"/>
      <c r="HJ104" s="84"/>
      <c r="HK104" s="84"/>
      <c r="HL104" s="84"/>
    </row>
    <row r="105" spans="1:220" s="85" customFormat="1" ht="16.5" customHeight="1" x14ac:dyDescent="0.15">
      <c r="A105" s="111"/>
      <c r="B105" s="91" t="s">
        <v>206</v>
      </c>
      <c r="C105" s="103"/>
      <c r="D105" s="80" t="s">
        <v>448</v>
      </c>
      <c r="E105" s="81"/>
      <c r="F105" s="81"/>
      <c r="G105" s="88" t="s">
        <v>477</v>
      </c>
      <c r="H105" s="82"/>
      <c r="I105" s="82"/>
      <c r="J105" s="81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  <c r="FU105" s="84"/>
      <c r="FV105" s="84"/>
      <c r="FW105" s="84"/>
      <c r="FX105" s="84"/>
      <c r="FY105" s="84"/>
      <c r="FZ105" s="84"/>
      <c r="GA105" s="84"/>
      <c r="GB105" s="84"/>
      <c r="GC105" s="84"/>
      <c r="GD105" s="84"/>
      <c r="GE105" s="84"/>
      <c r="GF105" s="84"/>
      <c r="GG105" s="84"/>
      <c r="GH105" s="84"/>
      <c r="GI105" s="84"/>
      <c r="GJ105" s="84"/>
      <c r="GK105" s="84"/>
      <c r="GL105" s="84"/>
      <c r="GM105" s="84"/>
      <c r="GN105" s="84"/>
      <c r="GO105" s="84"/>
      <c r="GP105" s="84"/>
      <c r="GQ105" s="84"/>
      <c r="GR105" s="84"/>
      <c r="GS105" s="84"/>
      <c r="GT105" s="84"/>
      <c r="GU105" s="84"/>
      <c r="GV105" s="84"/>
      <c r="GW105" s="84"/>
      <c r="GX105" s="84"/>
      <c r="GY105" s="84"/>
      <c r="GZ105" s="84"/>
      <c r="HA105" s="84"/>
      <c r="HB105" s="84"/>
      <c r="HC105" s="84"/>
      <c r="HD105" s="84"/>
      <c r="HE105" s="84"/>
      <c r="HF105" s="84"/>
      <c r="HG105" s="84"/>
      <c r="HH105" s="84"/>
      <c r="HI105" s="84"/>
      <c r="HJ105" s="84"/>
      <c r="HK105" s="84"/>
      <c r="HL105" s="84"/>
    </row>
    <row r="106" spans="1:220" ht="16.5" customHeight="1" x14ac:dyDescent="0.15">
      <c r="A106" s="98" t="s">
        <v>56</v>
      </c>
      <c r="B106" s="91" t="s">
        <v>207</v>
      </c>
      <c r="C106" s="121" t="s">
        <v>177</v>
      </c>
      <c r="D106" s="8" t="s">
        <v>178</v>
      </c>
      <c r="G106" s="88" t="s">
        <v>477</v>
      </c>
      <c r="H106" s="8"/>
    </row>
    <row r="107" spans="1:220" ht="16.5" customHeight="1" x14ac:dyDescent="0.15">
      <c r="A107" s="99"/>
      <c r="B107" s="91" t="s">
        <v>208</v>
      </c>
      <c r="C107" s="102"/>
      <c r="D107" s="8" t="s">
        <v>179</v>
      </c>
      <c r="G107" s="88" t="s">
        <v>477</v>
      </c>
      <c r="H107" s="8"/>
    </row>
    <row r="108" spans="1:220" s="53" customFormat="1" ht="16.5" customHeight="1" x14ac:dyDescent="0.15">
      <c r="A108" s="99"/>
      <c r="B108" s="91" t="s">
        <v>209</v>
      </c>
      <c r="C108" s="102"/>
      <c r="D108" s="53" t="s">
        <v>181</v>
      </c>
      <c r="G108" s="88" t="s">
        <v>477</v>
      </c>
      <c r="J108" s="59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0"/>
      <c r="CO108" s="60"/>
      <c r="CP108" s="60"/>
      <c r="CQ108" s="60"/>
      <c r="CR108" s="60"/>
      <c r="CS108" s="60"/>
      <c r="CT108" s="60"/>
      <c r="CU108" s="60"/>
      <c r="CV108" s="60"/>
      <c r="CW108" s="60"/>
      <c r="CX108" s="60"/>
      <c r="CY108" s="60"/>
      <c r="CZ108" s="60"/>
      <c r="DA108" s="60"/>
      <c r="DB108" s="60"/>
      <c r="DC108" s="60"/>
      <c r="DD108" s="60"/>
      <c r="DE108" s="60"/>
      <c r="DF108" s="60"/>
      <c r="DG108" s="60"/>
      <c r="DH108" s="60"/>
      <c r="DI108" s="60"/>
      <c r="DJ108" s="60"/>
      <c r="DK108" s="60"/>
      <c r="DL108" s="60"/>
      <c r="DM108" s="60"/>
      <c r="DN108" s="60"/>
      <c r="DO108" s="60"/>
      <c r="DP108" s="60"/>
      <c r="DQ108" s="60"/>
      <c r="DR108" s="60"/>
      <c r="DS108" s="60"/>
      <c r="DT108" s="60"/>
      <c r="DU108" s="60"/>
      <c r="DV108" s="60"/>
      <c r="DW108" s="60"/>
      <c r="DX108" s="60"/>
      <c r="DY108" s="60"/>
      <c r="DZ108" s="60"/>
      <c r="EA108" s="60"/>
      <c r="EB108" s="60"/>
      <c r="EC108" s="60"/>
      <c r="ED108" s="60"/>
      <c r="EE108" s="60"/>
      <c r="EF108" s="60"/>
      <c r="EG108" s="60"/>
      <c r="EH108" s="60"/>
      <c r="EI108" s="60"/>
      <c r="EJ108" s="60"/>
      <c r="EK108" s="60"/>
      <c r="EL108" s="60"/>
      <c r="EM108" s="60"/>
      <c r="EN108" s="60"/>
      <c r="EO108" s="60"/>
      <c r="EP108" s="60"/>
      <c r="EQ108" s="60"/>
      <c r="ER108" s="60"/>
      <c r="ES108" s="60"/>
      <c r="ET108" s="60"/>
      <c r="EU108" s="60"/>
      <c r="EV108" s="60"/>
      <c r="EW108" s="60"/>
      <c r="EX108" s="60"/>
      <c r="EY108" s="60"/>
      <c r="EZ108" s="60"/>
      <c r="FA108" s="60"/>
      <c r="FB108" s="60"/>
      <c r="FC108" s="60"/>
      <c r="FD108" s="60"/>
      <c r="FE108" s="60"/>
      <c r="FF108" s="60"/>
      <c r="FG108" s="60"/>
      <c r="FH108" s="60"/>
      <c r="FI108" s="60"/>
      <c r="FJ108" s="60"/>
      <c r="FK108" s="60"/>
      <c r="FL108" s="60"/>
      <c r="FM108" s="60"/>
      <c r="FN108" s="60"/>
      <c r="FO108" s="60"/>
      <c r="FP108" s="60"/>
      <c r="FQ108" s="60"/>
      <c r="FR108" s="60"/>
      <c r="FS108" s="60"/>
      <c r="FT108" s="60"/>
      <c r="FU108" s="60"/>
      <c r="FV108" s="60"/>
      <c r="FW108" s="60"/>
      <c r="FX108" s="60"/>
      <c r="FY108" s="60"/>
      <c r="FZ108" s="60"/>
      <c r="GA108" s="60"/>
      <c r="GB108" s="60"/>
      <c r="GC108" s="60"/>
      <c r="GD108" s="60"/>
      <c r="GE108" s="60"/>
      <c r="GF108" s="60"/>
      <c r="GG108" s="60"/>
      <c r="GH108" s="60"/>
      <c r="GI108" s="60"/>
      <c r="GJ108" s="60"/>
      <c r="GK108" s="60"/>
      <c r="GL108" s="60"/>
      <c r="GM108" s="60"/>
      <c r="GN108" s="60"/>
      <c r="GO108" s="60"/>
      <c r="GP108" s="60"/>
      <c r="GQ108" s="60"/>
      <c r="GR108" s="60"/>
      <c r="GS108" s="60"/>
      <c r="GT108" s="60"/>
      <c r="GU108" s="60"/>
      <c r="GV108" s="60"/>
      <c r="GW108" s="60"/>
      <c r="GX108" s="60"/>
      <c r="GY108" s="60"/>
      <c r="GZ108" s="60"/>
      <c r="HA108" s="60"/>
      <c r="HB108" s="60"/>
      <c r="HC108" s="60"/>
      <c r="HD108" s="60"/>
      <c r="HE108" s="60"/>
      <c r="HF108" s="60"/>
      <c r="HG108" s="60"/>
      <c r="HH108" s="60"/>
      <c r="HI108" s="60"/>
      <c r="HJ108" s="60"/>
      <c r="HK108" s="60"/>
      <c r="HL108" s="60"/>
    </row>
    <row r="109" spans="1:220" s="53" customFormat="1" ht="16.5" customHeight="1" x14ac:dyDescent="0.15">
      <c r="A109" s="99"/>
      <c r="B109" s="91" t="s">
        <v>210</v>
      </c>
      <c r="C109" s="102"/>
      <c r="D109" s="53" t="s">
        <v>182</v>
      </c>
      <c r="G109" s="88" t="s">
        <v>477</v>
      </c>
      <c r="J109" s="59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0"/>
      <c r="CO109" s="60"/>
      <c r="CP109" s="60"/>
      <c r="CQ109" s="60"/>
      <c r="CR109" s="60"/>
      <c r="CS109" s="60"/>
      <c r="CT109" s="60"/>
      <c r="CU109" s="60"/>
      <c r="CV109" s="60"/>
      <c r="CW109" s="60"/>
      <c r="CX109" s="60"/>
      <c r="CY109" s="60"/>
      <c r="CZ109" s="60"/>
      <c r="DA109" s="60"/>
      <c r="DB109" s="60"/>
      <c r="DC109" s="60"/>
      <c r="DD109" s="60"/>
      <c r="DE109" s="60"/>
      <c r="DF109" s="60"/>
      <c r="DG109" s="60"/>
      <c r="DH109" s="60"/>
      <c r="DI109" s="60"/>
      <c r="DJ109" s="60"/>
      <c r="DK109" s="60"/>
      <c r="DL109" s="60"/>
      <c r="DM109" s="60"/>
      <c r="DN109" s="60"/>
      <c r="DO109" s="60"/>
      <c r="DP109" s="60"/>
      <c r="DQ109" s="60"/>
      <c r="DR109" s="60"/>
      <c r="DS109" s="60"/>
      <c r="DT109" s="60"/>
      <c r="DU109" s="60"/>
      <c r="DV109" s="60"/>
      <c r="DW109" s="60"/>
      <c r="DX109" s="60"/>
      <c r="DY109" s="60"/>
      <c r="DZ109" s="60"/>
      <c r="EA109" s="60"/>
      <c r="EB109" s="60"/>
      <c r="EC109" s="60"/>
      <c r="ED109" s="60"/>
      <c r="EE109" s="60"/>
      <c r="EF109" s="60"/>
      <c r="EG109" s="60"/>
      <c r="EH109" s="60"/>
      <c r="EI109" s="60"/>
      <c r="EJ109" s="60"/>
      <c r="EK109" s="60"/>
      <c r="EL109" s="60"/>
      <c r="EM109" s="60"/>
      <c r="EN109" s="60"/>
      <c r="EO109" s="60"/>
      <c r="EP109" s="60"/>
      <c r="EQ109" s="60"/>
      <c r="ER109" s="60"/>
      <c r="ES109" s="60"/>
      <c r="ET109" s="60"/>
      <c r="EU109" s="60"/>
      <c r="EV109" s="60"/>
      <c r="EW109" s="60"/>
      <c r="EX109" s="60"/>
      <c r="EY109" s="60"/>
      <c r="EZ109" s="60"/>
      <c r="FA109" s="60"/>
      <c r="FB109" s="60"/>
      <c r="FC109" s="60"/>
      <c r="FD109" s="60"/>
      <c r="FE109" s="60"/>
      <c r="FF109" s="60"/>
      <c r="FG109" s="60"/>
      <c r="FH109" s="60"/>
      <c r="FI109" s="60"/>
      <c r="FJ109" s="60"/>
      <c r="FK109" s="60"/>
      <c r="FL109" s="60"/>
      <c r="FM109" s="60"/>
      <c r="FN109" s="60"/>
      <c r="FO109" s="60"/>
      <c r="FP109" s="60"/>
      <c r="FQ109" s="60"/>
      <c r="FR109" s="60"/>
      <c r="FS109" s="60"/>
      <c r="FT109" s="60"/>
      <c r="FU109" s="60"/>
      <c r="FV109" s="60"/>
      <c r="FW109" s="60"/>
      <c r="FX109" s="60"/>
      <c r="FY109" s="60"/>
      <c r="FZ109" s="60"/>
      <c r="GA109" s="60"/>
      <c r="GB109" s="60"/>
      <c r="GC109" s="60"/>
      <c r="GD109" s="60"/>
      <c r="GE109" s="60"/>
      <c r="GF109" s="60"/>
      <c r="GG109" s="60"/>
      <c r="GH109" s="60"/>
      <c r="GI109" s="60"/>
      <c r="GJ109" s="60"/>
      <c r="GK109" s="60"/>
      <c r="GL109" s="60"/>
      <c r="GM109" s="60"/>
      <c r="GN109" s="60"/>
      <c r="GO109" s="60"/>
      <c r="GP109" s="60"/>
      <c r="GQ109" s="60"/>
      <c r="GR109" s="60"/>
      <c r="GS109" s="60"/>
      <c r="GT109" s="60"/>
      <c r="GU109" s="60"/>
      <c r="GV109" s="60"/>
      <c r="GW109" s="60"/>
      <c r="GX109" s="60"/>
      <c r="GY109" s="60"/>
      <c r="GZ109" s="60"/>
      <c r="HA109" s="60"/>
      <c r="HB109" s="60"/>
      <c r="HC109" s="60"/>
      <c r="HD109" s="60"/>
      <c r="HE109" s="60"/>
      <c r="HF109" s="60"/>
      <c r="HG109" s="60"/>
      <c r="HH109" s="60"/>
      <c r="HI109" s="60"/>
      <c r="HJ109" s="60"/>
      <c r="HK109" s="60"/>
      <c r="HL109" s="60"/>
    </row>
    <row r="110" spans="1:220" s="53" customFormat="1" ht="16.5" customHeight="1" x14ac:dyDescent="0.15">
      <c r="A110" s="99"/>
      <c r="B110" s="91" t="s">
        <v>708</v>
      </c>
      <c r="C110" s="102"/>
      <c r="D110" s="53" t="s">
        <v>183</v>
      </c>
      <c r="G110" s="88" t="s">
        <v>477</v>
      </c>
      <c r="J110" s="59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0"/>
      <c r="CO110" s="60"/>
      <c r="CP110" s="60"/>
      <c r="CQ110" s="60"/>
      <c r="CR110" s="60"/>
      <c r="CS110" s="60"/>
      <c r="CT110" s="60"/>
      <c r="CU110" s="60"/>
      <c r="CV110" s="60"/>
      <c r="CW110" s="60"/>
      <c r="CX110" s="60"/>
      <c r="CY110" s="60"/>
      <c r="CZ110" s="60"/>
      <c r="DA110" s="60"/>
      <c r="DB110" s="60"/>
      <c r="DC110" s="60"/>
      <c r="DD110" s="60"/>
      <c r="DE110" s="60"/>
      <c r="DF110" s="60"/>
      <c r="DG110" s="60"/>
      <c r="DH110" s="60"/>
      <c r="DI110" s="60"/>
      <c r="DJ110" s="60"/>
      <c r="DK110" s="60"/>
      <c r="DL110" s="60"/>
      <c r="DM110" s="60"/>
      <c r="DN110" s="60"/>
      <c r="DO110" s="60"/>
      <c r="DP110" s="60"/>
      <c r="DQ110" s="60"/>
      <c r="DR110" s="60"/>
      <c r="DS110" s="60"/>
      <c r="DT110" s="60"/>
      <c r="DU110" s="60"/>
      <c r="DV110" s="60"/>
      <c r="DW110" s="60"/>
      <c r="DX110" s="60"/>
      <c r="DY110" s="60"/>
      <c r="DZ110" s="60"/>
      <c r="EA110" s="60"/>
      <c r="EB110" s="60"/>
      <c r="EC110" s="60"/>
      <c r="ED110" s="60"/>
      <c r="EE110" s="60"/>
      <c r="EF110" s="60"/>
      <c r="EG110" s="60"/>
      <c r="EH110" s="60"/>
      <c r="EI110" s="60"/>
      <c r="EJ110" s="60"/>
      <c r="EK110" s="60"/>
      <c r="EL110" s="60"/>
      <c r="EM110" s="60"/>
      <c r="EN110" s="60"/>
      <c r="EO110" s="60"/>
      <c r="EP110" s="60"/>
      <c r="EQ110" s="60"/>
      <c r="ER110" s="60"/>
      <c r="ES110" s="60"/>
      <c r="ET110" s="60"/>
      <c r="EU110" s="60"/>
      <c r="EV110" s="60"/>
      <c r="EW110" s="60"/>
      <c r="EX110" s="60"/>
      <c r="EY110" s="60"/>
      <c r="EZ110" s="60"/>
      <c r="FA110" s="60"/>
      <c r="FB110" s="60"/>
      <c r="FC110" s="60"/>
      <c r="FD110" s="60"/>
      <c r="FE110" s="60"/>
      <c r="FF110" s="60"/>
      <c r="FG110" s="60"/>
      <c r="FH110" s="60"/>
      <c r="FI110" s="60"/>
      <c r="FJ110" s="60"/>
      <c r="FK110" s="60"/>
      <c r="FL110" s="60"/>
      <c r="FM110" s="60"/>
      <c r="FN110" s="60"/>
      <c r="FO110" s="60"/>
      <c r="FP110" s="60"/>
      <c r="FQ110" s="60"/>
      <c r="FR110" s="60"/>
      <c r="FS110" s="60"/>
      <c r="FT110" s="60"/>
      <c r="FU110" s="60"/>
      <c r="FV110" s="60"/>
      <c r="FW110" s="60"/>
      <c r="FX110" s="60"/>
      <c r="FY110" s="60"/>
      <c r="FZ110" s="60"/>
      <c r="GA110" s="60"/>
      <c r="GB110" s="60"/>
      <c r="GC110" s="60"/>
      <c r="GD110" s="60"/>
      <c r="GE110" s="60"/>
      <c r="GF110" s="60"/>
      <c r="GG110" s="60"/>
      <c r="GH110" s="60"/>
      <c r="GI110" s="60"/>
      <c r="GJ110" s="60"/>
      <c r="GK110" s="60"/>
      <c r="GL110" s="60"/>
      <c r="GM110" s="60"/>
      <c r="GN110" s="60"/>
      <c r="GO110" s="60"/>
      <c r="GP110" s="60"/>
      <c r="GQ110" s="60"/>
      <c r="GR110" s="60"/>
      <c r="GS110" s="60"/>
      <c r="GT110" s="60"/>
      <c r="GU110" s="60"/>
      <c r="GV110" s="60"/>
      <c r="GW110" s="60"/>
      <c r="GX110" s="60"/>
      <c r="GY110" s="60"/>
      <c r="GZ110" s="60"/>
      <c r="HA110" s="60"/>
      <c r="HB110" s="60"/>
      <c r="HC110" s="60"/>
      <c r="HD110" s="60"/>
      <c r="HE110" s="60"/>
      <c r="HF110" s="60"/>
      <c r="HG110" s="60"/>
      <c r="HH110" s="60"/>
      <c r="HI110" s="60"/>
      <c r="HJ110" s="60"/>
      <c r="HK110" s="60"/>
      <c r="HL110" s="60"/>
    </row>
    <row r="111" spans="1:220" s="53" customFormat="1" ht="16.5" customHeight="1" x14ac:dyDescent="0.15">
      <c r="A111" s="111"/>
      <c r="B111" s="91" t="s">
        <v>211</v>
      </c>
      <c r="C111" s="122"/>
      <c r="D111" s="53" t="s">
        <v>184</v>
      </c>
      <c r="G111" s="88" t="s">
        <v>477</v>
      </c>
      <c r="J111" s="59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0"/>
      <c r="CO111" s="60"/>
      <c r="CP111" s="60"/>
      <c r="CQ111" s="60"/>
      <c r="CR111" s="60"/>
      <c r="CS111" s="60"/>
      <c r="CT111" s="60"/>
      <c r="CU111" s="60"/>
      <c r="CV111" s="60"/>
      <c r="CW111" s="60"/>
      <c r="CX111" s="60"/>
      <c r="CY111" s="60"/>
      <c r="CZ111" s="60"/>
      <c r="DA111" s="60"/>
      <c r="DB111" s="60"/>
      <c r="DC111" s="60"/>
      <c r="DD111" s="60"/>
      <c r="DE111" s="60"/>
      <c r="DF111" s="60"/>
      <c r="DG111" s="60"/>
      <c r="DH111" s="60"/>
      <c r="DI111" s="60"/>
      <c r="DJ111" s="60"/>
      <c r="DK111" s="60"/>
      <c r="DL111" s="60"/>
      <c r="DM111" s="60"/>
      <c r="DN111" s="60"/>
      <c r="DO111" s="60"/>
      <c r="DP111" s="60"/>
      <c r="DQ111" s="60"/>
      <c r="DR111" s="60"/>
      <c r="DS111" s="60"/>
      <c r="DT111" s="60"/>
      <c r="DU111" s="60"/>
      <c r="DV111" s="60"/>
      <c r="DW111" s="60"/>
      <c r="DX111" s="60"/>
      <c r="DY111" s="60"/>
      <c r="DZ111" s="60"/>
      <c r="EA111" s="60"/>
      <c r="EB111" s="60"/>
      <c r="EC111" s="60"/>
      <c r="ED111" s="60"/>
      <c r="EE111" s="60"/>
      <c r="EF111" s="60"/>
      <c r="EG111" s="60"/>
      <c r="EH111" s="60"/>
      <c r="EI111" s="60"/>
      <c r="EJ111" s="60"/>
      <c r="EK111" s="60"/>
      <c r="EL111" s="60"/>
      <c r="EM111" s="60"/>
      <c r="EN111" s="60"/>
      <c r="EO111" s="60"/>
      <c r="EP111" s="60"/>
      <c r="EQ111" s="60"/>
      <c r="ER111" s="60"/>
      <c r="ES111" s="60"/>
      <c r="ET111" s="60"/>
      <c r="EU111" s="60"/>
      <c r="EV111" s="60"/>
      <c r="EW111" s="60"/>
      <c r="EX111" s="60"/>
      <c r="EY111" s="60"/>
      <c r="EZ111" s="60"/>
      <c r="FA111" s="60"/>
      <c r="FB111" s="60"/>
      <c r="FC111" s="60"/>
      <c r="FD111" s="60"/>
      <c r="FE111" s="60"/>
      <c r="FF111" s="60"/>
      <c r="FG111" s="60"/>
      <c r="FH111" s="60"/>
      <c r="FI111" s="60"/>
      <c r="FJ111" s="60"/>
      <c r="FK111" s="60"/>
      <c r="FL111" s="60"/>
      <c r="FM111" s="60"/>
      <c r="FN111" s="60"/>
      <c r="FO111" s="60"/>
      <c r="FP111" s="60"/>
      <c r="FQ111" s="60"/>
      <c r="FR111" s="60"/>
      <c r="FS111" s="60"/>
      <c r="FT111" s="60"/>
      <c r="FU111" s="60"/>
      <c r="FV111" s="60"/>
      <c r="FW111" s="60"/>
      <c r="FX111" s="60"/>
      <c r="FY111" s="60"/>
      <c r="FZ111" s="60"/>
      <c r="GA111" s="60"/>
      <c r="GB111" s="60"/>
      <c r="GC111" s="60"/>
      <c r="GD111" s="60"/>
      <c r="GE111" s="60"/>
      <c r="GF111" s="60"/>
      <c r="GG111" s="60"/>
      <c r="GH111" s="60"/>
      <c r="GI111" s="60"/>
      <c r="GJ111" s="60"/>
      <c r="GK111" s="60"/>
      <c r="GL111" s="60"/>
      <c r="GM111" s="60"/>
      <c r="GN111" s="60"/>
      <c r="GO111" s="60"/>
      <c r="GP111" s="60"/>
      <c r="GQ111" s="60"/>
      <c r="GR111" s="60"/>
      <c r="GS111" s="60"/>
      <c r="GT111" s="60"/>
      <c r="GU111" s="60"/>
      <c r="GV111" s="60"/>
      <c r="GW111" s="60"/>
      <c r="GX111" s="60"/>
      <c r="GY111" s="60"/>
      <c r="GZ111" s="60"/>
      <c r="HA111" s="60"/>
      <c r="HB111" s="60"/>
      <c r="HC111" s="60"/>
      <c r="HD111" s="60"/>
      <c r="HE111" s="60"/>
      <c r="HF111" s="60"/>
      <c r="HG111" s="60"/>
      <c r="HH111" s="60"/>
      <c r="HI111" s="60"/>
      <c r="HJ111" s="60"/>
      <c r="HK111" s="60"/>
      <c r="HL111" s="60"/>
    </row>
    <row r="112" spans="1:220" s="20" customFormat="1" x14ac:dyDescent="0.15">
      <c r="A112" s="104" t="s">
        <v>43</v>
      </c>
      <c r="B112" s="105"/>
      <c r="C112" s="105"/>
      <c r="D112" s="105"/>
      <c r="E112" s="105"/>
      <c r="F112" s="105"/>
      <c r="G112" s="105"/>
      <c r="H112" s="105"/>
      <c r="I112" s="105"/>
      <c r="J112" s="10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</row>
    <row r="113" spans="1:220" ht="13.5" customHeight="1" x14ac:dyDescent="0.15">
      <c r="A113" s="12" t="s">
        <v>28</v>
      </c>
      <c r="B113" s="49" t="s">
        <v>29</v>
      </c>
      <c r="C113" s="13" t="s">
        <v>0</v>
      </c>
      <c r="D113" s="7" t="s">
        <v>30</v>
      </c>
      <c r="E113" s="49" t="s">
        <v>31</v>
      </c>
      <c r="F113" s="49" t="s">
        <v>32</v>
      </c>
      <c r="G113" s="107" t="s">
        <v>35</v>
      </c>
      <c r="H113" s="107"/>
      <c r="I113" s="107"/>
      <c r="J113" s="29" t="s">
        <v>10</v>
      </c>
    </row>
    <row r="114" spans="1:220" ht="16.5" customHeight="1" x14ac:dyDescent="0.15">
      <c r="A114" s="98" t="s">
        <v>185</v>
      </c>
      <c r="B114" s="58" t="s">
        <v>709</v>
      </c>
      <c r="C114" s="100" t="s">
        <v>390</v>
      </c>
      <c r="D114" s="1" t="s">
        <v>391</v>
      </c>
      <c r="G114" s="88" t="s">
        <v>477</v>
      </c>
      <c r="H114" s="14"/>
      <c r="I114" s="14"/>
    </row>
    <row r="115" spans="1:220" s="61" customFormat="1" ht="16.5" customHeight="1" x14ac:dyDescent="0.15">
      <c r="A115" s="99"/>
      <c r="B115" s="91" t="s">
        <v>212</v>
      </c>
      <c r="C115" s="101"/>
      <c r="D115" s="64" t="s">
        <v>392</v>
      </c>
      <c r="E115" s="53"/>
      <c r="F115" s="53"/>
      <c r="G115" s="88" t="s">
        <v>477</v>
      </c>
      <c r="H115" s="54"/>
      <c r="I115" s="54"/>
      <c r="J115" s="5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0"/>
      <c r="CO115" s="60"/>
      <c r="CP115" s="60"/>
      <c r="CQ115" s="60"/>
      <c r="CR115" s="60"/>
      <c r="CS115" s="60"/>
      <c r="CT115" s="60"/>
      <c r="CU115" s="60"/>
      <c r="CV115" s="60"/>
      <c r="CW115" s="60"/>
      <c r="CX115" s="60"/>
      <c r="CY115" s="60"/>
      <c r="CZ115" s="60"/>
      <c r="DA115" s="60"/>
      <c r="DB115" s="60"/>
      <c r="DC115" s="60"/>
      <c r="DD115" s="60"/>
      <c r="DE115" s="60"/>
      <c r="DF115" s="60"/>
      <c r="DG115" s="60"/>
      <c r="DH115" s="60"/>
      <c r="DI115" s="60"/>
      <c r="DJ115" s="60"/>
      <c r="DK115" s="60"/>
      <c r="DL115" s="60"/>
      <c r="DM115" s="60"/>
      <c r="DN115" s="60"/>
      <c r="DO115" s="60"/>
      <c r="DP115" s="60"/>
      <c r="DQ115" s="60"/>
      <c r="DR115" s="60"/>
      <c r="DS115" s="60"/>
      <c r="DT115" s="60"/>
      <c r="DU115" s="60"/>
      <c r="DV115" s="60"/>
      <c r="DW115" s="60"/>
      <c r="DX115" s="60"/>
      <c r="DY115" s="60"/>
      <c r="DZ115" s="60"/>
      <c r="EA115" s="60"/>
      <c r="EB115" s="60"/>
      <c r="EC115" s="60"/>
      <c r="ED115" s="60"/>
      <c r="EE115" s="60"/>
      <c r="EF115" s="60"/>
      <c r="EG115" s="60"/>
      <c r="EH115" s="60"/>
      <c r="EI115" s="60"/>
      <c r="EJ115" s="60"/>
      <c r="EK115" s="60"/>
      <c r="EL115" s="60"/>
      <c r="EM115" s="60"/>
      <c r="EN115" s="60"/>
      <c r="EO115" s="60"/>
      <c r="EP115" s="60"/>
      <c r="EQ115" s="60"/>
      <c r="ER115" s="60"/>
      <c r="ES115" s="60"/>
      <c r="ET115" s="60"/>
      <c r="EU115" s="60"/>
      <c r="EV115" s="60"/>
      <c r="EW115" s="60"/>
      <c r="EX115" s="60"/>
      <c r="EY115" s="60"/>
      <c r="EZ115" s="60"/>
      <c r="FA115" s="60"/>
      <c r="FB115" s="60"/>
      <c r="FC115" s="60"/>
      <c r="FD115" s="60"/>
      <c r="FE115" s="60"/>
      <c r="FF115" s="60"/>
      <c r="FG115" s="60"/>
      <c r="FH115" s="60"/>
      <c r="FI115" s="60"/>
      <c r="FJ115" s="60"/>
      <c r="FK115" s="60"/>
      <c r="FL115" s="60"/>
      <c r="FM115" s="60"/>
      <c r="FN115" s="60"/>
      <c r="FO115" s="60"/>
      <c r="FP115" s="60"/>
      <c r="FQ115" s="60"/>
      <c r="FR115" s="60"/>
      <c r="FS115" s="60"/>
      <c r="FT115" s="60"/>
      <c r="FU115" s="60"/>
      <c r="FV115" s="60"/>
      <c r="FW115" s="60"/>
      <c r="FX115" s="60"/>
      <c r="FY115" s="60"/>
      <c r="FZ115" s="60"/>
      <c r="GA115" s="60"/>
      <c r="GB115" s="60"/>
      <c r="GC115" s="60"/>
      <c r="GD115" s="60"/>
      <c r="GE115" s="60"/>
      <c r="GF115" s="60"/>
      <c r="GG115" s="60"/>
      <c r="GH115" s="60"/>
      <c r="GI115" s="60"/>
      <c r="GJ115" s="60"/>
      <c r="GK115" s="60"/>
      <c r="GL115" s="60"/>
      <c r="GM115" s="60"/>
      <c r="GN115" s="60"/>
      <c r="GO115" s="60"/>
      <c r="GP115" s="60"/>
      <c r="GQ115" s="60"/>
      <c r="GR115" s="60"/>
      <c r="GS115" s="60"/>
      <c r="GT115" s="60"/>
      <c r="GU115" s="60"/>
      <c r="GV115" s="60"/>
      <c r="GW115" s="60"/>
      <c r="GX115" s="60"/>
      <c r="GY115" s="60"/>
      <c r="GZ115" s="60"/>
      <c r="HA115" s="60"/>
      <c r="HB115" s="60"/>
      <c r="HC115" s="60"/>
      <c r="HD115" s="60"/>
      <c r="HE115" s="60"/>
      <c r="HF115" s="60"/>
      <c r="HG115" s="60"/>
      <c r="HH115" s="60"/>
      <c r="HI115" s="60"/>
      <c r="HJ115" s="60"/>
      <c r="HK115" s="60"/>
      <c r="HL115" s="60"/>
    </row>
    <row r="116" spans="1:220" s="57" customFormat="1" ht="16.5" customHeight="1" x14ac:dyDescent="0.15">
      <c r="A116" s="99"/>
      <c r="B116" s="91" t="s">
        <v>213</v>
      </c>
      <c r="C116" s="101"/>
      <c r="D116" s="64" t="s">
        <v>393</v>
      </c>
      <c r="E116" s="53"/>
      <c r="F116" s="53"/>
      <c r="G116" s="88" t="s">
        <v>477</v>
      </c>
      <c r="H116" s="54"/>
      <c r="I116" s="54"/>
      <c r="J116" s="59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  <c r="GG116" s="56"/>
      <c r="GH116" s="56"/>
      <c r="GI116" s="56"/>
      <c r="GJ116" s="56"/>
      <c r="GK116" s="56"/>
      <c r="GL116" s="56"/>
      <c r="GM116" s="56"/>
      <c r="GN116" s="56"/>
      <c r="GO116" s="56"/>
      <c r="GP116" s="56"/>
      <c r="GQ116" s="56"/>
      <c r="GR116" s="56"/>
      <c r="GS116" s="56"/>
      <c r="GT116" s="56"/>
      <c r="GU116" s="56"/>
      <c r="GV116" s="56"/>
      <c r="GW116" s="56"/>
      <c r="GX116" s="56"/>
      <c r="GY116" s="56"/>
      <c r="GZ116" s="56"/>
      <c r="HA116" s="56"/>
      <c r="HB116" s="56"/>
      <c r="HC116" s="56"/>
      <c r="HD116" s="56"/>
      <c r="HE116" s="56"/>
      <c r="HF116" s="56"/>
      <c r="HG116" s="56"/>
      <c r="HH116" s="56"/>
      <c r="HI116" s="56"/>
      <c r="HJ116" s="56"/>
      <c r="HK116" s="56"/>
      <c r="HL116" s="56"/>
    </row>
    <row r="117" spans="1:220" s="53" customFormat="1" ht="16.5" customHeight="1" x14ac:dyDescent="0.15">
      <c r="A117" s="99"/>
      <c r="B117" s="91" t="s">
        <v>214</v>
      </c>
      <c r="C117" s="101"/>
      <c r="D117" s="53" t="s">
        <v>394</v>
      </c>
      <c r="G117" s="88" t="s">
        <v>477</v>
      </c>
      <c r="J117" s="59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0"/>
      <c r="BU117" s="60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0"/>
      <c r="CO117" s="60"/>
      <c r="CP117" s="60"/>
      <c r="CQ117" s="60"/>
      <c r="CR117" s="60"/>
      <c r="CS117" s="60"/>
      <c r="CT117" s="60"/>
      <c r="CU117" s="60"/>
      <c r="CV117" s="60"/>
      <c r="CW117" s="60"/>
      <c r="CX117" s="60"/>
      <c r="CY117" s="60"/>
      <c r="CZ117" s="60"/>
      <c r="DA117" s="60"/>
      <c r="DB117" s="60"/>
      <c r="DC117" s="60"/>
      <c r="DD117" s="60"/>
      <c r="DE117" s="60"/>
      <c r="DF117" s="60"/>
      <c r="DG117" s="60"/>
      <c r="DH117" s="60"/>
      <c r="DI117" s="60"/>
      <c r="DJ117" s="60"/>
      <c r="DK117" s="60"/>
      <c r="DL117" s="60"/>
      <c r="DM117" s="60"/>
      <c r="DN117" s="60"/>
      <c r="DO117" s="60"/>
      <c r="DP117" s="60"/>
      <c r="DQ117" s="60"/>
      <c r="DR117" s="60"/>
      <c r="DS117" s="60"/>
      <c r="DT117" s="60"/>
      <c r="DU117" s="60"/>
      <c r="DV117" s="60"/>
      <c r="DW117" s="60"/>
      <c r="DX117" s="60"/>
      <c r="DY117" s="60"/>
      <c r="DZ117" s="60"/>
      <c r="EA117" s="60"/>
      <c r="EB117" s="60"/>
      <c r="EC117" s="60"/>
      <c r="ED117" s="60"/>
      <c r="EE117" s="60"/>
      <c r="EF117" s="60"/>
      <c r="EG117" s="60"/>
      <c r="EH117" s="60"/>
      <c r="EI117" s="60"/>
      <c r="EJ117" s="60"/>
      <c r="EK117" s="60"/>
      <c r="EL117" s="60"/>
      <c r="EM117" s="60"/>
      <c r="EN117" s="60"/>
      <c r="EO117" s="60"/>
      <c r="EP117" s="60"/>
      <c r="EQ117" s="60"/>
      <c r="ER117" s="60"/>
      <c r="ES117" s="60"/>
      <c r="ET117" s="60"/>
      <c r="EU117" s="60"/>
      <c r="EV117" s="60"/>
      <c r="EW117" s="60"/>
      <c r="EX117" s="60"/>
      <c r="EY117" s="60"/>
      <c r="EZ117" s="60"/>
      <c r="FA117" s="60"/>
      <c r="FB117" s="60"/>
      <c r="FC117" s="60"/>
      <c r="FD117" s="60"/>
      <c r="FE117" s="60"/>
      <c r="FF117" s="60"/>
      <c r="FG117" s="60"/>
      <c r="FH117" s="60"/>
      <c r="FI117" s="60"/>
      <c r="FJ117" s="60"/>
      <c r="FK117" s="60"/>
      <c r="FL117" s="60"/>
      <c r="FM117" s="60"/>
      <c r="FN117" s="60"/>
      <c r="FO117" s="60"/>
      <c r="FP117" s="60"/>
      <c r="FQ117" s="60"/>
      <c r="FR117" s="60"/>
      <c r="FS117" s="60"/>
      <c r="FT117" s="60"/>
      <c r="FU117" s="60"/>
      <c r="FV117" s="60"/>
      <c r="FW117" s="60"/>
      <c r="FX117" s="60"/>
      <c r="FY117" s="60"/>
      <c r="FZ117" s="60"/>
      <c r="GA117" s="60"/>
      <c r="GB117" s="60"/>
      <c r="GC117" s="60"/>
      <c r="GD117" s="60"/>
      <c r="GE117" s="60"/>
      <c r="GF117" s="60"/>
      <c r="GG117" s="60"/>
      <c r="GH117" s="60"/>
      <c r="GI117" s="60"/>
      <c r="GJ117" s="60"/>
      <c r="GK117" s="60"/>
      <c r="GL117" s="60"/>
      <c r="GM117" s="60"/>
      <c r="GN117" s="60"/>
      <c r="GO117" s="60"/>
      <c r="GP117" s="60"/>
      <c r="GQ117" s="60"/>
      <c r="GR117" s="60"/>
      <c r="GS117" s="60"/>
      <c r="GT117" s="60"/>
      <c r="GU117" s="60"/>
      <c r="GV117" s="60"/>
      <c r="GW117" s="60"/>
      <c r="GX117" s="60"/>
      <c r="GY117" s="60"/>
      <c r="GZ117" s="60"/>
      <c r="HA117" s="60"/>
      <c r="HB117" s="60"/>
      <c r="HC117" s="60"/>
      <c r="HD117" s="60"/>
      <c r="HE117" s="60"/>
      <c r="HF117" s="60"/>
      <c r="HG117" s="60"/>
      <c r="HH117" s="60"/>
      <c r="HI117" s="60"/>
      <c r="HJ117" s="60"/>
      <c r="HK117" s="60"/>
      <c r="HL117" s="60"/>
    </row>
    <row r="118" spans="1:220" s="61" customFormat="1" ht="16.5" customHeight="1" x14ac:dyDescent="0.15">
      <c r="A118" s="99"/>
      <c r="B118" s="91" t="s">
        <v>215</v>
      </c>
      <c r="C118" s="101"/>
      <c r="D118" s="53" t="s">
        <v>395</v>
      </c>
      <c r="E118" s="53"/>
      <c r="F118" s="53"/>
      <c r="G118" s="88" t="s">
        <v>477</v>
      </c>
      <c r="H118" s="53"/>
      <c r="I118" s="53"/>
      <c r="J118" s="59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60"/>
      <c r="BR118" s="60"/>
      <c r="BS118" s="60"/>
      <c r="BT118" s="60"/>
      <c r="BU118" s="60"/>
      <c r="BV118" s="60"/>
      <c r="BW118" s="60"/>
      <c r="BX118" s="60"/>
      <c r="BY118" s="60"/>
      <c r="BZ118" s="60"/>
      <c r="CA118" s="60"/>
      <c r="CB118" s="60"/>
      <c r="CC118" s="60"/>
      <c r="CD118" s="60"/>
      <c r="CE118" s="60"/>
      <c r="CF118" s="60"/>
      <c r="CG118" s="60"/>
      <c r="CH118" s="60"/>
      <c r="CI118" s="60"/>
      <c r="CJ118" s="60"/>
      <c r="CK118" s="60"/>
      <c r="CL118" s="60"/>
      <c r="CM118" s="60"/>
      <c r="CN118" s="60"/>
      <c r="CO118" s="60"/>
      <c r="CP118" s="60"/>
      <c r="CQ118" s="60"/>
      <c r="CR118" s="60"/>
      <c r="CS118" s="60"/>
      <c r="CT118" s="60"/>
      <c r="CU118" s="60"/>
      <c r="CV118" s="60"/>
      <c r="CW118" s="60"/>
      <c r="CX118" s="60"/>
      <c r="CY118" s="60"/>
      <c r="CZ118" s="60"/>
      <c r="DA118" s="60"/>
      <c r="DB118" s="60"/>
      <c r="DC118" s="60"/>
      <c r="DD118" s="60"/>
      <c r="DE118" s="60"/>
      <c r="DF118" s="60"/>
      <c r="DG118" s="60"/>
      <c r="DH118" s="60"/>
      <c r="DI118" s="60"/>
      <c r="DJ118" s="60"/>
      <c r="DK118" s="60"/>
      <c r="DL118" s="60"/>
      <c r="DM118" s="60"/>
      <c r="DN118" s="60"/>
      <c r="DO118" s="60"/>
      <c r="DP118" s="60"/>
      <c r="DQ118" s="60"/>
      <c r="DR118" s="60"/>
      <c r="DS118" s="60"/>
      <c r="DT118" s="60"/>
      <c r="DU118" s="60"/>
      <c r="DV118" s="60"/>
      <c r="DW118" s="60"/>
      <c r="DX118" s="60"/>
      <c r="DY118" s="60"/>
      <c r="DZ118" s="60"/>
      <c r="EA118" s="60"/>
      <c r="EB118" s="60"/>
      <c r="EC118" s="60"/>
      <c r="ED118" s="60"/>
      <c r="EE118" s="60"/>
      <c r="EF118" s="60"/>
      <c r="EG118" s="60"/>
      <c r="EH118" s="60"/>
      <c r="EI118" s="60"/>
      <c r="EJ118" s="60"/>
      <c r="EK118" s="60"/>
      <c r="EL118" s="60"/>
      <c r="EM118" s="60"/>
      <c r="EN118" s="60"/>
      <c r="EO118" s="60"/>
      <c r="EP118" s="60"/>
      <c r="EQ118" s="60"/>
      <c r="ER118" s="60"/>
      <c r="ES118" s="60"/>
      <c r="ET118" s="60"/>
      <c r="EU118" s="60"/>
      <c r="EV118" s="60"/>
      <c r="EW118" s="60"/>
      <c r="EX118" s="60"/>
      <c r="EY118" s="60"/>
      <c r="EZ118" s="60"/>
      <c r="FA118" s="60"/>
      <c r="FB118" s="60"/>
      <c r="FC118" s="60"/>
      <c r="FD118" s="60"/>
      <c r="FE118" s="60"/>
      <c r="FF118" s="60"/>
      <c r="FG118" s="60"/>
      <c r="FH118" s="60"/>
      <c r="FI118" s="60"/>
      <c r="FJ118" s="60"/>
      <c r="FK118" s="60"/>
      <c r="FL118" s="60"/>
      <c r="FM118" s="60"/>
      <c r="FN118" s="60"/>
      <c r="FO118" s="60"/>
      <c r="FP118" s="60"/>
      <c r="FQ118" s="60"/>
      <c r="FR118" s="60"/>
      <c r="FS118" s="60"/>
      <c r="FT118" s="60"/>
      <c r="FU118" s="60"/>
      <c r="FV118" s="60"/>
      <c r="FW118" s="60"/>
      <c r="FX118" s="60"/>
      <c r="FY118" s="60"/>
      <c r="FZ118" s="60"/>
      <c r="GA118" s="60"/>
      <c r="GB118" s="60"/>
      <c r="GC118" s="60"/>
      <c r="GD118" s="60"/>
      <c r="GE118" s="60"/>
      <c r="GF118" s="60"/>
      <c r="GG118" s="60"/>
      <c r="GH118" s="60"/>
      <c r="GI118" s="60"/>
      <c r="GJ118" s="60"/>
      <c r="GK118" s="60"/>
      <c r="GL118" s="60"/>
      <c r="GM118" s="60"/>
      <c r="GN118" s="60"/>
      <c r="GO118" s="60"/>
      <c r="GP118" s="60"/>
      <c r="GQ118" s="60"/>
      <c r="GR118" s="60"/>
      <c r="GS118" s="60"/>
      <c r="GT118" s="60"/>
      <c r="GU118" s="60"/>
      <c r="GV118" s="60"/>
      <c r="GW118" s="60"/>
      <c r="GX118" s="60"/>
      <c r="GY118" s="60"/>
      <c r="GZ118" s="60"/>
      <c r="HA118" s="60"/>
      <c r="HB118" s="60"/>
      <c r="HC118" s="60"/>
      <c r="HD118" s="60"/>
      <c r="HE118" s="60"/>
      <c r="HF118" s="60"/>
      <c r="HG118" s="60"/>
      <c r="HH118" s="60"/>
      <c r="HI118" s="60"/>
      <c r="HJ118" s="60"/>
      <c r="HK118" s="60"/>
      <c r="HL118" s="60"/>
    </row>
    <row r="119" spans="1:220" s="57" customFormat="1" ht="34.5" customHeight="1" x14ac:dyDescent="0.15">
      <c r="A119" s="99"/>
      <c r="B119" s="91" t="s">
        <v>216</v>
      </c>
      <c r="C119" s="64" t="s">
        <v>396</v>
      </c>
      <c r="D119" s="64" t="s">
        <v>397</v>
      </c>
      <c r="E119" s="53"/>
      <c r="F119" s="53"/>
      <c r="G119" s="88" t="s">
        <v>477</v>
      </c>
      <c r="H119" s="54"/>
      <c r="I119" s="54"/>
      <c r="J119" s="59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  <c r="EL119" s="56"/>
      <c r="EM119" s="56"/>
      <c r="EN119" s="56"/>
      <c r="EO119" s="56"/>
      <c r="EP119" s="56"/>
      <c r="EQ119" s="56"/>
      <c r="ER119" s="56"/>
      <c r="ES119" s="56"/>
      <c r="ET119" s="56"/>
      <c r="EU119" s="56"/>
      <c r="EV119" s="56"/>
      <c r="EW119" s="56"/>
      <c r="EX119" s="56"/>
      <c r="EY119" s="56"/>
      <c r="EZ119" s="56"/>
      <c r="FA119" s="56"/>
      <c r="FB119" s="56"/>
      <c r="FC119" s="56"/>
      <c r="FD119" s="56"/>
      <c r="FE119" s="56"/>
      <c r="FF119" s="56"/>
      <c r="FG119" s="56"/>
      <c r="FH119" s="56"/>
      <c r="FI119" s="56"/>
      <c r="FJ119" s="56"/>
      <c r="FK119" s="56"/>
      <c r="FL119" s="56"/>
      <c r="FM119" s="56"/>
      <c r="FN119" s="56"/>
      <c r="FO119" s="56"/>
      <c r="FP119" s="56"/>
      <c r="FQ119" s="56"/>
      <c r="FR119" s="56"/>
      <c r="FS119" s="56"/>
      <c r="FT119" s="56"/>
      <c r="FU119" s="56"/>
      <c r="FV119" s="56"/>
      <c r="FW119" s="56"/>
      <c r="FX119" s="56"/>
      <c r="FY119" s="56"/>
      <c r="FZ119" s="56"/>
      <c r="GA119" s="56"/>
      <c r="GB119" s="56"/>
      <c r="GC119" s="56"/>
      <c r="GD119" s="56"/>
      <c r="GE119" s="56"/>
      <c r="GF119" s="56"/>
      <c r="GG119" s="56"/>
      <c r="GH119" s="56"/>
      <c r="GI119" s="56"/>
      <c r="GJ119" s="56"/>
      <c r="GK119" s="56"/>
      <c r="GL119" s="56"/>
      <c r="GM119" s="56"/>
      <c r="GN119" s="56"/>
      <c r="GO119" s="56"/>
      <c r="GP119" s="56"/>
      <c r="GQ119" s="56"/>
      <c r="GR119" s="56"/>
      <c r="GS119" s="56"/>
      <c r="GT119" s="56"/>
      <c r="GU119" s="56"/>
      <c r="GV119" s="56"/>
      <c r="GW119" s="56"/>
      <c r="GX119" s="56"/>
      <c r="GY119" s="56"/>
      <c r="GZ119" s="56"/>
      <c r="HA119" s="56"/>
      <c r="HB119" s="56"/>
      <c r="HC119" s="56"/>
      <c r="HD119" s="56"/>
      <c r="HE119" s="56"/>
      <c r="HF119" s="56"/>
      <c r="HG119" s="56"/>
      <c r="HH119" s="56"/>
      <c r="HI119" s="56"/>
      <c r="HJ119" s="56"/>
      <c r="HK119" s="56"/>
      <c r="HL119" s="56"/>
    </row>
    <row r="120" spans="1:220" s="53" customFormat="1" ht="25.5" customHeight="1" x14ac:dyDescent="0.15">
      <c r="A120" s="99"/>
      <c r="B120" s="91" t="s">
        <v>409</v>
      </c>
      <c r="C120" s="100" t="s">
        <v>398</v>
      </c>
      <c r="D120" s="53" t="s">
        <v>227</v>
      </c>
      <c r="G120" s="88" t="s">
        <v>477</v>
      </c>
      <c r="J120" s="59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0"/>
      <c r="CH120" s="60"/>
      <c r="CI120" s="60"/>
      <c r="CJ120" s="60"/>
      <c r="CK120" s="60"/>
      <c r="CL120" s="60"/>
      <c r="CM120" s="60"/>
      <c r="CN120" s="60"/>
      <c r="CO120" s="60"/>
      <c r="CP120" s="60"/>
      <c r="CQ120" s="60"/>
      <c r="CR120" s="60"/>
      <c r="CS120" s="60"/>
      <c r="CT120" s="60"/>
      <c r="CU120" s="60"/>
      <c r="CV120" s="60"/>
      <c r="CW120" s="60"/>
      <c r="CX120" s="60"/>
      <c r="CY120" s="60"/>
      <c r="CZ120" s="60"/>
      <c r="DA120" s="60"/>
      <c r="DB120" s="60"/>
      <c r="DC120" s="60"/>
      <c r="DD120" s="60"/>
      <c r="DE120" s="60"/>
      <c r="DF120" s="60"/>
      <c r="DG120" s="60"/>
      <c r="DH120" s="60"/>
      <c r="DI120" s="60"/>
      <c r="DJ120" s="60"/>
      <c r="DK120" s="60"/>
      <c r="DL120" s="60"/>
      <c r="DM120" s="60"/>
      <c r="DN120" s="60"/>
      <c r="DO120" s="60"/>
      <c r="DP120" s="60"/>
      <c r="DQ120" s="60"/>
      <c r="DR120" s="60"/>
      <c r="DS120" s="60"/>
      <c r="DT120" s="60"/>
      <c r="DU120" s="60"/>
      <c r="DV120" s="60"/>
      <c r="DW120" s="60"/>
      <c r="DX120" s="60"/>
      <c r="DY120" s="60"/>
      <c r="DZ120" s="60"/>
      <c r="EA120" s="60"/>
      <c r="EB120" s="60"/>
      <c r="EC120" s="60"/>
      <c r="ED120" s="60"/>
      <c r="EE120" s="60"/>
      <c r="EF120" s="60"/>
      <c r="EG120" s="60"/>
      <c r="EH120" s="60"/>
      <c r="EI120" s="60"/>
      <c r="EJ120" s="60"/>
      <c r="EK120" s="60"/>
      <c r="EL120" s="60"/>
      <c r="EM120" s="60"/>
      <c r="EN120" s="60"/>
      <c r="EO120" s="60"/>
      <c r="EP120" s="60"/>
      <c r="EQ120" s="60"/>
      <c r="ER120" s="60"/>
      <c r="ES120" s="60"/>
      <c r="ET120" s="60"/>
      <c r="EU120" s="60"/>
      <c r="EV120" s="60"/>
      <c r="EW120" s="60"/>
      <c r="EX120" s="60"/>
      <c r="EY120" s="60"/>
      <c r="EZ120" s="60"/>
      <c r="FA120" s="60"/>
      <c r="FB120" s="60"/>
      <c r="FC120" s="60"/>
      <c r="FD120" s="60"/>
      <c r="FE120" s="60"/>
      <c r="FF120" s="60"/>
      <c r="FG120" s="60"/>
      <c r="FH120" s="60"/>
      <c r="FI120" s="60"/>
      <c r="FJ120" s="60"/>
      <c r="FK120" s="60"/>
      <c r="FL120" s="60"/>
      <c r="FM120" s="60"/>
      <c r="FN120" s="60"/>
      <c r="FO120" s="60"/>
      <c r="FP120" s="60"/>
      <c r="FQ120" s="60"/>
      <c r="FR120" s="60"/>
      <c r="FS120" s="60"/>
      <c r="FT120" s="60"/>
      <c r="FU120" s="60"/>
      <c r="FV120" s="60"/>
      <c r="FW120" s="60"/>
      <c r="FX120" s="60"/>
      <c r="FY120" s="60"/>
      <c r="FZ120" s="60"/>
      <c r="GA120" s="60"/>
      <c r="GB120" s="60"/>
      <c r="GC120" s="60"/>
      <c r="GD120" s="60"/>
      <c r="GE120" s="60"/>
      <c r="GF120" s="60"/>
      <c r="GG120" s="60"/>
      <c r="GH120" s="60"/>
      <c r="GI120" s="60"/>
      <c r="GJ120" s="60"/>
      <c r="GK120" s="60"/>
      <c r="GL120" s="60"/>
      <c r="GM120" s="60"/>
      <c r="GN120" s="60"/>
      <c r="GO120" s="60"/>
      <c r="GP120" s="60"/>
      <c r="GQ120" s="60"/>
      <c r="GR120" s="60"/>
      <c r="GS120" s="60"/>
      <c r="GT120" s="60"/>
      <c r="GU120" s="60"/>
      <c r="GV120" s="60"/>
      <c r="GW120" s="60"/>
      <c r="GX120" s="60"/>
      <c r="GY120" s="60"/>
      <c r="GZ120" s="60"/>
      <c r="HA120" s="60"/>
      <c r="HB120" s="60"/>
      <c r="HC120" s="60"/>
      <c r="HD120" s="60"/>
      <c r="HE120" s="60"/>
      <c r="HF120" s="60"/>
      <c r="HG120" s="60"/>
      <c r="HH120" s="60"/>
      <c r="HI120" s="60"/>
      <c r="HJ120" s="60"/>
      <c r="HK120" s="60"/>
      <c r="HL120" s="60"/>
    </row>
    <row r="121" spans="1:220" s="61" customFormat="1" ht="23.25" customHeight="1" x14ac:dyDescent="0.15">
      <c r="A121" s="99"/>
      <c r="B121" s="91" t="s">
        <v>217</v>
      </c>
      <c r="C121" s="102"/>
      <c r="D121" s="64" t="s">
        <v>226</v>
      </c>
      <c r="E121" s="53"/>
      <c r="F121" s="53"/>
      <c r="G121" s="88" t="s">
        <v>477</v>
      </c>
      <c r="H121" s="54"/>
      <c r="I121" s="54"/>
      <c r="J121" s="53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  <c r="CA121" s="60"/>
      <c r="CB121" s="60"/>
      <c r="CC121" s="60"/>
      <c r="CD121" s="60"/>
      <c r="CE121" s="60"/>
      <c r="CF121" s="60"/>
      <c r="CG121" s="60"/>
      <c r="CH121" s="60"/>
      <c r="CI121" s="60"/>
      <c r="CJ121" s="60"/>
      <c r="CK121" s="60"/>
      <c r="CL121" s="60"/>
      <c r="CM121" s="60"/>
      <c r="CN121" s="60"/>
      <c r="CO121" s="60"/>
      <c r="CP121" s="60"/>
      <c r="CQ121" s="60"/>
      <c r="CR121" s="60"/>
      <c r="CS121" s="60"/>
      <c r="CT121" s="60"/>
      <c r="CU121" s="60"/>
      <c r="CV121" s="60"/>
      <c r="CW121" s="60"/>
      <c r="CX121" s="60"/>
      <c r="CY121" s="60"/>
      <c r="CZ121" s="60"/>
      <c r="DA121" s="60"/>
      <c r="DB121" s="60"/>
      <c r="DC121" s="60"/>
      <c r="DD121" s="60"/>
      <c r="DE121" s="60"/>
      <c r="DF121" s="60"/>
      <c r="DG121" s="60"/>
      <c r="DH121" s="60"/>
      <c r="DI121" s="60"/>
      <c r="DJ121" s="60"/>
      <c r="DK121" s="60"/>
      <c r="DL121" s="60"/>
      <c r="DM121" s="60"/>
      <c r="DN121" s="60"/>
      <c r="DO121" s="60"/>
      <c r="DP121" s="60"/>
      <c r="DQ121" s="60"/>
      <c r="DR121" s="60"/>
      <c r="DS121" s="60"/>
      <c r="DT121" s="60"/>
      <c r="DU121" s="60"/>
      <c r="DV121" s="60"/>
      <c r="DW121" s="60"/>
      <c r="DX121" s="60"/>
      <c r="DY121" s="60"/>
      <c r="DZ121" s="60"/>
      <c r="EA121" s="60"/>
      <c r="EB121" s="60"/>
      <c r="EC121" s="60"/>
      <c r="ED121" s="60"/>
      <c r="EE121" s="60"/>
      <c r="EF121" s="60"/>
      <c r="EG121" s="60"/>
      <c r="EH121" s="60"/>
      <c r="EI121" s="60"/>
      <c r="EJ121" s="60"/>
      <c r="EK121" s="60"/>
      <c r="EL121" s="60"/>
      <c r="EM121" s="60"/>
      <c r="EN121" s="60"/>
      <c r="EO121" s="60"/>
      <c r="EP121" s="60"/>
      <c r="EQ121" s="60"/>
      <c r="ER121" s="60"/>
      <c r="ES121" s="60"/>
      <c r="ET121" s="60"/>
      <c r="EU121" s="60"/>
      <c r="EV121" s="60"/>
      <c r="EW121" s="60"/>
      <c r="EX121" s="60"/>
      <c r="EY121" s="60"/>
      <c r="EZ121" s="60"/>
      <c r="FA121" s="60"/>
      <c r="FB121" s="60"/>
      <c r="FC121" s="60"/>
      <c r="FD121" s="60"/>
      <c r="FE121" s="60"/>
      <c r="FF121" s="60"/>
      <c r="FG121" s="60"/>
      <c r="FH121" s="60"/>
      <c r="FI121" s="60"/>
      <c r="FJ121" s="60"/>
      <c r="FK121" s="60"/>
      <c r="FL121" s="60"/>
      <c r="FM121" s="60"/>
      <c r="FN121" s="60"/>
      <c r="FO121" s="60"/>
      <c r="FP121" s="60"/>
      <c r="FQ121" s="60"/>
      <c r="FR121" s="60"/>
      <c r="FS121" s="60"/>
      <c r="FT121" s="60"/>
      <c r="FU121" s="60"/>
      <c r="FV121" s="60"/>
      <c r="FW121" s="60"/>
      <c r="FX121" s="60"/>
      <c r="FY121" s="60"/>
      <c r="FZ121" s="60"/>
      <c r="GA121" s="60"/>
      <c r="GB121" s="60"/>
      <c r="GC121" s="60"/>
      <c r="GD121" s="60"/>
      <c r="GE121" s="60"/>
      <c r="GF121" s="60"/>
      <c r="GG121" s="60"/>
      <c r="GH121" s="60"/>
      <c r="GI121" s="60"/>
      <c r="GJ121" s="60"/>
      <c r="GK121" s="60"/>
      <c r="GL121" s="60"/>
      <c r="GM121" s="60"/>
      <c r="GN121" s="60"/>
      <c r="GO121" s="60"/>
      <c r="GP121" s="60"/>
      <c r="GQ121" s="60"/>
      <c r="GR121" s="60"/>
      <c r="GS121" s="60"/>
      <c r="GT121" s="60"/>
      <c r="GU121" s="60"/>
      <c r="GV121" s="60"/>
      <c r="GW121" s="60"/>
      <c r="GX121" s="60"/>
      <c r="GY121" s="60"/>
      <c r="GZ121" s="60"/>
      <c r="HA121" s="60"/>
      <c r="HB121" s="60"/>
      <c r="HC121" s="60"/>
      <c r="HD121" s="60"/>
      <c r="HE121" s="60"/>
      <c r="HF121" s="60"/>
      <c r="HG121" s="60"/>
      <c r="HH121" s="60"/>
      <c r="HI121" s="60"/>
      <c r="HJ121" s="60"/>
      <c r="HK121" s="60"/>
      <c r="HL121" s="60"/>
    </row>
    <row r="122" spans="1:220" s="53" customFormat="1" ht="50.25" customHeight="1" x14ac:dyDescent="0.15">
      <c r="A122" s="99"/>
      <c r="B122" s="91" t="s">
        <v>218</v>
      </c>
      <c r="C122" s="63" t="s">
        <v>399</v>
      </c>
      <c r="D122" s="53" t="s">
        <v>228</v>
      </c>
      <c r="G122" s="88" t="s">
        <v>477</v>
      </c>
      <c r="J122" s="59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0"/>
      <c r="BR122" s="60"/>
      <c r="BS122" s="60"/>
      <c r="BT122" s="60"/>
      <c r="BU122" s="60"/>
      <c r="BV122" s="60"/>
      <c r="BW122" s="60"/>
      <c r="BX122" s="60"/>
      <c r="BY122" s="60"/>
      <c r="BZ122" s="60"/>
      <c r="CA122" s="60"/>
      <c r="CB122" s="60"/>
      <c r="CC122" s="60"/>
      <c r="CD122" s="60"/>
      <c r="CE122" s="60"/>
      <c r="CF122" s="60"/>
      <c r="CG122" s="60"/>
      <c r="CH122" s="60"/>
      <c r="CI122" s="60"/>
      <c r="CJ122" s="60"/>
      <c r="CK122" s="60"/>
      <c r="CL122" s="60"/>
      <c r="CM122" s="60"/>
      <c r="CN122" s="60"/>
      <c r="CO122" s="60"/>
      <c r="CP122" s="60"/>
      <c r="CQ122" s="60"/>
      <c r="CR122" s="60"/>
      <c r="CS122" s="60"/>
      <c r="CT122" s="60"/>
      <c r="CU122" s="60"/>
      <c r="CV122" s="60"/>
      <c r="CW122" s="60"/>
      <c r="CX122" s="60"/>
      <c r="CY122" s="60"/>
      <c r="CZ122" s="60"/>
      <c r="DA122" s="60"/>
      <c r="DB122" s="60"/>
      <c r="DC122" s="60"/>
      <c r="DD122" s="60"/>
      <c r="DE122" s="60"/>
      <c r="DF122" s="60"/>
      <c r="DG122" s="60"/>
      <c r="DH122" s="60"/>
      <c r="DI122" s="60"/>
      <c r="DJ122" s="60"/>
      <c r="DK122" s="60"/>
      <c r="DL122" s="60"/>
      <c r="DM122" s="60"/>
      <c r="DN122" s="60"/>
      <c r="DO122" s="60"/>
      <c r="DP122" s="60"/>
      <c r="DQ122" s="60"/>
      <c r="DR122" s="60"/>
      <c r="DS122" s="60"/>
      <c r="DT122" s="60"/>
      <c r="DU122" s="60"/>
      <c r="DV122" s="60"/>
      <c r="DW122" s="60"/>
      <c r="DX122" s="60"/>
      <c r="DY122" s="60"/>
      <c r="DZ122" s="60"/>
      <c r="EA122" s="60"/>
      <c r="EB122" s="60"/>
      <c r="EC122" s="60"/>
      <c r="ED122" s="60"/>
      <c r="EE122" s="60"/>
      <c r="EF122" s="60"/>
      <c r="EG122" s="60"/>
      <c r="EH122" s="60"/>
      <c r="EI122" s="60"/>
      <c r="EJ122" s="60"/>
      <c r="EK122" s="60"/>
      <c r="EL122" s="60"/>
      <c r="EM122" s="60"/>
      <c r="EN122" s="60"/>
      <c r="EO122" s="60"/>
      <c r="EP122" s="60"/>
      <c r="EQ122" s="60"/>
      <c r="ER122" s="60"/>
      <c r="ES122" s="60"/>
      <c r="ET122" s="60"/>
      <c r="EU122" s="60"/>
      <c r="EV122" s="60"/>
      <c r="EW122" s="60"/>
      <c r="EX122" s="60"/>
      <c r="EY122" s="60"/>
      <c r="EZ122" s="60"/>
      <c r="FA122" s="60"/>
      <c r="FB122" s="60"/>
      <c r="FC122" s="60"/>
      <c r="FD122" s="60"/>
      <c r="FE122" s="60"/>
      <c r="FF122" s="60"/>
      <c r="FG122" s="60"/>
      <c r="FH122" s="60"/>
      <c r="FI122" s="60"/>
      <c r="FJ122" s="60"/>
      <c r="FK122" s="60"/>
      <c r="FL122" s="60"/>
      <c r="FM122" s="60"/>
      <c r="FN122" s="60"/>
      <c r="FO122" s="60"/>
      <c r="FP122" s="60"/>
      <c r="FQ122" s="60"/>
      <c r="FR122" s="60"/>
      <c r="FS122" s="60"/>
      <c r="FT122" s="60"/>
      <c r="FU122" s="60"/>
      <c r="FV122" s="60"/>
      <c r="FW122" s="60"/>
      <c r="FX122" s="60"/>
      <c r="FY122" s="60"/>
      <c r="FZ122" s="60"/>
      <c r="GA122" s="60"/>
      <c r="GB122" s="60"/>
      <c r="GC122" s="60"/>
      <c r="GD122" s="60"/>
      <c r="GE122" s="60"/>
      <c r="GF122" s="60"/>
      <c r="GG122" s="60"/>
      <c r="GH122" s="60"/>
      <c r="GI122" s="60"/>
      <c r="GJ122" s="60"/>
      <c r="GK122" s="60"/>
      <c r="GL122" s="60"/>
      <c r="GM122" s="60"/>
      <c r="GN122" s="60"/>
      <c r="GO122" s="60"/>
      <c r="GP122" s="60"/>
      <c r="GQ122" s="60"/>
      <c r="GR122" s="60"/>
      <c r="GS122" s="60"/>
      <c r="GT122" s="60"/>
      <c r="GU122" s="60"/>
      <c r="GV122" s="60"/>
      <c r="GW122" s="60"/>
      <c r="GX122" s="60"/>
      <c r="GY122" s="60"/>
      <c r="GZ122" s="60"/>
      <c r="HA122" s="60"/>
      <c r="HB122" s="60"/>
      <c r="HC122" s="60"/>
      <c r="HD122" s="60"/>
      <c r="HE122" s="60"/>
      <c r="HF122" s="60"/>
      <c r="HG122" s="60"/>
      <c r="HH122" s="60"/>
      <c r="HI122" s="60"/>
      <c r="HJ122" s="60"/>
      <c r="HK122" s="60"/>
      <c r="HL122" s="60"/>
    </row>
    <row r="123" spans="1:220" s="53" customFormat="1" ht="30" customHeight="1" x14ac:dyDescent="0.15">
      <c r="A123" s="99"/>
      <c r="B123" s="91" t="s">
        <v>219</v>
      </c>
      <c r="C123" s="100" t="s">
        <v>400</v>
      </c>
      <c r="D123" s="53" t="s">
        <v>229</v>
      </c>
      <c r="G123" s="88" t="s">
        <v>477</v>
      </c>
      <c r="J123" s="59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  <c r="BN123" s="60"/>
      <c r="BO123" s="60"/>
      <c r="BP123" s="60"/>
      <c r="BQ123" s="60"/>
      <c r="BR123" s="60"/>
      <c r="BS123" s="60"/>
      <c r="BT123" s="60"/>
      <c r="BU123" s="60"/>
      <c r="BV123" s="60"/>
      <c r="BW123" s="60"/>
      <c r="BX123" s="60"/>
      <c r="BY123" s="60"/>
      <c r="BZ123" s="60"/>
      <c r="CA123" s="60"/>
      <c r="CB123" s="60"/>
      <c r="CC123" s="60"/>
      <c r="CD123" s="60"/>
      <c r="CE123" s="60"/>
      <c r="CF123" s="60"/>
      <c r="CG123" s="60"/>
      <c r="CH123" s="60"/>
      <c r="CI123" s="60"/>
      <c r="CJ123" s="60"/>
      <c r="CK123" s="60"/>
      <c r="CL123" s="60"/>
      <c r="CM123" s="60"/>
      <c r="CN123" s="60"/>
      <c r="CO123" s="60"/>
      <c r="CP123" s="60"/>
      <c r="CQ123" s="60"/>
      <c r="CR123" s="60"/>
      <c r="CS123" s="60"/>
      <c r="CT123" s="60"/>
      <c r="CU123" s="60"/>
      <c r="CV123" s="60"/>
      <c r="CW123" s="60"/>
      <c r="CX123" s="60"/>
      <c r="CY123" s="60"/>
      <c r="CZ123" s="60"/>
      <c r="DA123" s="60"/>
      <c r="DB123" s="60"/>
      <c r="DC123" s="60"/>
      <c r="DD123" s="60"/>
      <c r="DE123" s="60"/>
      <c r="DF123" s="60"/>
      <c r="DG123" s="60"/>
      <c r="DH123" s="60"/>
      <c r="DI123" s="60"/>
      <c r="DJ123" s="60"/>
      <c r="DK123" s="60"/>
      <c r="DL123" s="60"/>
      <c r="DM123" s="60"/>
      <c r="DN123" s="60"/>
      <c r="DO123" s="60"/>
      <c r="DP123" s="60"/>
      <c r="DQ123" s="60"/>
      <c r="DR123" s="60"/>
      <c r="DS123" s="60"/>
      <c r="DT123" s="60"/>
      <c r="DU123" s="60"/>
      <c r="DV123" s="60"/>
      <c r="DW123" s="60"/>
      <c r="DX123" s="60"/>
      <c r="DY123" s="60"/>
      <c r="DZ123" s="60"/>
      <c r="EA123" s="60"/>
      <c r="EB123" s="60"/>
      <c r="EC123" s="60"/>
      <c r="ED123" s="60"/>
      <c r="EE123" s="60"/>
      <c r="EF123" s="60"/>
      <c r="EG123" s="60"/>
      <c r="EH123" s="60"/>
      <c r="EI123" s="60"/>
      <c r="EJ123" s="60"/>
      <c r="EK123" s="60"/>
      <c r="EL123" s="60"/>
      <c r="EM123" s="60"/>
      <c r="EN123" s="60"/>
      <c r="EO123" s="60"/>
      <c r="EP123" s="60"/>
      <c r="EQ123" s="60"/>
      <c r="ER123" s="60"/>
      <c r="ES123" s="60"/>
      <c r="ET123" s="60"/>
      <c r="EU123" s="60"/>
      <c r="EV123" s="60"/>
      <c r="EW123" s="60"/>
      <c r="EX123" s="60"/>
      <c r="EY123" s="60"/>
      <c r="EZ123" s="60"/>
      <c r="FA123" s="60"/>
      <c r="FB123" s="60"/>
      <c r="FC123" s="60"/>
      <c r="FD123" s="60"/>
      <c r="FE123" s="60"/>
      <c r="FF123" s="60"/>
      <c r="FG123" s="60"/>
      <c r="FH123" s="60"/>
      <c r="FI123" s="60"/>
      <c r="FJ123" s="60"/>
      <c r="FK123" s="60"/>
      <c r="FL123" s="60"/>
      <c r="FM123" s="60"/>
      <c r="FN123" s="60"/>
      <c r="FO123" s="60"/>
      <c r="FP123" s="60"/>
      <c r="FQ123" s="60"/>
      <c r="FR123" s="60"/>
      <c r="FS123" s="60"/>
      <c r="FT123" s="60"/>
      <c r="FU123" s="60"/>
      <c r="FV123" s="60"/>
      <c r="FW123" s="60"/>
      <c r="FX123" s="60"/>
      <c r="FY123" s="60"/>
      <c r="FZ123" s="60"/>
      <c r="GA123" s="60"/>
      <c r="GB123" s="60"/>
      <c r="GC123" s="60"/>
      <c r="GD123" s="60"/>
      <c r="GE123" s="60"/>
      <c r="GF123" s="60"/>
      <c r="GG123" s="60"/>
      <c r="GH123" s="60"/>
      <c r="GI123" s="60"/>
      <c r="GJ123" s="60"/>
      <c r="GK123" s="60"/>
      <c r="GL123" s="60"/>
      <c r="GM123" s="60"/>
      <c r="GN123" s="60"/>
      <c r="GO123" s="60"/>
      <c r="GP123" s="60"/>
      <c r="GQ123" s="60"/>
      <c r="GR123" s="60"/>
      <c r="GS123" s="60"/>
      <c r="GT123" s="60"/>
      <c r="GU123" s="60"/>
      <c r="GV123" s="60"/>
      <c r="GW123" s="60"/>
      <c r="GX123" s="60"/>
      <c r="GY123" s="60"/>
      <c r="GZ123" s="60"/>
      <c r="HA123" s="60"/>
      <c r="HB123" s="60"/>
      <c r="HC123" s="60"/>
      <c r="HD123" s="60"/>
      <c r="HE123" s="60"/>
      <c r="HF123" s="60"/>
      <c r="HG123" s="60"/>
      <c r="HH123" s="60"/>
      <c r="HI123" s="60"/>
      <c r="HJ123" s="60"/>
      <c r="HK123" s="60"/>
      <c r="HL123" s="60"/>
    </row>
    <row r="124" spans="1:220" s="61" customFormat="1" ht="30" customHeight="1" x14ac:dyDescent="0.15">
      <c r="A124" s="99"/>
      <c r="B124" s="91" t="s">
        <v>220</v>
      </c>
      <c r="C124" s="103"/>
      <c r="D124" s="64" t="s">
        <v>230</v>
      </c>
      <c r="E124" s="53"/>
      <c r="F124" s="53"/>
      <c r="G124" s="88" t="s">
        <v>477</v>
      </c>
      <c r="H124" s="54"/>
      <c r="I124" s="54"/>
      <c r="J124" s="53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60"/>
      <c r="BR124" s="60"/>
      <c r="BS124" s="60"/>
      <c r="BT124" s="60"/>
      <c r="BU124" s="60"/>
      <c r="BV124" s="60"/>
      <c r="BW124" s="60"/>
      <c r="BX124" s="60"/>
      <c r="BY124" s="60"/>
      <c r="BZ124" s="60"/>
      <c r="CA124" s="60"/>
      <c r="CB124" s="60"/>
      <c r="CC124" s="60"/>
      <c r="CD124" s="60"/>
      <c r="CE124" s="60"/>
      <c r="CF124" s="60"/>
      <c r="CG124" s="60"/>
      <c r="CH124" s="60"/>
      <c r="CI124" s="60"/>
      <c r="CJ124" s="60"/>
      <c r="CK124" s="60"/>
      <c r="CL124" s="60"/>
      <c r="CM124" s="60"/>
      <c r="CN124" s="60"/>
      <c r="CO124" s="60"/>
      <c r="CP124" s="60"/>
      <c r="CQ124" s="60"/>
      <c r="CR124" s="60"/>
      <c r="CS124" s="60"/>
      <c r="CT124" s="60"/>
      <c r="CU124" s="60"/>
      <c r="CV124" s="60"/>
      <c r="CW124" s="60"/>
      <c r="CX124" s="60"/>
      <c r="CY124" s="60"/>
      <c r="CZ124" s="60"/>
      <c r="DA124" s="60"/>
      <c r="DB124" s="60"/>
      <c r="DC124" s="60"/>
      <c r="DD124" s="60"/>
      <c r="DE124" s="60"/>
      <c r="DF124" s="60"/>
      <c r="DG124" s="60"/>
      <c r="DH124" s="60"/>
      <c r="DI124" s="60"/>
      <c r="DJ124" s="60"/>
      <c r="DK124" s="60"/>
      <c r="DL124" s="60"/>
      <c r="DM124" s="60"/>
      <c r="DN124" s="60"/>
      <c r="DO124" s="60"/>
      <c r="DP124" s="60"/>
      <c r="DQ124" s="60"/>
      <c r="DR124" s="60"/>
      <c r="DS124" s="60"/>
      <c r="DT124" s="60"/>
      <c r="DU124" s="60"/>
      <c r="DV124" s="60"/>
      <c r="DW124" s="60"/>
      <c r="DX124" s="60"/>
      <c r="DY124" s="60"/>
      <c r="DZ124" s="60"/>
      <c r="EA124" s="60"/>
      <c r="EB124" s="60"/>
      <c r="EC124" s="60"/>
      <c r="ED124" s="60"/>
      <c r="EE124" s="60"/>
      <c r="EF124" s="60"/>
      <c r="EG124" s="60"/>
      <c r="EH124" s="60"/>
      <c r="EI124" s="60"/>
      <c r="EJ124" s="60"/>
      <c r="EK124" s="60"/>
      <c r="EL124" s="60"/>
      <c r="EM124" s="60"/>
      <c r="EN124" s="60"/>
      <c r="EO124" s="60"/>
      <c r="EP124" s="60"/>
      <c r="EQ124" s="60"/>
      <c r="ER124" s="60"/>
      <c r="ES124" s="60"/>
      <c r="ET124" s="60"/>
      <c r="EU124" s="60"/>
      <c r="EV124" s="60"/>
      <c r="EW124" s="60"/>
      <c r="EX124" s="60"/>
      <c r="EY124" s="60"/>
      <c r="EZ124" s="60"/>
      <c r="FA124" s="60"/>
      <c r="FB124" s="60"/>
      <c r="FC124" s="60"/>
      <c r="FD124" s="60"/>
      <c r="FE124" s="60"/>
      <c r="FF124" s="60"/>
      <c r="FG124" s="60"/>
      <c r="FH124" s="60"/>
      <c r="FI124" s="60"/>
      <c r="FJ124" s="60"/>
      <c r="FK124" s="60"/>
      <c r="FL124" s="60"/>
      <c r="FM124" s="60"/>
      <c r="FN124" s="60"/>
      <c r="FO124" s="60"/>
      <c r="FP124" s="60"/>
      <c r="FQ124" s="60"/>
      <c r="FR124" s="60"/>
      <c r="FS124" s="60"/>
      <c r="FT124" s="60"/>
      <c r="FU124" s="60"/>
      <c r="FV124" s="60"/>
      <c r="FW124" s="60"/>
      <c r="FX124" s="60"/>
      <c r="FY124" s="60"/>
      <c r="FZ124" s="60"/>
      <c r="GA124" s="60"/>
      <c r="GB124" s="60"/>
      <c r="GC124" s="60"/>
      <c r="GD124" s="60"/>
      <c r="GE124" s="60"/>
      <c r="GF124" s="60"/>
      <c r="GG124" s="60"/>
      <c r="GH124" s="60"/>
      <c r="GI124" s="60"/>
      <c r="GJ124" s="60"/>
      <c r="GK124" s="60"/>
      <c r="GL124" s="60"/>
      <c r="GM124" s="60"/>
      <c r="GN124" s="60"/>
      <c r="GO124" s="60"/>
      <c r="GP124" s="60"/>
      <c r="GQ124" s="60"/>
      <c r="GR124" s="60"/>
      <c r="GS124" s="60"/>
      <c r="GT124" s="60"/>
      <c r="GU124" s="60"/>
      <c r="GV124" s="60"/>
      <c r="GW124" s="60"/>
      <c r="GX124" s="60"/>
      <c r="GY124" s="60"/>
      <c r="GZ124" s="60"/>
      <c r="HA124" s="60"/>
      <c r="HB124" s="60"/>
      <c r="HC124" s="60"/>
      <c r="HD124" s="60"/>
      <c r="HE124" s="60"/>
      <c r="HF124" s="60"/>
      <c r="HG124" s="60"/>
      <c r="HH124" s="60"/>
      <c r="HI124" s="60"/>
      <c r="HJ124" s="60"/>
      <c r="HK124" s="60"/>
      <c r="HL124" s="60"/>
    </row>
    <row r="125" spans="1:220" s="85" customFormat="1" ht="16.5" customHeight="1" x14ac:dyDescent="0.15">
      <c r="A125" s="99"/>
      <c r="B125" s="91" t="s">
        <v>221</v>
      </c>
      <c r="C125" s="120" t="s">
        <v>490</v>
      </c>
      <c r="D125" s="80" t="s">
        <v>491</v>
      </c>
      <c r="E125" s="81"/>
      <c r="F125" s="81"/>
      <c r="G125" s="88" t="s">
        <v>477</v>
      </c>
      <c r="H125" s="82"/>
      <c r="I125" s="82"/>
      <c r="J125" s="81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  <c r="FU125" s="84"/>
      <c r="FV125" s="84"/>
      <c r="FW125" s="84"/>
      <c r="FX125" s="84"/>
      <c r="FY125" s="84"/>
      <c r="FZ125" s="84"/>
      <c r="GA125" s="84"/>
      <c r="GB125" s="84"/>
      <c r="GC125" s="84"/>
      <c r="GD125" s="84"/>
      <c r="GE125" s="84"/>
      <c r="GF125" s="84"/>
      <c r="GG125" s="84"/>
      <c r="GH125" s="84"/>
      <c r="GI125" s="84"/>
      <c r="GJ125" s="84"/>
      <c r="GK125" s="84"/>
      <c r="GL125" s="84"/>
      <c r="GM125" s="84"/>
      <c r="GN125" s="84"/>
      <c r="GO125" s="84"/>
      <c r="GP125" s="84"/>
      <c r="GQ125" s="84"/>
      <c r="GR125" s="84"/>
      <c r="GS125" s="84"/>
      <c r="GT125" s="84"/>
      <c r="GU125" s="84"/>
      <c r="GV125" s="84"/>
      <c r="GW125" s="84"/>
      <c r="GX125" s="84"/>
      <c r="GY125" s="84"/>
      <c r="GZ125" s="84"/>
      <c r="HA125" s="84"/>
      <c r="HB125" s="84"/>
      <c r="HC125" s="84"/>
      <c r="HD125" s="84"/>
      <c r="HE125" s="84"/>
      <c r="HF125" s="84"/>
      <c r="HG125" s="84"/>
      <c r="HH125" s="84"/>
      <c r="HI125" s="84"/>
      <c r="HJ125" s="84"/>
      <c r="HK125" s="84"/>
      <c r="HL125" s="84"/>
    </row>
    <row r="126" spans="1:220" s="85" customFormat="1" ht="16.5" customHeight="1" x14ac:dyDescent="0.15">
      <c r="A126" s="99"/>
      <c r="B126" s="91" t="s">
        <v>222</v>
      </c>
      <c r="C126" s="120"/>
      <c r="D126" s="81" t="s">
        <v>401</v>
      </c>
      <c r="E126" s="81"/>
      <c r="F126" s="81"/>
      <c r="G126" s="88" t="s">
        <v>477</v>
      </c>
      <c r="H126" s="82"/>
      <c r="I126" s="82"/>
      <c r="J126" s="81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  <c r="FU126" s="84"/>
      <c r="FV126" s="84"/>
      <c r="FW126" s="84"/>
      <c r="FX126" s="84"/>
      <c r="FY126" s="84"/>
      <c r="FZ126" s="84"/>
      <c r="GA126" s="84"/>
      <c r="GB126" s="84"/>
      <c r="GC126" s="84"/>
      <c r="GD126" s="84"/>
      <c r="GE126" s="84"/>
      <c r="GF126" s="84"/>
      <c r="GG126" s="84"/>
      <c r="GH126" s="84"/>
      <c r="GI126" s="84"/>
      <c r="GJ126" s="84"/>
      <c r="GK126" s="84"/>
      <c r="GL126" s="84"/>
      <c r="GM126" s="84"/>
      <c r="GN126" s="84"/>
      <c r="GO126" s="84"/>
      <c r="GP126" s="84"/>
      <c r="GQ126" s="84"/>
      <c r="GR126" s="84"/>
      <c r="GS126" s="84"/>
      <c r="GT126" s="84"/>
      <c r="GU126" s="84"/>
      <c r="GV126" s="84"/>
      <c r="GW126" s="84"/>
      <c r="GX126" s="84"/>
      <c r="GY126" s="84"/>
      <c r="GZ126" s="84"/>
      <c r="HA126" s="84"/>
      <c r="HB126" s="84"/>
      <c r="HC126" s="84"/>
      <c r="HD126" s="84"/>
      <c r="HE126" s="84"/>
      <c r="HF126" s="84"/>
      <c r="HG126" s="84"/>
      <c r="HH126" s="84"/>
      <c r="HI126" s="84"/>
      <c r="HJ126" s="84"/>
      <c r="HK126" s="84"/>
      <c r="HL126" s="84"/>
    </row>
    <row r="127" spans="1:220" s="85" customFormat="1" ht="16.5" customHeight="1" x14ac:dyDescent="0.15">
      <c r="A127" s="99"/>
      <c r="B127" s="91" t="s">
        <v>223</v>
      </c>
      <c r="C127" s="120"/>
      <c r="D127" s="81" t="s">
        <v>235</v>
      </c>
      <c r="E127" s="81"/>
      <c r="F127" s="81"/>
      <c r="G127" s="88" t="s">
        <v>477</v>
      </c>
      <c r="H127" s="82"/>
      <c r="I127" s="82"/>
      <c r="J127" s="81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  <c r="FU127" s="84"/>
      <c r="FV127" s="84"/>
      <c r="FW127" s="84"/>
      <c r="FX127" s="84"/>
      <c r="FY127" s="84"/>
      <c r="FZ127" s="84"/>
      <c r="GA127" s="84"/>
      <c r="GB127" s="84"/>
      <c r="GC127" s="84"/>
      <c r="GD127" s="84"/>
      <c r="GE127" s="84"/>
      <c r="GF127" s="84"/>
      <c r="GG127" s="84"/>
      <c r="GH127" s="84"/>
      <c r="GI127" s="84"/>
      <c r="GJ127" s="84"/>
      <c r="GK127" s="84"/>
      <c r="GL127" s="84"/>
      <c r="GM127" s="84"/>
      <c r="GN127" s="84"/>
      <c r="GO127" s="84"/>
      <c r="GP127" s="84"/>
      <c r="GQ127" s="84"/>
      <c r="GR127" s="84"/>
      <c r="GS127" s="84"/>
      <c r="GT127" s="84"/>
      <c r="GU127" s="84"/>
      <c r="GV127" s="84"/>
      <c r="GW127" s="84"/>
      <c r="GX127" s="84"/>
      <c r="GY127" s="84"/>
      <c r="GZ127" s="84"/>
      <c r="HA127" s="84"/>
      <c r="HB127" s="84"/>
      <c r="HC127" s="84"/>
      <c r="HD127" s="84"/>
      <c r="HE127" s="84"/>
      <c r="HF127" s="84"/>
      <c r="HG127" s="84"/>
      <c r="HH127" s="84"/>
      <c r="HI127" s="84"/>
      <c r="HJ127" s="84"/>
      <c r="HK127" s="84"/>
      <c r="HL127" s="84"/>
    </row>
    <row r="128" spans="1:220" s="85" customFormat="1" ht="16.5" customHeight="1" x14ac:dyDescent="0.15">
      <c r="A128" s="99"/>
      <c r="B128" s="91" t="s">
        <v>386</v>
      </c>
      <c r="C128" s="120"/>
      <c r="D128" s="81" t="s">
        <v>492</v>
      </c>
      <c r="E128" s="81"/>
      <c r="F128" s="81"/>
      <c r="G128" s="88" t="s">
        <v>477</v>
      </c>
      <c r="H128" s="82"/>
      <c r="I128" s="82"/>
      <c r="J128" s="81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  <c r="FU128" s="84"/>
      <c r="FV128" s="84"/>
      <c r="FW128" s="84"/>
      <c r="FX128" s="84"/>
      <c r="FY128" s="84"/>
      <c r="FZ128" s="84"/>
      <c r="GA128" s="84"/>
      <c r="GB128" s="84"/>
      <c r="GC128" s="84"/>
      <c r="GD128" s="84"/>
      <c r="GE128" s="84"/>
      <c r="GF128" s="84"/>
      <c r="GG128" s="84"/>
      <c r="GH128" s="84"/>
      <c r="GI128" s="84"/>
      <c r="GJ128" s="84"/>
      <c r="GK128" s="84"/>
      <c r="GL128" s="84"/>
      <c r="GM128" s="84"/>
      <c r="GN128" s="84"/>
      <c r="GO128" s="84"/>
      <c r="GP128" s="84"/>
      <c r="GQ128" s="84"/>
      <c r="GR128" s="84"/>
      <c r="GS128" s="84"/>
      <c r="GT128" s="84"/>
      <c r="GU128" s="84"/>
      <c r="GV128" s="84"/>
      <c r="GW128" s="84"/>
      <c r="GX128" s="84"/>
      <c r="GY128" s="84"/>
      <c r="GZ128" s="84"/>
      <c r="HA128" s="84"/>
      <c r="HB128" s="84"/>
      <c r="HC128" s="84"/>
      <c r="HD128" s="84"/>
      <c r="HE128" s="84"/>
      <c r="HF128" s="84"/>
      <c r="HG128" s="84"/>
      <c r="HH128" s="84"/>
      <c r="HI128" s="84"/>
      <c r="HJ128" s="84"/>
      <c r="HK128" s="84"/>
      <c r="HL128" s="84"/>
    </row>
    <row r="129" spans="1:220" s="85" customFormat="1" ht="16.5" customHeight="1" x14ac:dyDescent="0.15">
      <c r="A129" s="99"/>
      <c r="B129" s="91" t="s">
        <v>387</v>
      </c>
      <c r="C129" s="120"/>
      <c r="D129" s="81" t="s">
        <v>236</v>
      </c>
      <c r="E129" s="81"/>
      <c r="F129" s="81"/>
      <c r="G129" s="88" t="s">
        <v>477</v>
      </c>
      <c r="H129" s="82"/>
      <c r="I129" s="82"/>
      <c r="J129" s="81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  <c r="FU129" s="84"/>
      <c r="FV129" s="84"/>
      <c r="FW129" s="84"/>
      <c r="FX129" s="84"/>
      <c r="FY129" s="84"/>
      <c r="FZ129" s="84"/>
      <c r="GA129" s="84"/>
      <c r="GB129" s="84"/>
      <c r="GC129" s="84"/>
      <c r="GD129" s="84"/>
      <c r="GE129" s="84"/>
      <c r="GF129" s="84"/>
      <c r="GG129" s="84"/>
      <c r="GH129" s="84"/>
      <c r="GI129" s="84"/>
      <c r="GJ129" s="84"/>
      <c r="GK129" s="84"/>
      <c r="GL129" s="84"/>
      <c r="GM129" s="84"/>
      <c r="GN129" s="84"/>
      <c r="GO129" s="84"/>
      <c r="GP129" s="84"/>
      <c r="GQ129" s="84"/>
      <c r="GR129" s="84"/>
      <c r="GS129" s="84"/>
      <c r="GT129" s="84"/>
      <c r="GU129" s="84"/>
      <c r="GV129" s="84"/>
      <c r="GW129" s="84"/>
      <c r="GX129" s="84"/>
      <c r="GY129" s="84"/>
      <c r="GZ129" s="84"/>
      <c r="HA129" s="84"/>
      <c r="HB129" s="84"/>
      <c r="HC129" s="84"/>
      <c r="HD129" s="84"/>
      <c r="HE129" s="84"/>
      <c r="HF129" s="84"/>
      <c r="HG129" s="84"/>
      <c r="HH129" s="84"/>
      <c r="HI129" s="84"/>
      <c r="HJ129" s="84"/>
      <c r="HK129" s="84"/>
      <c r="HL129" s="84"/>
    </row>
    <row r="130" spans="1:220" s="85" customFormat="1" ht="16.5" customHeight="1" x14ac:dyDescent="0.15">
      <c r="A130" s="99"/>
      <c r="B130" s="91" t="s">
        <v>388</v>
      </c>
      <c r="C130" s="120"/>
      <c r="D130" s="85" t="s">
        <v>493</v>
      </c>
      <c r="E130" s="81"/>
      <c r="F130" s="81"/>
      <c r="G130" s="88" t="s">
        <v>477</v>
      </c>
      <c r="H130" s="82"/>
      <c r="I130" s="82"/>
      <c r="J130" s="81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  <c r="FU130" s="84"/>
      <c r="FV130" s="84"/>
      <c r="FW130" s="84"/>
      <c r="FX130" s="84"/>
      <c r="FY130" s="84"/>
      <c r="FZ130" s="84"/>
      <c r="GA130" s="84"/>
      <c r="GB130" s="84"/>
      <c r="GC130" s="84"/>
      <c r="GD130" s="84"/>
      <c r="GE130" s="84"/>
      <c r="GF130" s="84"/>
      <c r="GG130" s="84"/>
      <c r="GH130" s="84"/>
      <c r="GI130" s="84"/>
      <c r="GJ130" s="84"/>
      <c r="GK130" s="84"/>
      <c r="GL130" s="84"/>
      <c r="GM130" s="84"/>
      <c r="GN130" s="84"/>
      <c r="GO130" s="84"/>
      <c r="GP130" s="84"/>
      <c r="GQ130" s="84"/>
      <c r="GR130" s="84"/>
      <c r="GS130" s="84"/>
      <c r="GT130" s="84"/>
      <c r="GU130" s="84"/>
      <c r="GV130" s="84"/>
      <c r="GW130" s="84"/>
      <c r="GX130" s="84"/>
      <c r="GY130" s="84"/>
      <c r="GZ130" s="84"/>
      <c r="HA130" s="84"/>
      <c r="HB130" s="84"/>
      <c r="HC130" s="84"/>
      <c r="HD130" s="84"/>
      <c r="HE130" s="84"/>
      <c r="HF130" s="84"/>
      <c r="HG130" s="84"/>
      <c r="HH130" s="84"/>
      <c r="HI130" s="84"/>
      <c r="HJ130" s="84"/>
      <c r="HK130" s="84"/>
      <c r="HL130" s="84"/>
    </row>
    <row r="131" spans="1:220" s="85" customFormat="1" ht="16.5" customHeight="1" x14ac:dyDescent="0.15">
      <c r="A131" s="99"/>
      <c r="B131" s="91" t="s">
        <v>348</v>
      </c>
      <c r="C131" s="100" t="s">
        <v>495</v>
      </c>
      <c r="D131" s="80" t="s">
        <v>496</v>
      </c>
      <c r="E131" s="81"/>
      <c r="F131" s="81"/>
      <c r="G131" s="88" t="s">
        <v>477</v>
      </c>
      <c r="H131" s="82"/>
      <c r="I131" s="82"/>
      <c r="J131" s="81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  <c r="FU131" s="84"/>
      <c r="FV131" s="84"/>
      <c r="FW131" s="84"/>
      <c r="FX131" s="84"/>
      <c r="FY131" s="84"/>
      <c r="FZ131" s="84"/>
      <c r="GA131" s="84"/>
      <c r="GB131" s="84"/>
      <c r="GC131" s="84"/>
      <c r="GD131" s="84"/>
      <c r="GE131" s="84"/>
      <c r="GF131" s="84"/>
      <c r="GG131" s="84"/>
      <c r="GH131" s="84"/>
      <c r="GI131" s="84"/>
      <c r="GJ131" s="84"/>
      <c r="GK131" s="84"/>
      <c r="GL131" s="84"/>
      <c r="GM131" s="84"/>
      <c r="GN131" s="84"/>
      <c r="GO131" s="84"/>
      <c r="GP131" s="84"/>
      <c r="GQ131" s="84"/>
      <c r="GR131" s="84"/>
      <c r="GS131" s="84"/>
      <c r="GT131" s="84"/>
      <c r="GU131" s="84"/>
      <c r="GV131" s="84"/>
      <c r="GW131" s="84"/>
      <c r="GX131" s="84"/>
      <c r="GY131" s="84"/>
      <c r="GZ131" s="84"/>
      <c r="HA131" s="84"/>
      <c r="HB131" s="84"/>
      <c r="HC131" s="84"/>
      <c r="HD131" s="84"/>
      <c r="HE131" s="84"/>
      <c r="HF131" s="84"/>
      <c r="HG131" s="84"/>
      <c r="HH131" s="84"/>
      <c r="HI131" s="84"/>
      <c r="HJ131" s="84"/>
      <c r="HK131" s="84"/>
      <c r="HL131" s="84"/>
    </row>
    <row r="132" spans="1:220" s="85" customFormat="1" ht="16.5" customHeight="1" x14ac:dyDescent="0.15">
      <c r="A132" s="99"/>
      <c r="B132" s="91" t="s">
        <v>249</v>
      </c>
      <c r="C132" s="101"/>
      <c r="D132" s="80" t="s">
        <v>499</v>
      </c>
      <c r="E132" s="81"/>
      <c r="F132" s="81"/>
      <c r="G132" s="88" t="s">
        <v>477</v>
      </c>
      <c r="H132" s="82"/>
      <c r="I132" s="82"/>
      <c r="J132" s="81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  <c r="FU132" s="84"/>
      <c r="FV132" s="84"/>
      <c r="FW132" s="84"/>
      <c r="FX132" s="84"/>
      <c r="FY132" s="84"/>
      <c r="FZ132" s="84"/>
      <c r="GA132" s="84"/>
      <c r="GB132" s="84"/>
      <c r="GC132" s="84"/>
      <c r="GD132" s="84"/>
      <c r="GE132" s="84"/>
      <c r="GF132" s="84"/>
      <c r="GG132" s="84"/>
      <c r="GH132" s="84"/>
      <c r="GI132" s="84"/>
      <c r="GJ132" s="84"/>
      <c r="GK132" s="84"/>
      <c r="GL132" s="84"/>
      <c r="GM132" s="84"/>
      <c r="GN132" s="84"/>
      <c r="GO132" s="84"/>
      <c r="GP132" s="84"/>
      <c r="GQ132" s="84"/>
      <c r="GR132" s="84"/>
      <c r="GS132" s="84"/>
      <c r="GT132" s="84"/>
      <c r="GU132" s="84"/>
      <c r="GV132" s="84"/>
      <c r="GW132" s="84"/>
      <c r="GX132" s="84"/>
      <c r="GY132" s="84"/>
      <c r="GZ132" s="84"/>
      <c r="HA132" s="84"/>
      <c r="HB132" s="84"/>
      <c r="HC132" s="84"/>
      <c r="HD132" s="84"/>
      <c r="HE132" s="84"/>
      <c r="HF132" s="84"/>
      <c r="HG132" s="84"/>
      <c r="HH132" s="84"/>
      <c r="HI132" s="84"/>
      <c r="HJ132" s="84"/>
      <c r="HK132" s="84"/>
      <c r="HL132" s="84"/>
    </row>
    <row r="133" spans="1:220" s="85" customFormat="1" ht="16.5" customHeight="1" x14ac:dyDescent="0.15">
      <c r="A133" s="99"/>
      <c r="B133" s="91" t="s">
        <v>250</v>
      </c>
      <c r="C133" s="101"/>
      <c r="D133" s="80" t="s">
        <v>498</v>
      </c>
      <c r="E133" s="81"/>
      <c r="F133" s="81"/>
      <c r="G133" s="88" t="s">
        <v>477</v>
      </c>
      <c r="H133" s="82"/>
      <c r="I133" s="82"/>
      <c r="J133" s="81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  <c r="FU133" s="84"/>
      <c r="FV133" s="84"/>
      <c r="FW133" s="84"/>
      <c r="FX133" s="84"/>
      <c r="FY133" s="84"/>
      <c r="FZ133" s="84"/>
      <c r="GA133" s="84"/>
      <c r="GB133" s="84"/>
      <c r="GC133" s="84"/>
      <c r="GD133" s="84"/>
      <c r="GE133" s="84"/>
      <c r="GF133" s="84"/>
      <c r="GG133" s="84"/>
      <c r="GH133" s="84"/>
      <c r="GI133" s="84"/>
      <c r="GJ133" s="84"/>
      <c r="GK133" s="84"/>
      <c r="GL133" s="84"/>
      <c r="GM133" s="84"/>
      <c r="GN133" s="84"/>
      <c r="GO133" s="84"/>
      <c r="GP133" s="84"/>
      <c r="GQ133" s="84"/>
      <c r="GR133" s="84"/>
      <c r="GS133" s="84"/>
      <c r="GT133" s="84"/>
      <c r="GU133" s="84"/>
      <c r="GV133" s="84"/>
      <c r="GW133" s="84"/>
      <c r="GX133" s="84"/>
      <c r="GY133" s="84"/>
      <c r="GZ133" s="84"/>
      <c r="HA133" s="84"/>
      <c r="HB133" s="84"/>
      <c r="HC133" s="84"/>
      <c r="HD133" s="84"/>
      <c r="HE133" s="84"/>
      <c r="HF133" s="84"/>
      <c r="HG133" s="84"/>
      <c r="HH133" s="84"/>
      <c r="HI133" s="84"/>
      <c r="HJ133" s="84"/>
      <c r="HK133" s="84"/>
      <c r="HL133" s="84"/>
    </row>
    <row r="134" spans="1:220" s="85" customFormat="1" ht="16.5" customHeight="1" x14ac:dyDescent="0.15">
      <c r="A134" s="99"/>
      <c r="B134" s="91" t="s">
        <v>251</v>
      </c>
      <c r="C134" s="101"/>
      <c r="D134" s="80" t="s">
        <v>392</v>
      </c>
      <c r="E134" s="81"/>
      <c r="F134" s="81"/>
      <c r="G134" s="88" t="s">
        <v>477</v>
      </c>
      <c r="H134" s="82"/>
      <c r="I134" s="82"/>
      <c r="J134" s="81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  <c r="FU134" s="84"/>
      <c r="FV134" s="84"/>
      <c r="FW134" s="84"/>
      <c r="FX134" s="84"/>
      <c r="FY134" s="84"/>
      <c r="FZ134" s="84"/>
      <c r="GA134" s="84"/>
      <c r="GB134" s="84"/>
      <c r="GC134" s="84"/>
      <c r="GD134" s="84"/>
      <c r="GE134" s="84"/>
      <c r="GF134" s="84"/>
      <c r="GG134" s="84"/>
      <c r="GH134" s="84"/>
      <c r="GI134" s="84"/>
      <c r="GJ134" s="84"/>
      <c r="GK134" s="84"/>
      <c r="GL134" s="84"/>
      <c r="GM134" s="84"/>
      <c r="GN134" s="84"/>
      <c r="GO134" s="84"/>
      <c r="GP134" s="84"/>
      <c r="GQ134" s="84"/>
      <c r="GR134" s="84"/>
      <c r="GS134" s="84"/>
      <c r="GT134" s="84"/>
      <c r="GU134" s="84"/>
      <c r="GV134" s="84"/>
      <c r="GW134" s="84"/>
      <c r="GX134" s="84"/>
      <c r="GY134" s="84"/>
      <c r="GZ134" s="84"/>
      <c r="HA134" s="84"/>
      <c r="HB134" s="84"/>
      <c r="HC134" s="84"/>
      <c r="HD134" s="84"/>
      <c r="HE134" s="84"/>
      <c r="HF134" s="84"/>
      <c r="HG134" s="84"/>
      <c r="HH134" s="84"/>
      <c r="HI134" s="84"/>
      <c r="HJ134" s="84"/>
      <c r="HK134" s="84"/>
      <c r="HL134" s="84"/>
    </row>
    <row r="135" spans="1:220" s="85" customFormat="1" ht="16.5" customHeight="1" x14ac:dyDescent="0.15">
      <c r="A135" s="99"/>
      <c r="B135" s="91" t="s">
        <v>252</v>
      </c>
      <c r="C135" s="101"/>
      <c r="D135" s="80" t="s">
        <v>393</v>
      </c>
      <c r="E135" s="81"/>
      <c r="F135" s="81"/>
      <c r="G135" s="88" t="s">
        <v>477</v>
      </c>
      <c r="H135" s="82"/>
      <c r="I135" s="82"/>
      <c r="J135" s="81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  <c r="FU135" s="84"/>
      <c r="FV135" s="84"/>
      <c r="FW135" s="84"/>
      <c r="FX135" s="84"/>
      <c r="FY135" s="84"/>
      <c r="FZ135" s="84"/>
      <c r="GA135" s="84"/>
      <c r="GB135" s="84"/>
      <c r="GC135" s="84"/>
      <c r="GD135" s="84"/>
      <c r="GE135" s="84"/>
      <c r="GF135" s="84"/>
      <c r="GG135" s="84"/>
      <c r="GH135" s="84"/>
      <c r="GI135" s="84"/>
      <c r="GJ135" s="84"/>
      <c r="GK135" s="84"/>
      <c r="GL135" s="84"/>
      <c r="GM135" s="84"/>
      <c r="GN135" s="84"/>
      <c r="GO135" s="84"/>
      <c r="GP135" s="84"/>
      <c r="GQ135" s="84"/>
      <c r="GR135" s="84"/>
      <c r="GS135" s="84"/>
      <c r="GT135" s="84"/>
      <c r="GU135" s="84"/>
      <c r="GV135" s="84"/>
      <c r="GW135" s="84"/>
      <c r="GX135" s="84"/>
      <c r="GY135" s="84"/>
      <c r="GZ135" s="84"/>
      <c r="HA135" s="84"/>
      <c r="HB135" s="84"/>
      <c r="HC135" s="84"/>
      <c r="HD135" s="84"/>
      <c r="HE135" s="84"/>
      <c r="HF135" s="84"/>
      <c r="HG135" s="84"/>
      <c r="HH135" s="84"/>
      <c r="HI135" s="84"/>
      <c r="HJ135" s="84"/>
      <c r="HK135" s="84"/>
      <c r="HL135" s="84"/>
    </row>
    <row r="136" spans="1:220" s="85" customFormat="1" ht="16.5" customHeight="1" x14ac:dyDescent="0.15">
      <c r="A136" s="99"/>
      <c r="B136" s="91" t="s">
        <v>253</v>
      </c>
      <c r="C136" s="101"/>
      <c r="D136" s="81" t="s">
        <v>394</v>
      </c>
      <c r="E136" s="81"/>
      <c r="F136" s="81"/>
      <c r="G136" s="88" t="s">
        <v>477</v>
      </c>
      <c r="H136" s="82"/>
      <c r="I136" s="82"/>
      <c r="J136" s="81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  <c r="FU136" s="84"/>
      <c r="FV136" s="84"/>
      <c r="FW136" s="84"/>
      <c r="FX136" s="84"/>
      <c r="FY136" s="84"/>
      <c r="FZ136" s="84"/>
      <c r="GA136" s="84"/>
      <c r="GB136" s="84"/>
      <c r="GC136" s="84"/>
      <c r="GD136" s="84"/>
      <c r="GE136" s="84"/>
      <c r="GF136" s="84"/>
      <c r="GG136" s="84"/>
      <c r="GH136" s="84"/>
      <c r="GI136" s="84"/>
      <c r="GJ136" s="84"/>
      <c r="GK136" s="84"/>
      <c r="GL136" s="84"/>
      <c r="GM136" s="84"/>
      <c r="GN136" s="84"/>
      <c r="GO136" s="84"/>
      <c r="GP136" s="84"/>
      <c r="GQ136" s="84"/>
      <c r="GR136" s="84"/>
      <c r="GS136" s="84"/>
      <c r="GT136" s="84"/>
      <c r="GU136" s="84"/>
      <c r="GV136" s="84"/>
      <c r="GW136" s="84"/>
      <c r="GX136" s="84"/>
      <c r="GY136" s="84"/>
      <c r="GZ136" s="84"/>
      <c r="HA136" s="84"/>
      <c r="HB136" s="84"/>
      <c r="HC136" s="84"/>
      <c r="HD136" s="84"/>
      <c r="HE136" s="84"/>
      <c r="HF136" s="84"/>
      <c r="HG136" s="84"/>
      <c r="HH136" s="84"/>
      <c r="HI136" s="84"/>
      <c r="HJ136" s="84"/>
      <c r="HK136" s="84"/>
      <c r="HL136" s="84"/>
    </row>
    <row r="137" spans="1:220" s="85" customFormat="1" ht="16.5" customHeight="1" x14ac:dyDescent="0.15">
      <c r="A137" s="99"/>
      <c r="B137" s="91" t="s">
        <v>489</v>
      </c>
      <c r="C137" s="103"/>
      <c r="D137" s="81" t="s">
        <v>395</v>
      </c>
      <c r="E137" s="81"/>
      <c r="F137" s="81"/>
      <c r="G137" s="88" t="s">
        <v>477</v>
      </c>
      <c r="H137" s="82"/>
      <c r="I137" s="82"/>
      <c r="J137" s="81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  <c r="FU137" s="84"/>
      <c r="FV137" s="84"/>
      <c r="FW137" s="84"/>
      <c r="FX137" s="84"/>
      <c r="FY137" s="84"/>
      <c r="FZ137" s="84"/>
      <c r="GA137" s="84"/>
      <c r="GB137" s="84"/>
      <c r="GC137" s="84"/>
      <c r="GD137" s="84"/>
      <c r="GE137" s="84"/>
      <c r="GF137" s="84"/>
      <c r="GG137" s="84"/>
      <c r="GH137" s="84"/>
      <c r="GI137" s="84"/>
      <c r="GJ137" s="84"/>
      <c r="GK137" s="84"/>
      <c r="GL137" s="84"/>
      <c r="GM137" s="84"/>
      <c r="GN137" s="84"/>
      <c r="GO137" s="84"/>
      <c r="GP137" s="84"/>
      <c r="GQ137" s="84"/>
      <c r="GR137" s="84"/>
      <c r="GS137" s="84"/>
      <c r="GT137" s="84"/>
      <c r="GU137" s="84"/>
      <c r="GV137" s="84"/>
      <c r="GW137" s="84"/>
      <c r="GX137" s="84"/>
      <c r="GY137" s="84"/>
      <c r="GZ137" s="84"/>
      <c r="HA137" s="84"/>
      <c r="HB137" s="84"/>
      <c r="HC137" s="84"/>
      <c r="HD137" s="84"/>
      <c r="HE137" s="84"/>
      <c r="HF137" s="84"/>
      <c r="HG137" s="84"/>
      <c r="HH137" s="84"/>
      <c r="HI137" s="84"/>
      <c r="HJ137" s="84"/>
      <c r="HK137" s="84"/>
      <c r="HL137" s="84"/>
    </row>
    <row r="138" spans="1:220" s="85" customFormat="1" ht="16.5" customHeight="1" x14ac:dyDescent="0.15">
      <c r="A138" s="99"/>
      <c r="B138" s="91" t="s">
        <v>254</v>
      </c>
      <c r="C138" s="100" t="s">
        <v>494</v>
      </c>
      <c r="D138" s="80" t="s">
        <v>501</v>
      </c>
      <c r="E138" s="81"/>
      <c r="F138" s="81"/>
      <c r="G138" s="88" t="s">
        <v>477</v>
      </c>
      <c r="H138" s="82"/>
      <c r="I138" s="82"/>
      <c r="J138" s="81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  <c r="FU138" s="84"/>
      <c r="FV138" s="84"/>
      <c r="FW138" s="84"/>
      <c r="FX138" s="84"/>
      <c r="FY138" s="84"/>
      <c r="FZ138" s="84"/>
      <c r="GA138" s="84"/>
      <c r="GB138" s="84"/>
      <c r="GC138" s="84"/>
      <c r="GD138" s="84"/>
      <c r="GE138" s="84"/>
      <c r="GF138" s="84"/>
      <c r="GG138" s="84"/>
      <c r="GH138" s="84"/>
      <c r="GI138" s="84"/>
      <c r="GJ138" s="84"/>
      <c r="GK138" s="84"/>
      <c r="GL138" s="84"/>
      <c r="GM138" s="84"/>
      <c r="GN138" s="84"/>
      <c r="GO138" s="84"/>
      <c r="GP138" s="84"/>
      <c r="GQ138" s="84"/>
      <c r="GR138" s="84"/>
      <c r="GS138" s="84"/>
      <c r="GT138" s="84"/>
      <c r="GU138" s="84"/>
      <c r="GV138" s="84"/>
      <c r="GW138" s="84"/>
      <c r="GX138" s="84"/>
      <c r="GY138" s="84"/>
      <c r="GZ138" s="84"/>
      <c r="HA138" s="84"/>
      <c r="HB138" s="84"/>
      <c r="HC138" s="84"/>
      <c r="HD138" s="84"/>
      <c r="HE138" s="84"/>
      <c r="HF138" s="84"/>
      <c r="HG138" s="84"/>
      <c r="HH138" s="84"/>
      <c r="HI138" s="84"/>
      <c r="HJ138" s="84"/>
      <c r="HK138" s="84"/>
      <c r="HL138" s="84"/>
    </row>
    <row r="139" spans="1:220" s="85" customFormat="1" ht="16.5" customHeight="1" x14ac:dyDescent="0.15">
      <c r="A139" s="99"/>
      <c r="B139" s="91" t="s">
        <v>255</v>
      </c>
      <c r="C139" s="101"/>
      <c r="D139" s="80" t="s">
        <v>502</v>
      </c>
      <c r="E139" s="81"/>
      <c r="F139" s="81"/>
      <c r="G139" s="88" t="s">
        <v>477</v>
      </c>
      <c r="H139" s="82"/>
      <c r="I139" s="82"/>
      <c r="J139" s="81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  <c r="FU139" s="84"/>
      <c r="FV139" s="84"/>
      <c r="FW139" s="84"/>
      <c r="FX139" s="84"/>
      <c r="FY139" s="84"/>
      <c r="FZ139" s="84"/>
      <c r="GA139" s="84"/>
      <c r="GB139" s="84"/>
      <c r="GC139" s="84"/>
      <c r="GD139" s="84"/>
      <c r="GE139" s="84"/>
      <c r="GF139" s="84"/>
      <c r="GG139" s="84"/>
      <c r="GH139" s="84"/>
      <c r="GI139" s="84"/>
      <c r="GJ139" s="84"/>
      <c r="GK139" s="84"/>
      <c r="GL139" s="84"/>
      <c r="GM139" s="84"/>
      <c r="GN139" s="84"/>
      <c r="GO139" s="84"/>
      <c r="GP139" s="84"/>
      <c r="GQ139" s="84"/>
      <c r="GR139" s="84"/>
      <c r="GS139" s="84"/>
      <c r="GT139" s="84"/>
      <c r="GU139" s="84"/>
      <c r="GV139" s="84"/>
      <c r="GW139" s="84"/>
      <c r="GX139" s="84"/>
      <c r="GY139" s="84"/>
      <c r="GZ139" s="84"/>
      <c r="HA139" s="84"/>
      <c r="HB139" s="84"/>
      <c r="HC139" s="84"/>
      <c r="HD139" s="84"/>
      <c r="HE139" s="84"/>
      <c r="HF139" s="84"/>
      <c r="HG139" s="84"/>
      <c r="HH139" s="84"/>
      <c r="HI139" s="84"/>
      <c r="HJ139" s="84"/>
      <c r="HK139" s="84"/>
      <c r="HL139" s="84"/>
    </row>
    <row r="140" spans="1:220" s="85" customFormat="1" ht="16.5" customHeight="1" x14ac:dyDescent="0.15">
      <c r="A140" s="99"/>
      <c r="B140" s="91" t="s">
        <v>256</v>
      </c>
      <c r="C140" s="101"/>
      <c r="D140" s="80" t="s">
        <v>503</v>
      </c>
      <c r="E140" s="81"/>
      <c r="F140" s="81"/>
      <c r="G140" s="88" t="s">
        <v>477</v>
      </c>
      <c r="H140" s="82"/>
      <c r="I140" s="82"/>
      <c r="J140" s="81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  <c r="FU140" s="84"/>
      <c r="FV140" s="84"/>
      <c r="FW140" s="84"/>
      <c r="FX140" s="84"/>
      <c r="FY140" s="84"/>
      <c r="FZ140" s="84"/>
      <c r="GA140" s="84"/>
      <c r="GB140" s="84"/>
      <c r="GC140" s="84"/>
      <c r="GD140" s="84"/>
      <c r="GE140" s="84"/>
      <c r="GF140" s="84"/>
      <c r="GG140" s="84"/>
      <c r="GH140" s="84"/>
      <c r="GI140" s="84"/>
      <c r="GJ140" s="84"/>
      <c r="GK140" s="84"/>
      <c r="GL140" s="84"/>
      <c r="GM140" s="84"/>
      <c r="GN140" s="84"/>
      <c r="GO140" s="84"/>
      <c r="GP140" s="84"/>
      <c r="GQ140" s="84"/>
      <c r="GR140" s="84"/>
      <c r="GS140" s="84"/>
      <c r="GT140" s="84"/>
      <c r="GU140" s="84"/>
      <c r="GV140" s="84"/>
      <c r="GW140" s="84"/>
      <c r="GX140" s="84"/>
      <c r="GY140" s="84"/>
      <c r="GZ140" s="84"/>
      <c r="HA140" s="84"/>
      <c r="HB140" s="84"/>
      <c r="HC140" s="84"/>
      <c r="HD140" s="84"/>
      <c r="HE140" s="84"/>
      <c r="HF140" s="84"/>
      <c r="HG140" s="84"/>
      <c r="HH140" s="84"/>
      <c r="HI140" s="84"/>
      <c r="HJ140" s="84"/>
      <c r="HK140" s="84"/>
      <c r="HL140" s="84"/>
    </row>
    <row r="141" spans="1:220" s="85" customFormat="1" ht="16.5" customHeight="1" x14ac:dyDescent="0.15">
      <c r="A141" s="99"/>
      <c r="B141" s="91" t="s">
        <v>257</v>
      </c>
      <c r="C141" s="101"/>
      <c r="D141" s="81" t="s">
        <v>504</v>
      </c>
      <c r="E141" s="81"/>
      <c r="F141" s="81"/>
      <c r="G141" s="88" t="s">
        <v>477</v>
      </c>
      <c r="H141" s="82"/>
      <c r="I141" s="82"/>
      <c r="J141" s="81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  <c r="FU141" s="84"/>
      <c r="FV141" s="84"/>
      <c r="FW141" s="84"/>
      <c r="FX141" s="84"/>
      <c r="FY141" s="84"/>
      <c r="FZ141" s="84"/>
      <c r="GA141" s="84"/>
      <c r="GB141" s="84"/>
      <c r="GC141" s="84"/>
      <c r="GD141" s="84"/>
      <c r="GE141" s="84"/>
      <c r="GF141" s="84"/>
      <c r="GG141" s="84"/>
      <c r="GH141" s="84"/>
      <c r="GI141" s="84"/>
      <c r="GJ141" s="84"/>
      <c r="GK141" s="84"/>
      <c r="GL141" s="84"/>
      <c r="GM141" s="84"/>
      <c r="GN141" s="84"/>
      <c r="GO141" s="84"/>
      <c r="GP141" s="84"/>
      <c r="GQ141" s="84"/>
      <c r="GR141" s="84"/>
      <c r="GS141" s="84"/>
      <c r="GT141" s="84"/>
      <c r="GU141" s="84"/>
      <c r="GV141" s="84"/>
      <c r="GW141" s="84"/>
      <c r="GX141" s="84"/>
      <c r="GY141" s="84"/>
      <c r="GZ141" s="84"/>
      <c r="HA141" s="84"/>
      <c r="HB141" s="84"/>
      <c r="HC141" s="84"/>
      <c r="HD141" s="84"/>
      <c r="HE141" s="84"/>
      <c r="HF141" s="84"/>
      <c r="HG141" s="84"/>
      <c r="HH141" s="84"/>
      <c r="HI141" s="84"/>
      <c r="HJ141" s="84"/>
      <c r="HK141" s="84"/>
      <c r="HL141" s="84"/>
    </row>
    <row r="142" spans="1:220" s="85" customFormat="1" ht="16.5" customHeight="1" x14ac:dyDescent="0.15">
      <c r="A142" s="99"/>
      <c r="B142" s="91" t="s">
        <v>258</v>
      </c>
      <c r="C142" s="103"/>
      <c r="D142" s="81" t="s">
        <v>505</v>
      </c>
      <c r="E142" s="81"/>
      <c r="F142" s="81"/>
      <c r="G142" s="88" t="s">
        <v>477</v>
      </c>
      <c r="H142" s="82"/>
      <c r="I142" s="82"/>
      <c r="J142" s="81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  <c r="FU142" s="84"/>
      <c r="FV142" s="84"/>
      <c r="FW142" s="84"/>
      <c r="FX142" s="84"/>
      <c r="FY142" s="84"/>
      <c r="FZ142" s="84"/>
      <c r="GA142" s="84"/>
      <c r="GB142" s="84"/>
      <c r="GC142" s="84"/>
      <c r="GD142" s="84"/>
      <c r="GE142" s="84"/>
      <c r="GF142" s="84"/>
      <c r="GG142" s="84"/>
      <c r="GH142" s="84"/>
      <c r="GI142" s="84"/>
      <c r="GJ142" s="84"/>
      <c r="GK142" s="84"/>
      <c r="GL142" s="84"/>
      <c r="GM142" s="84"/>
      <c r="GN142" s="84"/>
      <c r="GO142" s="84"/>
      <c r="GP142" s="84"/>
      <c r="GQ142" s="84"/>
      <c r="GR142" s="84"/>
      <c r="GS142" s="84"/>
      <c r="GT142" s="84"/>
      <c r="GU142" s="84"/>
      <c r="GV142" s="84"/>
      <c r="GW142" s="84"/>
      <c r="GX142" s="84"/>
      <c r="GY142" s="84"/>
      <c r="GZ142" s="84"/>
      <c r="HA142" s="84"/>
      <c r="HB142" s="84"/>
      <c r="HC142" s="84"/>
      <c r="HD142" s="84"/>
      <c r="HE142" s="84"/>
      <c r="HF142" s="84"/>
      <c r="HG142" s="84"/>
      <c r="HH142" s="84"/>
      <c r="HI142" s="84"/>
      <c r="HJ142" s="84"/>
      <c r="HK142" s="84"/>
      <c r="HL142" s="84"/>
    </row>
    <row r="143" spans="1:220" s="85" customFormat="1" ht="16.5" customHeight="1" x14ac:dyDescent="0.15">
      <c r="A143" s="99"/>
      <c r="B143" s="91" t="s">
        <v>259</v>
      </c>
      <c r="C143" s="100" t="s">
        <v>506</v>
      </c>
      <c r="D143" s="81" t="s">
        <v>509</v>
      </c>
      <c r="E143" s="81"/>
      <c r="F143" s="81"/>
      <c r="G143" s="88" t="s">
        <v>477</v>
      </c>
      <c r="H143" s="82"/>
      <c r="I143" s="82"/>
      <c r="J143" s="81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  <c r="FU143" s="84"/>
      <c r="FV143" s="84"/>
      <c r="FW143" s="84"/>
      <c r="FX143" s="84"/>
      <c r="FY143" s="84"/>
      <c r="FZ143" s="84"/>
      <c r="GA143" s="84"/>
      <c r="GB143" s="84"/>
      <c r="GC143" s="84"/>
      <c r="GD143" s="84"/>
      <c r="GE143" s="84"/>
      <c r="GF143" s="84"/>
      <c r="GG143" s="84"/>
      <c r="GH143" s="84"/>
      <c r="GI143" s="84"/>
      <c r="GJ143" s="84"/>
      <c r="GK143" s="84"/>
      <c r="GL143" s="84"/>
      <c r="GM143" s="84"/>
      <c r="GN143" s="84"/>
      <c r="GO143" s="84"/>
      <c r="GP143" s="84"/>
      <c r="GQ143" s="84"/>
      <c r="GR143" s="84"/>
      <c r="GS143" s="84"/>
      <c r="GT143" s="84"/>
      <c r="GU143" s="84"/>
      <c r="GV143" s="84"/>
      <c r="GW143" s="84"/>
      <c r="GX143" s="84"/>
      <c r="GY143" s="84"/>
      <c r="GZ143" s="84"/>
      <c r="HA143" s="84"/>
      <c r="HB143" s="84"/>
      <c r="HC143" s="84"/>
      <c r="HD143" s="84"/>
      <c r="HE143" s="84"/>
      <c r="HF143" s="84"/>
      <c r="HG143" s="84"/>
      <c r="HH143" s="84"/>
      <c r="HI143" s="84"/>
      <c r="HJ143" s="84"/>
      <c r="HK143" s="84"/>
      <c r="HL143" s="84"/>
    </row>
    <row r="144" spans="1:220" s="85" customFormat="1" ht="16.5" customHeight="1" x14ac:dyDescent="0.15">
      <c r="A144" s="99"/>
      <c r="B144" s="91" t="s">
        <v>260</v>
      </c>
      <c r="C144" s="101"/>
      <c r="D144" s="81" t="s">
        <v>510</v>
      </c>
      <c r="E144" s="81"/>
      <c r="F144" s="81"/>
      <c r="G144" s="88" t="s">
        <v>477</v>
      </c>
      <c r="H144" s="82"/>
      <c r="I144" s="82"/>
      <c r="J144" s="81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  <c r="FU144" s="84"/>
      <c r="FV144" s="84"/>
      <c r="FW144" s="84"/>
      <c r="FX144" s="84"/>
      <c r="FY144" s="84"/>
      <c r="FZ144" s="84"/>
      <c r="GA144" s="84"/>
      <c r="GB144" s="84"/>
      <c r="GC144" s="84"/>
      <c r="GD144" s="84"/>
      <c r="GE144" s="84"/>
      <c r="GF144" s="84"/>
      <c r="GG144" s="84"/>
      <c r="GH144" s="84"/>
      <c r="GI144" s="84"/>
      <c r="GJ144" s="84"/>
      <c r="GK144" s="84"/>
      <c r="GL144" s="84"/>
      <c r="GM144" s="84"/>
      <c r="GN144" s="84"/>
      <c r="GO144" s="84"/>
      <c r="GP144" s="84"/>
      <c r="GQ144" s="84"/>
      <c r="GR144" s="84"/>
      <c r="GS144" s="84"/>
      <c r="GT144" s="84"/>
      <c r="GU144" s="84"/>
      <c r="GV144" s="84"/>
      <c r="GW144" s="84"/>
      <c r="GX144" s="84"/>
      <c r="GY144" s="84"/>
      <c r="GZ144" s="84"/>
      <c r="HA144" s="84"/>
      <c r="HB144" s="84"/>
      <c r="HC144" s="84"/>
      <c r="HD144" s="84"/>
      <c r="HE144" s="84"/>
      <c r="HF144" s="84"/>
      <c r="HG144" s="84"/>
      <c r="HH144" s="84"/>
      <c r="HI144" s="84"/>
      <c r="HJ144" s="84"/>
      <c r="HK144" s="84"/>
      <c r="HL144" s="84"/>
    </row>
    <row r="145" spans="1:220" s="85" customFormat="1" ht="16.5" customHeight="1" x14ac:dyDescent="0.15">
      <c r="A145" s="99"/>
      <c r="B145" s="91" t="s">
        <v>261</v>
      </c>
      <c r="C145" s="101"/>
      <c r="D145" s="81" t="s">
        <v>511</v>
      </c>
      <c r="E145" s="81"/>
      <c r="F145" s="81"/>
      <c r="G145" s="88" t="s">
        <v>477</v>
      </c>
      <c r="H145" s="82"/>
      <c r="I145" s="82"/>
      <c r="J145" s="81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  <c r="FU145" s="84"/>
      <c r="FV145" s="84"/>
      <c r="FW145" s="84"/>
      <c r="FX145" s="84"/>
      <c r="FY145" s="84"/>
      <c r="FZ145" s="84"/>
      <c r="GA145" s="84"/>
      <c r="GB145" s="84"/>
      <c r="GC145" s="84"/>
      <c r="GD145" s="84"/>
      <c r="GE145" s="84"/>
      <c r="GF145" s="84"/>
      <c r="GG145" s="84"/>
      <c r="GH145" s="84"/>
      <c r="GI145" s="84"/>
      <c r="GJ145" s="84"/>
      <c r="GK145" s="84"/>
      <c r="GL145" s="84"/>
      <c r="GM145" s="84"/>
      <c r="GN145" s="84"/>
      <c r="GO145" s="84"/>
      <c r="GP145" s="84"/>
      <c r="GQ145" s="84"/>
      <c r="GR145" s="84"/>
      <c r="GS145" s="84"/>
      <c r="GT145" s="84"/>
      <c r="GU145" s="84"/>
      <c r="GV145" s="84"/>
      <c r="GW145" s="84"/>
      <c r="GX145" s="84"/>
      <c r="GY145" s="84"/>
      <c r="GZ145" s="84"/>
      <c r="HA145" s="84"/>
      <c r="HB145" s="84"/>
      <c r="HC145" s="84"/>
      <c r="HD145" s="84"/>
      <c r="HE145" s="84"/>
      <c r="HF145" s="84"/>
      <c r="HG145" s="84"/>
      <c r="HH145" s="84"/>
      <c r="HI145" s="84"/>
      <c r="HJ145" s="84"/>
      <c r="HK145" s="84"/>
      <c r="HL145" s="84"/>
    </row>
    <row r="146" spans="1:220" s="85" customFormat="1" ht="16.5" customHeight="1" x14ac:dyDescent="0.15">
      <c r="A146" s="99"/>
      <c r="B146" s="91" t="s">
        <v>262</v>
      </c>
      <c r="C146" s="101"/>
      <c r="D146" s="81" t="s">
        <v>507</v>
      </c>
      <c r="E146" s="81"/>
      <c r="F146" s="81"/>
      <c r="G146" s="88" t="s">
        <v>477</v>
      </c>
      <c r="H146" s="82"/>
      <c r="I146" s="82"/>
      <c r="J146" s="81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  <c r="FU146" s="84"/>
      <c r="FV146" s="84"/>
      <c r="FW146" s="84"/>
      <c r="FX146" s="84"/>
      <c r="FY146" s="84"/>
      <c r="FZ146" s="84"/>
      <c r="GA146" s="84"/>
      <c r="GB146" s="84"/>
      <c r="GC146" s="84"/>
      <c r="GD146" s="84"/>
      <c r="GE146" s="84"/>
      <c r="GF146" s="84"/>
      <c r="GG146" s="84"/>
      <c r="GH146" s="84"/>
      <c r="GI146" s="84"/>
      <c r="GJ146" s="84"/>
      <c r="GK146" s="84"/>
      <c r="GL146" s="84"/>
      <c r="GM146" s="84"/>
      <c r="GN146" s="84"/>
      <c r="GO146" s="84"/>
      <c r="GP146" s="84"/>
      <c r="GQ146" s="84"/>
      <c r="GR146" s="84"/>
      <c r="GS146" s="84"/>
      <c r="GT146" s="84"/>
      <c r="GU146" s="84"/>
      <c r="GV146" s="84"/>
      <c r="GW146" s="84"/>
      <c r="GX146" s="84"/>
      <c r="GY146" s="84"/>
      <c r="GZ146" s="84"/>
      <c r="HA146" s="84"/>
      <c r="HB146" s="84"/>
      <c r="HC146" s="84"/>
      <c r="HD146" s="84"/>
      <c r="HE146" s="84"/>
      <c r="HF146" s="84"/>
      <c r="HG146" s="84"/>
      <c r="HH146" s="84"/>
      <c r="HI146" s="84"/>
      <c r="HJ146" s="84"/>
      <c r="HK146" s="84"/>
      <c r="HL146" s="84"/>
    </row>
    <row r="147" spans="1:220" s="85" customFormat="1" ht="16.5" customHeight="1" x14ac:dyDescent="0.15">
      <c r="A147" s="99"/>
      <c r="B147" s="91" t="s">
        <v>263</v>
      </c>
      <c r="C147" s="103"/>
      <c r="D147" s="85" t="s">
        <v>508</v>
      </c>
      <c r="E147" s="81"/>
      <c r="F147" s="81"/>
      <c r="G147" s="88" t="s">
        <v>477</v>
      </c>
      <c r="H147" s="82"/>
      <c r="I147" s="82"/>
      <c r="J147" s="81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  <c r="FU147" s="84"/>
      <c r="FV147" s="84"/>
      <c r="FW147" s="84"/>
      <c r="FX147" s="84"/>
      <c r="FY147" s="84"/>
      <c r="FZ147" s="84"/>
      <c r="GA147" s="84"/>
      <c r="GB147" s="84"/>
      <c r="GC147" s="84"/>
      <c r="GD147" s="84"/>
      <c r="GE147" s="84"/>
      <c r="GF147" s="84"/>
      <c r="GG147" s="84"/>
      <c r="GH147" s="84"/>
      <c r="GI147" s="84"/>
      <c r="GJ147" s="84"/>
      <c r="GK147" s="84"/>
      <c r="GL147" s="84"/>
      <c r="GM147" s="84"/>
      <c r="GN147" s="84"/>
      <c r="GO147" s="84"/>
      <c r="GP147" s="84"/>
      <c r="GQ147" s="84"/>
      <c r="GR147" s="84"/>
      <c r="GS147" s="84"/>
      <c r="GT147" s="84"/>
      <c r="GU147" s="84"/>
      <c r="GV147" s="84"/>
      <c r="GW147" s="84"/>
      <c r="GX147" s="84"/>
      <c r="GY147" s="84"/>
      <c r="GZ147" s="84"/>
      <c r="HA147" s="84"/>
      <c r="HB147" s="84"/>
      <c r="HC147" s="84"/>
      <c r="HD147" s="84"/>
      <c r="HE147" s="84"/>
      <c r="HF147" s="84"/>
      <c r="HG147" s="84"/>
      <c r="HH147" s="84"/>
      <c r="HI147" s="84"/>
      <c r="HJ147" s="84"/>
      <c r="HK147" s="84"/>
      <c r="HL147" s="84"/>
    </row>
    <row r="148" spans="1:220" s="85" customFormat="1" ht="16.5" customHeight="1" x14ac:dyDescent="0.15">
      <c r="A148" s="99"/>
      <c r="B148" s="91" t="s">
        <v>264</v>
      </c>
      <c r="C148" s="100" t="s">
        <v>512</v>
      </c>
      <c r="D148" s="80" t="s">
        <v>496</v>
      </c>
      <c r="E148" s="81"/>
      <c r="F148" s="81"/>
      <c r="G148" s="88" t="s">
        <v>477</v>
      </c>
      <c r="H148" s="82"/>
      <c r="I148" s="82"/>
      <c r="J148" s="81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  <c r="FU148" s="84"/>
      <c r="FV148" s="84"/>
      <c r="FW148" s="84"/>
      <c r="FX148" s="84"/>
      <c r="FY148" s="84"/>
      <c r="FZ148" s="84"/>
      <c r="GA148" s="84"/>
      <c r="GB148" s="84"/>
      <c r="GC148" s="84"/>
      <c r="GD148" s="84"/>
      <c r="GE148" s="84"/>
      <c r="GF148" s="84"/>
      <c r="GG148" s="84"/>
      <c r="GH148" s="84"/>
      <c r="GI148" s="84"/>
      <c r="GJ148" s="84"/>
      <c r="GK148" s="84"/>
      <c r="GL148" s="84"/>
      <c r="GM148" s="84"/>
      <c r="GN148" s="84"/>
      <c r="GO148" s="84"/>
      <c r="GP148" s="84"/>
      <c r="GQ148" s="84"/>
      <c r="GR148" s="84"/>
      <c r="GS148" s="84"/>
      <c r="GT148" s="84"/>
      <c r="GU148" s="84"/>
      <c r="GV148" s="84"/>
      <c r="GW148" s="84"/>
      <c r="GX148" s="84"/>
      <c r="GY148" s="84"/>
      <c r="GZ148" s="84"/>
      <c r="HA148" s="84"/>
      <c r="HB148" s="84"/>
      <c r="HC148" s="84"/>
      <c r="HD148" s="84"/>
      <c r="HE148" s="84"/>
      <c r="HF148" s="84"/>
      <c r="HG148" s="84"/>
      <c r="HH148" s="84"/>
      <c r="HI148" s="84"/>
      <c r="HJ148" s="84"/>
      <c r="HK148" s="84"/>
      <c r="HL148" s="84"/>
    </row>
    <row r="149" spans="1:220" s="85" customFormat="1" ht="16.5" customHeight="1" x14ac:dyDescent="0.15">
      <c r="A149" s="99"/>
      <c r="B149" s="91" t="s">
        <v>500</v>
      </c>
      <c r="C149" s="101"/>
      <c r="D149" s="80" t="s">
        <v>497</v>
      </c>
      <c r="E149" s="81"/>
      <c r="F149" s="81"/>
      <c r="G149" s="88" t="s">
        <v>477</v>
      </c>
      <c r="H149" s="82"/>
      <c r="I149" s="82"/>
      <c r="J149" s="81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  <c r="FU149" s="84"/>
      <c r="FV149" s="84"/>
      <c r="FW149" s="84"/>
      <c r="FX149" s="84"/>
      <c r="FY149" s="84"/>
      <c r="FZ149" s="84"/>
      <c r="GA149" s="84"/>
      <c r="GB149" s="84"/>
      <c r="GC149" s="84"/>
      <c r="GD149" s="84"/>
      <c r="GE149" s="84"/>
      <c r="GF149" s="84"/>
      <c r="GG149" s="84"/>
      <c r="GH149" s="84"/>
      <c r="GI149" s="84"/>
      <c r="GJ149" s="84"/>
      <c r="GK149" s="84"/>
      <c r="GL149" s="84"/>
      <c r="GM149" s="84"/>
      <c r="GN149" s="84"/>
      <c r="GO149" s="84"/>
      <c r="GP149" s="84"/>
      <c r="GQ149" s="84"/>
      <c r="GR149" s="84"/>
      <c r="GS149" s="84"/>
      <c r="GT149" s="84"/>
      <c r="GU149" s="84"/>
      <c r="GV149" s="84"/>
      <c r="GW149" s="84"/>
      <c r="GX149" s="84"/>
      <c r="GY149" s="84"/>
      <c r="GZ149" s="84"/>
      <c r="HA149" s="84"/>
      <c r="HB149" s="84"/>
      <c r="HC149" s="84"/>
      <c r="HD149" s="84"/>
      <c r="HE149" s="84"/>
      <c r="HF149" s="84"/>
      <c r="HG149" s="84"/>
      <c r="HH149" s="84"/>
      <c r="HI149" s="84"/>
      <c r="HJ149" s="84"/>
      <c r="HK149" s="84"/>
      <c r="HL149" s="84"/>
    </row>
    <row r="150" spans="1:220" s="85" customFormat="1" ht="16.5" customHeight="1" x14ac:dyDescent="0.15">
      <c r="A150" s="99"/>
      <c r="B150" s="91" t="s">
        <v>265</v>
      </c>
      <c r="C150" s="101"/>
      <c r="D150" s="80" t="s">
        <v>498</v>
      </c>
      <c r="E150" s="81"/>
      <c r="F150" s="81"/>
      <c r="G150" s="88" t="s">
        <v>477</v>
      </c>
      <c r="H150" s="82"/>
      <c r="I150" s="82"/>
      <c r="J150" s="81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  <c r="FU150" s="84"/>
      <c r="FV150" s="84"/>
      <c r="FW150" s="84"/>
      <c r="FX150" s="84"/>
      <c r="FY150" s="84"/>
      <c r="FZ150" s="84"/>
      <c r="GA150" s="84"/>
      <c r="GB150" s="84"/>
      <c r="GC150" s="84"/>
      <c r="GD150" s="84"/>
      <c r="GE150" s="84"/>
      <c r="GF150" s="84"/>
      <c r="GG150" s="84"/>
      <c r="GH150" s="84"/>
      <c r="GI150" s="84"/>
      <c r="GJ150" s="84"/>
      <c r="GK150" s="84"/>
      <c r="GL150" s="84"/>
      <c r="GM150" s="84"/>
      <c r="GN150" s="84"/>
      <c r="GO150" s="84"/>
      <c r="GP150" s="84"/>
      <c r="GQ150" s="84"/>
      <c r="GR150" s="84"/>
      <c r="GS150" s="84"/>
      <c r="GT150" s="84"/>
      <c r="GU150" s="84"/>
      <c r="GV150" s="84"/>
      <c r="GW150" s="84"/>
      <c r="GX150" s="84"/>
      <c r="GY150" s="84"/>
      <c r="GZ150" s="84"/>
      <c r="HA150" s="84"/>
      <c r="HB150" s="84"/>
      <c r="HC150" s="84"/>
      <c r="HD150" s="84"/>
      <c r="HE150" s="84"/>
      <c r="HF150" s="84"/>
      <c r="HG150" s="84"/>
      <c r="HH150" s="84"/>
      <c r="HI150" s="84"/>
      <c r="HJ150" s="84"/>
      <c r="HK150" s="84"/>
      <c r="HL150" s="84"/>
    </row>
    <row r="151" spans="1:220" s="85" customFormat="1" ht="16.5" customHeight="1" x14ac:dyDescent="0.15">
      <c r="A151" s="99"/>
      <c r="B151" s="91" t="s">
        <v>266</v>
      </c>
      <c r="C151" s="101"/>
      <c r="D151" s="80" t="s">
        <v>392</v>
      </c>
      <c r="E151" s="81"/>
      <c r="F151" s="81"/>
      <c r="G151" s="88" t="s">
        <v>477</v>
      </c>
      <c r="H151" s="82"/>
      <c r="I151" s="82"/>
      <c r="J151" s="81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  <c r="FU151" s="84"/>
      <c r="FV151" s="84"/>
      <c r="FW151" s="84"/>
      <c r="FX151" s="84"/>
      <c r="FY151" s="84"/>
      <c r="FZ151" s="84"/>
      <c r="GA151" s="84"/>
      <c r="GB151" s="84"/>
      <c r="GC151" s="84"/>
      <c r="GD151" s="84"/>
      <c r="GE151" s="84"/>
      <c r="GF151" s="84"/>
      <c r="GG151" s="84"/>
      <c r="GH151" s="84"/>
      <c r="GI151" s="84"/>
      <c r="GJ151" s="84"/>
      <c r="GK151" s="84"/>
      <c r="GL151" s="84"/>
      <c r="GM151" s="84"/>
      <c r="GN151" s="84"/>
      <c r="GO151" s="84"/>
      <c r="GP151" s="84"/>
      <c r="GQ151" s="84"/>
      <c r="GR151" s="84"/>
      <c r="GS151" s="84"/>
      <c r="GT151" s="84"/>
      <c r="GU151" s="84"/>
      <c r="GV151" s="84"/>
      <c r="GW151" s="84"/>
      <c r="GX151" s="84"/>
      <c r="GY151" s="84"/>
      <c r="GZ151" s="84"/>
      <c r="HA151" s="84"/>
      <c r="HB151" s="84"/>
      <c r="HC151" s="84"/>
      <c r="HD151" s="84"/>
      <c r="HE151" s="84"/>
      <c r="HF151" s="84"/>
      <c r="HG151" s="84"/>
      <c r="HH151" s="84"/>
      <c r="HI151" s="84"/>
      <c r="HJ151" s="84"/>
      <c r="HK151" s="84"/>
      <c r="HL151" s="84"/>
    </row>
    <row r="152" spans="1:220" s="85" customFormat="1" ht="16.5" customHeight="1" x14ac:dyDescent="0.15">
      <c r="A152" s="99"/>
      <c r="B152" s="91" t="s">
        <v>267</v>
      </c>
      <c r="C152" s="101"/>
      <c r="D152" s="80" t="s">
        <v>393</v>
      </c>
      <c r="E152" s="81"/>
      <c r="F152" s="81"/>
      <c r="G152" s="88" t="s">
        <v>477</v>
      </c>
      <c r="H152" s="82"/>
      <c r="I152" s="82"/>
      <c r="J152" s="81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  <c r="FU152" s="84"/>
      <c r="FV152" s="84"/>
      <c r="FW152" s="84"/>
      <c r="FX152" s="84"/>
      <c r="FY152" s="84"/>
      <c r="FZ152" s="84"/>
      <c r="GA152" s="84"/>
      <c r="GB152" s="84"/>
      <c r="GC152" s="84"/>
      <c r="GD152" s="84"/>
      <c r="GE152" s="84"/>
      <c r="GF152" s="84"/>
      <c r="GG152" s="84"/>
      <c r="GH152" s="84"/>
      <c r="GI152" s="84"/>
      <c r="GJ152" s="84"/>
      <c r="GK152" s="84"/>
      <c r="GL152" s="84"/>
      <c r="GM152" s="84"/>
      <c r="GN152" s="84"/>
      <c r="GO152" s="84"/>
      <c r="GP152" s="84"/>
      <c r="GQ152" s="84"/>
      <c r="GR152" s="84"/>
      <c r="GS152" s="84"/>
      <c r="GT152" s="84"/>
      <c r="GU152" s="84"/>
      <c r="GV152" s="84"/>
      <c r="GW152" s="84"/>
      <c r="GX152" s="84"/>
      <c r="GY152" s="84"/>
      <c r="GZ152" s="84"/>
      <c r="HA152" s="84"/>
      <c r="HB152" s="84"/>
      <c r="HC152" s="84"/>
      <c r="HD152" s="84"/>
      <c r="HE152" s="84"/>
      <c r="HF152" s="84"/>
      <c r="HG152" s="84"/>
      <c r="HH152" s="84"/>
      <c r="HI152" s="84"/>
      <c r="HJ152" s="84"/>
      <c r="HK152" s="84"/>
      <c r="HL152" s="84"/>
    </row>
    <row r="153" spans="1:220" s="85" customFormat="1" ht="16.5" customHeight="1" x14ac:dyDescent="0.15">
      <c r="A153" s="99"/>
      <c r="B153" s="91" t="s">
        <v>268</v>
      </c>
      <c r="C153" s="101"/>
      <c r="D153" s="81" t="s">
        <v>394</v>
      </c>
      <c r="E153" s="81"/>
      <c r="F153" s="81"/>
      <c r="G153" s="88" t="s">
        <v>477</v>
      </c>
      <c r="H153" s="82"/>
      <c r="I153" s="82"/>
      <c r="J153" s="81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  <c r="FU153" s="84"/>
      <c r="FV153" s="84"/>
      <c r="FW153" s="84"/>
      <c r="FX153" s="84"/>
      <c r="FY153" s="84"/>
      <c r="FZ153" s="84"/>
      <c r="GA153" s="84"/>
      <c r="GB153" s="84"/>
      <c r="GC153" s="84"/>
      <c r="GD153" s="84"/>
      <c r="GE153" s="84"/>
      <c r="GF153" s="84"/>
      <c r="GG153" s="84"/>
      <c r="GH153" s="84"/>
      <c r="GI153" s="84"/>
      <c r="GJ153" s="84"/>
      <c r="GK153" s="84"/>
      <c r="GL153" s="84"/>
      <c r="GM153" s="84"/>
      <c r="GN153" s="84"/>
      <c r="GO153" s="84"/>
      <c r="GP153" s="84"/>
      <c r="GQ153" s="84"/>
      <c r="GR153" s="84"/>
      <c r="GS153" s="84"/>
      <c r="GT153" s="84"/>
      <c r="GU153" s="84"/>
      <c r="GV153" s="84"/>
      <c r="GW153" s="84"/>
      <c r="GX153" s="84"/>
      <c r="GY153" s="84"/>
      <c r="GZ153" s="84"/>
      <c r="HA153" s="84"/>
      <c r="HB153" s="84"/>
      <c r="HC153" s="84"/>
      <c r="HD153" s="84"/>
      <c r="HE153" s="84"/>
      <c r="HF153" s="84"/>
      <c r="HG153" s="84"/>
      <c r="HH153" s="84"/>
      <c r="HI153" s="84"/>
      <c r="HJ153" s="84"/>
      <c r="HK153" s="84"/>
      <c r="HL153" s="84"/>
    </row>
    <row r="154" spans="1:220" s="85" customFormat="1" ht="16.5" customHeight="1" x14ac:dyDescent="0.15">
      <c r="A154" s="99"/>
      <c r="B154" s="91" t="s">
        <v>269</v>
      </c>
      <c r="C154" s="101"/>
      <c r="D154" s="81" t="s">
        <v>395</v>
      </c>
      <c r="E154" s="81"/>
      <c r="F154" s="81"/>
      <c r="G154" s="88" t="s">
        <v>477</v>
      </c>
      <c r="H154" s="82"/>
      <c r="I154" s="82"/>
      <c r="J154" s="81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  <c r="FU154" s="84"/>
      <c r="FV154" s="84"/>
      <c r="FW154" s="84"/>
      <c r="FX154" s="84"/>
      <c r="FY154" s="84"/>
      <c r="FZ154" s="84"/>
      <c r="GA154" s="84"/>
      <c r="GB154" s="84"/>
      <c r="GC154" s="84"/>
      <c r="GD154" s="84"/>
      <c r="GE154" s="84"/>
      <c r="GF154" s="84"/>
      <c r="GG154" s="84"/>
      <c r="GH154" s="84"/>
      <c r="GI154" s="84"/>
      <c r="GJ154" s="84"/>
      <c r="GK154" s="84"/>
      <c r="GL154" s="84"/>
      <c r="GM154" s="84"/>
      <c r="GN154" s="84"/>
      <c r="GO154" s="84"/>
      <c r="GP154" s="84"/>
      <c r="GQ154" s="84"/>
      <c r="GR154" s="84"/>
      <c r="GS154" s="84"/>
      <c r="GT154" s="84"/>
      <c r="GU154" s="84"/>
      <c r="GV154" s="84"/>
      <c r="GW154" s="84"/>
      <c r="GX154" s="84"/>
      <c r="GY154" s="84"/>
      <c r="GZ154" s="84"/>
      <c r="HA154" s="84"/>
      <c r="HB154" s="84"/>
      <c r="HC154" s="84"/>
      <c r="HD154" s="84"/>
      <c r="HE154" s="84"/>
      <c r="HF154" s="84"/>
      <c r="HG154" s="84"/>
      <c r="HH154" s="84"/>
      <c r="HI154" s="84"/>
      <c r="HJ154" s="84"/>
      <c r="HK154" s="84"/>
      <c r="HL154" s="84"/>
    </row>
    <row r="155" spans="1:220" s="85" customFormat="1" ht="16.5" customHeight="1" x14ac:dyDescent="0.15">
      <c r="A155" s="99"/>
      <c r="B155" s="91" t="s">
        <v>270</v>
      </c>
      <c r="C155" s="100" t="s">
        <v>513</v>
      </c>
      <c r="D155" s="81" t="s">
        <v>509</v>
      </c>
      <c r="E155" s="81"/>
      <c r="F155" s="81"/>
      <c r="G155" s="88" t="s">
        <v>477</v>
      </c>
      <c r="H155" s="82"/>
      <c r="I155" s="82"/>
      <c r="J155" s="81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  <c r="FU155" s="84"/>
      <c r="FV155" s="84"/>
      <c r="FW155" s="84"/>
      <c r="FX155" s="84"/>
      <c r="FY155" s="84"/>
      <c r="FZ155" s="84"/>
      <c r="GA155" s="84"/>
      <c r="GB155" s="84"/>
      <c r="GC155" s="84"/>
      <c r="GD155" s="84"/>
      <c r="GE155" s="84"/>
      <c r="GF155" s="84"/>
      <c r="GG155" s="84"/>
      <c r="GH155" s="84"/>
      <c r="GI155" s="84"/>
      <c r="GJ155" s="84"/>
      <c r="GK155" s="84"/>
      <c r="GL155" s="84"/>
      <c r="GM155" s="84"/>
      <c r="GN155" s="84"/>
      <c r="GO155" s="84"/>
      <c r="GP155" s="84"/>
      <c r="GQ155" s="84"/>
      <c r="GR155" s="84"/>
      <c r="GS155" s="84"/>
      <c r="GT155" s="84"/>
      <c r="GU155" s="84"/>
      <c r="GV155" s="84"/>
      <c r="GW155" s="84"/>
      <c r="GX155" s="84"/>
      <c r="GY155" s="84"/>
      <c r="GZ155" s="84"/>
      <c r="HA155" s="84"/>
      <c r="HB155" s="84"/>
      <c r="HC155" s="84"/>
      <c r="HD155" s="84"/>
      <c r="HE155" s="84"/>
      <c r="HF155" s="84"/>
      <c r="HG155" s="84"/>
      <c r="HH155" s="84"/>
      <c r="HI155" s="84"/>
      <c r="HJ155" s="84"/>
      <c r="HK155" s="84"/>
      <c r="HL155" s="84"/>
    </row>
    <row r="156" spans="1:220" s="85" customFormat="1" ht="16.5" customHeight="1" x14ac:dyDescent="0.15">
      <c r="A156" s="99"/>
      <c r="B156" s="91" t="s">
        <v>271</v>
      </c>
      <c r="C156" s="101"/>
      <c r="D156" s="81" t="s">
        <v>510</v>
      </c>
      <c r="E156" s="81"/>
      <c r="F156" s="81"/>
      <c r="G156" s="88" t="s">
        <v>477</v>
      </c>
      <c r="H156" s="82"/>
      <c r="I156" s="82"/>
      <c r="J156" s="81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  <c r="FU156" s="84"/>
      <c r="FV156" s="84"/>
      <c r="FW156" s="84"/>
      <c r="FX156" s="84"/>
      <c r="FY156" s="84"/>
      <c r="FZ156" s="84"/>
      <c r="GA156" s="84"/>
      <c r="GB156" s="84"/>
      <c r="GC156" s="84"/>
      <c r="GD156" s="84"/>
      <c r="GE156" s="84"/>
      <c r="GF156" s="84"/>
      <c r="GG156" s="84"/>
      <c r="GH156" s="84"/>
      <c r="GI156" s="84"/>
      <c r="GJ156" s="84"/>
      <c r="GK156" s="84"/>
      <c r="GL156" s="84"/>
      <c r="GM156" s="84"/>
      <c r="GN156" s="84"/>
      <c r="GO156" s="84"/>
      <c r="GP156" s="84"/>
      <c r="GQ156" s="84"/>
      <c r="GR156" s="84"/>
      <c r="GS156" s="84"/>
      <c r="GT156" s="84"/>
      <c r="GU156" s="84"/>
      <c r="GV156" s="84"/>
      <c r="GW156" s="84"/>
      <c r="GX156" s="84"/>
      <c r="GY156" s="84"/>
      <c r="GZ156" s="84"/>
      <c r="HA156" s="84"/>
      <c r="HB156" s="84"/>
      <c r="HC156" s="84"/>
      <c r="HD156" s="84"/>
      <c r="HE156" s="84"/>
      <c r="HF156" s="84"/>
      <c r="HG156" s="84"/>
      <c r="HH156" s="84"/>
      <c r="HI156" s="84"/>
      <c r="HJ156" s="84"/>
      <c r="HK156" s="84"/>
      <c r="HL156" s="84"/>
    </row>
    <row r="157" spans="1:220" s="85" customFormat="1" ht="16.5" customHeight="1" x14ac:dyDescent="0.15">
      <c r="A157" s="99"/>
      <c r="B157" s="91" t="s">
        <v>272</v>
      </c>
      <c r="C157" s="101"/>
      <c r="D157" s="81" t="s">
        <v>511</v>
      </c>
      <c r="E157" s="81"/>
      <c r="F157" s="81"/>
      <c r="G157" s="88" t="s">
        <v>477</v>
      </c>
      <c r="H157" s="82"/>
      <c r="I157" s="82"/>
      <c r="J157" s="81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  <c r="FU157" s="84"/>
      <c r="FV157" s="84"/>
      <c r="FW157" s="84"/>
      <c r="FX157" s="84"/>
      <c r="FY157" s="84"/>
      <c r="FZ157" s="84"/>
      <c r="GA157" s="84"/>
      <c r="GB157" s="84"/>
      <c r="GC157" s="84"/>
      <c r="GD157" s="84"/>
      <c r="GE157" s="84"/>
      <c r="GF157" s="84"/>
      <c r="GG157" s="84"/>
      <c r="GH157" s="84"/>
      <c r="GI157" s="84"/>
      <c r="GJ157" s="84"/>
      <c r="GK157" s="84"/>
      <c r="GL157" s="84"/>
      <c r="GM157" s="84"/>
      <c r="GN157" s="84"/>
      <c r="GO157" s="84"/>
      <c r="GP157" s="84"/>
      <c r="GQ157" s="84"/>
      <c r="GR157" s="84"/>
      <c r="GS157" s="84"/>
      <c r="GT157" s="84"/>
      <c r="GU157" s="84"/>
      <c r="GV157" s="84"/>
      <c r="GW157" s="84"/>
      <c r="GX157" s="84"/>
      <c r="GY157" s="84"/>
      <c r="GZ157" s="84"/>
      <c r="HA157" s="84"/>
      <c r="HB157" s="84"/>
      <c r="HC157" s="84"/>
      <c r="HD157" s="84"/>
      <c r="HE157" s="84"/>
      <c r="HF157" s="84"/>
      <c r="HG157" s="84"/>
      <c r="HH157" s="84"/>
      <c r="HI157" s="84"/>
      <c r="HJ157" s="84"/>
      <c r="HK157" s="84"/>
      <c r="HL157" s="84"/>
    </row>
    <row r="158" spans="1:220" s="85" customFormat="1" ht="16.5" customHeight="1" x14ac:dyDescent="0.15">
      <c r="A158" s="99"/>
      <c r="B158" s="91" t="s">
        <v>273</v>
      </c>
      <c r="C158" s="101"/>
      <c r="D158" s="81" t="s">
        <v>507</v>
      </c>
      <c r="E158" s="81"/>
      <c r="F158" s="81"/>
      <c r="G158" s="88" t="s">
        <v>477</v>
      </c>
      <c r="H158" s="82"/>
      <c r="I158" s="82"/>
      <c r="J158" s="81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  <c r="FU158" s="84"/>
      <c r="FV158" s="84"/>
      <c r="FW158" s="84"/>
      <c r="FX158" s="84"/>
      <c r="FY158" s="84"/>
      <c r="FZ158" s="84"/>
      <c r="GA158" s="84"/>
      <c r="GB158" s="84"/>
      <c r="GC158" s="84"/>
      <c r="GD158" s="84"/>
      <c r="GE158" s="84"/>
      <c r="GF158" s="84"/>
      <c r="GG158" s="84"/>
      <c r="GH158" s="84"/>
      <c r="GI158" s="84"/>
      <c r="GJ158" s="84"/>
      <c r="GK158" s="84"/>
      <c r="GL158" s="84"/>
      <c r="GM158" s="84"/>
      <c r="GN158" s="84"/>
      <c r="GO158" s="84"/>
      <c r="GP158" s="84"/>
      <c r="GQ158" s="84"/>
      <c r="GR158" s="84"/>
      <c r="GS158" s="84"/>
      <c r="GT158" s="84"/>
      <c r="GU158" s="84"/>
      <c r="GV158" s="84"/>
      <c r="GW158" s="84"/>
      <c r="GX158" s="84"/>
      <c r="GY158" s="84"/>
      <c r="GZ158" s="84"/>
      <c r="HA158" s="84"/>
      <c r="HB158" s="84"/>
      <c r="HC158" s="84"/>
      <c r="HD158" s="84"/>
      <c r="HE158" s="84"/>
      <c r="HF158" s="84"/>
      <c r="HG158" s="84"/>
      <c r="HH158" s="84"/>
      <c r="HI158" s="84"/>
      <c r="HJ158" s="84"/>
      <c r="HK158" s="84"/>
      <c r="HL158" s="84"/>
    </row>
    <row r="159" spans="1:220" s="85" customFormat="1" ht="16.5" customHeight="1" x14ac:dyDescent="0.15">
      <c r="A159" s="99"/>
      <c r="B159" s="91" t="s">
        <v>274</v>
      </c>
      <c r="C159" s="103"/>
      <c r="D159" s="85" t="s">
        <v>508</v>
      </c>
      <c r="E159" s="81"/>
      <c r="F159" s="81"/>
      <c r="G159" s="88" t="s">
        <v>477</v>
      </c>
      <c r="H159" s="82"/>
      <c r="I159" s="82"/>
      <c r="J159" s="81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  <c r="FU159" s="84"/>
      <c r="FV159" s="84"/>
      <c r="FW159" s="84"/>
      <c r="FX159" s="84"/>
      <c r="FY159" s="84"/>
      <c r="FZ159" s="84"/>
      <c r="GA159" s="84"/>
      <c r="GB159" s="84"/>
      <c r="GC159" s="84"/>
      <c r="GD159" s="84"/>
      <c r="GE159" s="84"/>
      <c r="GF159" s="84"/>
      <c r="GG159" s="84"/>
      <c r="GH159" s="84"/>
      <c r="GI159" s="84"/>
      <c r="GJ159" s="84"/>
      <c r="GK159" s="84"/>
      <c r="GL159" s="84"/>
      <c r="GM159" s="84"/>
      <c r="GN159" s="84"/>
      <c r="GO159" s="84"/>
      <c r="GP159" s="84"/>
      <c r="GQ159" s="84"/>
      <c r="GR159" s="84"/>
      <c r="GS159" s="84"/>
      <c r="GT159" s="84"/>
      <c r="GU159" s="84"/>
      <c r="GV159" s="84"/>
      <c r="GW159" s="84"/>
      <c r="GX159" s="84"/>
      <c r="GY159" s="84"/>
      <c r="GZ159" s="84"/>
      <c r="HA159" s="84"/>
      <c r="HB159" s="84"/>
      <c r="HC159" s="84"/>
      <c r="HD159" s="84"/>
      <c r="HE159" s="84"/>
      <c r="HF159" s="84"/>
      <c r="HG159" s="84"/>
      <c r="HH159" s="84"/>
      <c r="HI159" s="84"/>
      <c r="HJ159" s="84"/>
      <c r="HK159" s="84"/>
      <c r="HL159" s="84"/>
    </row>
    <row r="160" spans="1:220" ht="16.5" customHeight="1" x14ac:dyDescent="0.15">
      <c r="A160" s="98" t="s">
        <v>186</v>
      </c>
      <c r="B160" s="91" t="s">
        <v>275</v>
      </c>
      <c r="C160" s="100" t="s">
        <v>310</v>
      </c>
      <c r="D160" s="8" t="s">
        <v>239</v>
      </c>
      <c r="G160" s="88" t="s">
        <v>477</v>
      </c>
      <c r="H160" s="8"/>
    </row>
    <row r="161" spans="1:220" s="61" customFormat="1" ht="16.5" customHeight="1" x14ac:dyDescent="0.15">
      <c r="A161" s="99"/>
      <c r="B161" s="91" t="s">
        <v>276</v>
      </c>
      <c r="C161" s="101"/>
      <c r="D161" s="64" t="s">
        <v>237</v>
      </c>
      <c r="E161" s="53"/>
      <c r="F161" s="53"/>
      <c r="G161" s="88" t="s">
        <v>477</v>
      </c>
      <c r="H161" s="54"/>
      <c r="I161" s="54"/>
      <c r="J161" s="53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 s="60"/>
      <c r="BZ161" s="60"/>
      <c r="CA161" s="60"/>
      <c r="CB161" s="60"/>
      <c r="CC161" s="60"/>
      <c r="CD161" s="60"/>
      <c r="CE161" s="60"/>
      <c r="CF161" s="60"/>
      <c r="CG161" s="60"/>
      <c r="CH161" s="60"/>
      <c r="CI161" s="60"/>
      <c r="CJ161" s="60"/>
      <c r="CK161" s="60"/>
      <c r="CL161" s="60"/>
      <c r="CM161" s="60"/>
      <c r="CN161" s="60"/>
      <c r="CO161" s="60"/>
      <c r="CP161" s="60"/>
      <c r="CQ161" s="60"/>
      <c r="CR161" s="60"/>
      <c r="CS161" s="60"/>
      <c r="CT161" s="60"/>
      <c r="CU161" s="60"/>
      <c r="CV161" s="60"/>
      <c r="CW161" s="60"/>
      <c r="CX161" s="60"/>
      <c r="CY161" s="60"/>
      <c r="CZ161" s="60"/>
      <c r="DA161" s="60"/>
      <c r="DB161" s="60"/>
      <c r="DC161" s="60"/>
      <c r="DD161" s="60"/>
      <c r="DE161" s="60"/>
      <c r="DF161" s="60"/>
      <c r="DG161" s="60"/>
      <c r="DH161" s="60"/>
      <c r="DI161" s="60"/>
      <c r="DJ161" s="60"/>
      <c r="DK161" s="60"/>
      <c r="DL161" s="60"/>
      <c r="DM161" s="60"/>
      <c r="DN161" s="60"/>
      <c r="DO161" s="60"/>
      <c r="DP161" s="60"/>
      <c r="DQ161" s="60"/>
      <c r="DR161" s="60"/>
      <c r="DS161" s="60"/>
      <c r="DT161" s="60"/>
      <c r="DU161" s="60"/>
      <c r="DV161" s="60"/>
      <c r="DW161" s="60"/>
      <c r="DX161" s="60"/>
      <c r="DY161" s="60"/>
      <c r="DZ161" s="60"/>
      <c r="EA161" s="60"/>
      <c r="EB161" s="60"/>
      <c r="EC161" s="60"/>
      <c r="ED161" s="60"/>
      <c r="EE161" s="60"/>
      <c r="EF161" s="60"/>
      <c r="EG161" s="60"/>
      <c r="EH161" s="60"/>
      <c r="EI161" s="60"/>
      <c r="EJ161" s="60"/>
      <c r="EK161" s="60"/>
      <c r="EL161" s="60"/>
      <c r="EM161" s="60"/>
      <c r="EN161" s="60"/>
      <c r="EO161" s="60"/>
      <c r="EP161" s="60"/>
      <c r="EQ161" s="60"/>
      <c r="ER161" s="60"/>
      <c r="ES161" s="60"/>
      <c r="ET161" s="60"/>
      <c r="EU161" s="60"/>
      <c r="EV161" s="60"/>
      <c r="EW161" s="60"/>
      <c r="EX161" s="60"/>
      <c r="EY161" s="60"/>
      <c r="EZ161" s="60"/>
      <c r="FA161" s="60"/>
      <c r="FB161" s="60"/>
      <c r="FC161" s="60"/>
      <c r="FD161" s="60"/>
      <c r="FE161" s="60"/>
      <c r="FF161" s="60"/>
      <c r="FG161" s="60"/>
      <c r="FH161" s="60"/>
      <c r="FI161" s="60"/>
      <c r="FJ161" s="60"/>
      <c r="FK161" s="60"/>
      <c r="FL161" s="60"/>
      <c r="FM161" s="60"/>
      <c r="FN161" s="60"/>
      <c r="FO161" s="60"/>
      <c r="FP161" s="60"/>
      <c r="FQ161" s="60"/>
      <c r="FR161" s="60"/>
      <c r="FS161" s="60"/>
      <c r="FT161" s="60"/>
      <c r="FU161" s="60"/>
      <c r="FV161" s="60"/>
      <c r="FW161" s="60"/>
      <c r="FX161" s="60"/>
      <c r="FY161" s="60"/>
      <c r="FZ161" s="60"/>
      <c r="GA161" s="60"/>
      <c r="GB161" s="60"/>
      <c r="GC161" s="60"/>
      <c r="GD161" s="60"/>
      <c r="GE161" s="60"/>
      <c r="GF161" s="60"/>
      <c r="GG161" s="60"/>
      <c r="GH161" s="60"/>
      <c r="GI161" s="60"/>
      <c r="GJ161" s="60"/>
      <c r="GK161" s="60"/>
      <c r="GL161" s="60"/>
      <c r="GM161" s="60"/>
      <c r="GN161" s="60"/>
      <c r="GO161" s="60"/>
      <c r="GP161" s="60"/>
      <c r="GQ161" s="60"/>
      <c r="GR161" s="60"/>
      <c r="GS161" s="60"/>
      <c r="GT161" s="60"/>
      <c r="GU161" s="60"/>
      <c r="GV161" s="60"/>
      <c r="GW161" s="60"/>
      <c r="GX161" s="60"/>
      <c r="GY161" s="60"/>
      <c r="GZ161" s="60"/>
      <c r="HA161" s="60"/>
      <c r="HB161" s="60"/>
      <c r="HC161" s="60"/>
      <c r="HD161" s="60"/>
      <c r="HE161" s="60"/>
      <c r="HF161" s="60"/>
      <c r="HG161" s="60"/>
      <c r="HH161" s="60"/>
      <c r="HI161" s="60"/>
      <c r="HJ161" s="60"/>
      <c r="HK161" s="60"/>
      <c r="HL161" s="60"/>
    </row>
    <row r="162" spans="1:220" s="61" customFormat="1" ht="16.5" customHeight="1" x14ac:dyDescent="0.15">
      <c r="A162" s="99"/>
      <c r="B162" s="91" t="s">
        <v>277</v>
      </c>
      <c r="C162" s="101"/>
      <c r="D162" s="64" t="s">
        <v>238</v>
      </c>
      <c r="E162" s="53"/>
      <c r="F162" s="53"/>
      <c r="G162" s="88" t="s">
        <v>477</v>
      </c>
      <c r="H162" s="54"/>
      <c r="I162" s="54"/>
      <c r="J162" s="53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  <c r="BX162" s="60"/>
      <c r="BY162" s="60"/>
      <c r="BZ162" s="60"/>
      <c r="CA162" s="60"/>
      <c r="CB162" s="60"/>
      <c r="CC162" s="60"/>
      <c r="CD162" s="60"/>
      <c r="CE162" s="60"/>
      <c r="CF162" s="60"/>
      <c r="CG162" s="60"/>
      <c r="CH162" s="60"/>
      <c r="CI162" s="60"/>
      <c r="CJ162" s="60"/>
      <c r="CK162" s="60"/>
      <c r="CL162" s="60"/>
      <c r="CM162" s="60"/>
      <c r="CN162" s="60"/>
      <c r="CO162" s="60"/>
      <c r="CP162" s="60"/>
      <c r="CQ162" s="60"/>
      <c r="CR162" s="60"/>
      <c r="CS162" s="60"/>
      <c r="CT162" s="60"/>
      <c r="CU162" s="60"/>
      <c r="CV162" s="60"/>
      <c r="CW162" s="60"/>
      <c r="CX162" s="60"/>
      <c r="CY162" s="60"/>
      <c r="CZ162" s="60"/>
      <c r="DA162" s="60"/>
      <c r="DB162" s="60"/>
      <c r="DC162" s="60"/>
      <c r="DD162" s="60"/>
      <c r="DE162" s="60"/>
      <c r="DF162" s="60"/>
      <c r="DG162" s="60"/>
      <c r="DH162" s="60"/>
      <c r="DI162" s="60"/>
      <c r="DJ162" s="60"/>
      <c r="DK162" s="60"/>
      <c r="DL162" s="60"/>
      <c r="DM162" s="60"/>
      <c r="DN162" s="60"/>
      <c r="DO162" s="60"/>
      <c r="DP162" s="60"/>
      <c r="DQ162" s="60"/>
      <c r="DR162" s="60"/>
      <c r="DS162" s="60"/>
      <c r="DT162" s="60"/>
      <c r="DU162" s="60"/>
      <c r="DV162" s="60"/>
      <c r="DW162" s="60"/>
      <c r="DX162" s="60"/>
      <c r="DY162" s="60"/>
      <c r="DZ162" s="60"/>
      <c r="EA162" s="60"/>
      <c r="EB162" s="60"/>
      <c r="EC162" s="60"/>
      <c r="ED162" s="60"/>
      <c r="EE162" s="60"/>
      <c r="EF162" s="60"/>
      <c r="EG162" s="60"/>
      <c r="EH162" s="60"/>
      <c r="EI162" s="60"/>
      <c r="EJ162" s="60"/>
      <c r="EK162" s="60"/>
      <c r="EL162" s="60"/>
      <c r="EM162" s="60"/>
      <c r="EN162" s="60"/>
      <c r="EO162" s="60"/>
      <c r="EP162" s="60"/>
      <c r="EQ162" s="60"/>
      <c r="ER162" s="60"/>
      <c r="ES162" s="60"/>
      <c r="ET162" s="60"/>
      <c r="EU162" s="60"/>
      <c r="EV162" s="60"/>
      <c r="EW162" s="60"/>
      <c r="EX162" s="60"/>
      <c r="EY162" s="60"/>
      <c r="EZ162" s="60"/>
      <c r="FA162" s="60"/>
      <c r="FB162" s="60"/>
      <c r="FC162" s="60"/>
      <c r="FD162" s="60"/>
      <c r="FE162" s="60"/>
      <c r="FF162" s="60"/>
      <c r="FG162" s="60"/>
      <c r="FH162" s="60"/>
      <c r="FI162" s="60"/>
      <c r="FJ162" s="60"/>
      <c r="FK162" s="60"/>
      <c r="FL162" s="60"/>
      <c r="FM162" s="60"/>
      <c r="FN162" s="60"/>
      <c r="FO162" s="60"/>
      <c r="FP162" s="60"/>
      <c r="FQ162" s="60"/>
      <c r="FR162" s="60"/>
      <c r="FS162" s="60"/>
      <c r="FT162" s="60"/>
      <c r="FU162" s="60"/>
      <c r="FV162" s="60"/>
      <c r="FW162" s="60"/>
      <c r="FX162" s="60"/>
      <c r="FY162" s="60"/>
      <c r="FZ162" s="60"/>
      <c r="GA162" s="60"/>
      <c r="GB162" s="60"/>
      <c r="GC162" s="60"/>
      <c r="GD162" s="60"/>
      <c r="GE162" s="60"/>
      <c r="GF162" s="60"/>
      <c r="GG162" s="60"/>
      <c r="GH162" s="60"/>
      <c r="GI162" s="60"/>
      <c r="GJ162" s="60"/>
      <c r="GK162" s="60"/>
      <c r="GL162" s="60"/>
      <c r="GM162" s="60"/>
      <c r="GN162" s="60"/>
      <c r="GO162" s="60"/>
      <c r="GP162" s="60"/>
      <c r="GQ162" s="60"/>
      <c r="GR162" s="60"/>
      <c r="GS162" s="60"/>
      <c r="GT162" s="60"/>
      <c r="GU162" s="60"/>
      <c r="GV162" s="60"/>
      <c r="GW162" s="60"/>
      <c r="GX162" s="60"/>
      <c r="GY162" s="60"/>
      <c r="GZ162" s="60"/>
      <c r="HA162" s="60"/>
      <c r="HB162" s="60"/>
      <c r="HC162" s="60"/>
      <c r="HD162" s="60"/>
      <c r="HE162" s="60"/>
      <c r="HF162" s="60"/>
      <c r="HG162" s="60"/>
      <c r="HH162" s="60"/>
      <c r="HI162" s="60"/>
      <c r="HJ162" s="60"/>
      <c r="HK162" s="60"/>
      <c r="HL162" s="60"/>
    </row>
    <row r="163" spans="1:220" s="61" customFormat="1" ht="16.5" customHeight="1" x14ac:dyDescent="0.15">
      <c r="A163" s="99"/>
      <c r="B163" s="91" t="s">
        <v>278</v>
      </c>
      <c r="C163" s="101"/>
      <c r="D163" s="64" t="s">
        <v>309</v>
      </c>
      <c r="E163" s="53"/>
      <c r="F163" s="53"/>
      <c r="G163" s="88" t="s">
        <v>477</v>
      </c>
      <c r="H163" s="54"/>
      <c r="I163" s="54"/>
      <c r="J163" s="53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 s="60"/>
      <c r="BZ163" s="60"/>
      <c r="CA163" s="60"/>
      <c r="CB163" s="60"/>
      <c r="CC163" s="60"/>
      <c r="CD163" s="60"/>
      <c r="CE163" s="60"/>
      <c r="CF163" s="60"/>
      <c r="CG163" s="60"/>
      <c r="CH163" s="60"/>
      <c r="CI163" s="60"/>
      <c r="CJ163" s="60"/>
      <c r="CK163" s="60"/>
      <c r="CL163" s="60"/>
      <c r="CM163" s="60"/>
      <c r="CN163" s="60"/>
      <c r="CO163" s="60"/>
      <c r="CP163" s="60"/>
      <c r="CQ163" s="60"/>
      <c r="CR163" s="60"/>
      <c r="CS163" s="60"/>
      <c r="CT163" s="60"/>
      <c r="CU163" s="60"/>
      <c r="CV163" s="60"/>
      <c r="CW163" s="60"/>
      <c r="CX163" s="60"/>
      <c r="CY163" s="60"/>
      <c r="CZ163" s="60"/>
      <c r="DA163" s="60"/>
      <c r="DB163" s="60"/>
      <c r="DC163" s="60"/>
      <c r="DD163" s="60"/>
      <c r="DE163" s="60"/>
      <c r="DF163" s="60"/>
      <c r="DG163" s="60"/>
      <c r="DH163" s="60"/>
      <c r="DI163" s="60"/>
      <c r="DJ163" s="60"/>
      <c r="DK163" s="60"/>
      <c r="DL163" s="60"/>
      <c r="DM163" s="60"/>
      <c r="DN163" s="60"/>
      <c r="DO163" s="60"/>
      <c r="DP163" s="60"/>
      <c r="DQ163" s="60"/>
      <c r="DR163" s="60"/>
      <c r="DS163" s="60"/>
      <c r="DT163" s="60"/>
      <c r="DU163" s="60"/>
      <c r="DV163" s="60"/>
      <c r="DW163" s="60"/>
      <c r="DX163" s="60"/>
      <c r="DY163" s="60"/>
      <c r="DZ163" s="60"/>
      <c r="EA163" s="60"/>
      <c r="EB163" s="60"/>
      <c r="EC163" s="60"/>
      <c r="ED163" s="60"/>
      <c r="EE163" s="60"/>
      <c r="EF163" s="60"/>
      <c r="EG163" s="60"/>
      <c r="EH163" s="60"/>
      <c r="EI163" s="60"/>
      <c r="EJ163" s="60"/>
      <c r="EK163" s="60"/>
      <c r="EL163" s="60"/>
      <c r="EM163" s="60"/>
      <c r="EN163" s="60"/>
      <c r="EO163" s="60"/>
      <c r="EP163" s="60"/>
      <c r="EQ163" s="60"/>
      <c r="ER163" s="60"/>
      <c r="ES163" s="60"/>
      <c r="ET163" s="60"/>
      <c r="EU163" s="60"/>
      <c r="EV163" s="60"/>
      <c r="EW163" s="60"/>
      <c r="EX163" s="60"/>
      <c r="EY163" s="60"/>
      <c r="EZ163" s="60"/>
      <c r="FA163" s="60"/>
      <c r="FB163" s="60"/>
      <c r="FC163" s="60"/>
      <c r="FD163" s="60"/>
      <c r="FE163" s="60"/>
      <c r="FF163" s="60"/>
      <c r="FG163" s="60"/>
      <c r="FH163" s="60"/>
      <c r="FI163" s="60"/>
      <c r="FJ163" s="60"/>
      <c r="FK163" s="60"/>
      <c r="FL163" s="60"/>
      <c r="FM163" s="60"/>
      <c r="FN163" s="60"/>
      <c r="FO163" s="60"/>
      <c r="FP163" s="60"/>
      <c r="FQ163" s="60"/>
      <c r="FR163" s="60"/>
      <c r="FS163" s="60"/>
      <c r="FT163" s="60"/>
      <c r="FU163" s="60"/>
      <c r="FV163" s="60"/>
      <c r="FW163" s="60"/>
      <c r="FX163" s="60"/>
      <c r="FY163" s="60"/>
      <c r="FZ163" s="60"/>
      <c r="GA163" s="60"/>
      <c r="GB163" s="60"/>
      <c r="GC163" s="60"/>
      <c r="GD163" s="60"/>
      <c r="GE163" s="60"/>
      <c r="GF163" s="60"/>
      <c r="GG163" s="60"/>
      <c r="GH163" s="60"/>
      <c r="GI163" s="60"/>
      <c r="GJ163" s="60"/>
      <c r="GK163" s="60"/>
      <c r="GL163" s="60"/>
      <c r="GM163" s="60"/>
      <c r="GN163" s="60"/>
      <c r="GO163" s="60"/>
      <c r="GP163" s="60"/>
      <c r="GQ163" s="60"/>
      <c r="GR163" s="60"/>
      <c r="GS163" s="60"/>
      <c r="GT163" s="60"/>
      <c r="GU163" s="60"/>
      <c r="GV163" s="60"/>
      <c r="GW163" s="60"/>
      <c r="GX163" s="60"/>
      <c r="GY163" s="60"/>
      <c r="GZ163" s="60"/>
      <c r="HA163" s="60"/>
      <c r="HB163" s="60"/>
      <c r="HC163" s="60"/>
      <c r="HD163" s="60"/>
      <c r="HE163" s="60"/>
      <c r="HF163" s="60"/>
      <c r="HG163" s="60"/>
      <c r="HH163" s="60"/>
      <c r="HI163" s="60"/>
      <c r="HJ163" s="60"/>
      <c r="HK163" s="60"/>
      <c r="HL163" s="60"/>
    </row>
    <row r="164" spans="1:220" s="57" customFormat="1" ht="16.5" customHeight="1" x14ac:dyDescent="0.15">
      <c r="A164" s="99"/>
      <c r="B164" s="91" t="s">
        <v>279</v>
      </c>
      <c r="C164" s="103"/>
      <c r="D164" s="57" t="s">
        <v>240</v>
      </c>
      <c r="E164" s="53"/>
      <c r="F164" s="53"/>
      <c r="G164" s="88" t="s">
        <v>477</v>
      </c>
      <c r="H164" s="54"/>
      <c r="I164" s="54"/>
      <c r="J164" s="59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56"/>
      <c r="CP164" s="56"/>
      <c r="CQ164" s="56"/>
      <c r="CR164" s="56"/>
      <c r="CS164" s="56"/>
      <c r="CT164" s="56"/>
      <c r="CU164" s="56"/>
      <c r="CV164" s="56"/>
      <c r="CW164" s="56"/>
      <c r="CX164" s="56"/>
      <c r="CY164" s="56"/>
      <c r="CZ164" s="56"/>
      <c r="DA164" s="56"/>
      <c r="DB164" s="56"/>
      <c r="DC164" s="56"/>
      <c r="DD164" s="56"/>
      <c r="DE164" s="56"/>
      <c r="DF164" s="56"/>
      <c r="DG164" s="56"/>
      <c r="DH164" s="56"/>
      <c r="DI164" s="56"/>
      <c r="DJ164" s="56"/>
      <c r="DK164" s="56"/>
      <c r="DL164" s="56"/>
      <c r="DM164" s="56"/>
      <c r="DN164" s="56"/>
      <c r="DO164" s="56"/>
      <c r="DP164" s="56"/>
      <c r="DQ164" s="56"/>
      <c r="DR164" s="56"/>
      <c r="DS164" s="56"/>
      <c r="DT164" s="56"/>
      <c r="DU164" s="56"/>
      <c r="DV164" s="56"/>
      <c r="DW164" s="56"/>
      <c r="DX164" s="56"/>
      <c r="DY164" s="56"/>
      <c r="DZ164" s="56"/>
      <c r="EA164" s="56"/>
      <c r="EB164" s="56"/>
      <c r="EC164" s="56"/>
      <c r="ED164" s="56"/>
      <c r="EE164" s="56"/>
      <c r="EF164" s="56"/>
      <c r="EG164" s="56"/>
      <c r="EH164" s="56"/>
      <c r="EI164" s="56"/>
      <c r="EJ164" s="56"/>
      <c r="EK164" s="56"/>
      <c r="EL164" s="56"/>
      <c r="EM164" s="56"/>
      <c r="EN164" s="56"/>
      <c r="EO164" s="56"/>
      <c r="EP164" s="56"/>
      <c r="EQ164" s="56"/>
      <c r="ER164" s="56"/>
      <c r="ES164" s="56"/>
      <c r="ET164" s="56"/>
      <c r="EU164" s="56"/>
      <c r="EV164" s="56"/>
      <c r="EW164" s="56"/>
      <c r="EX164" s="56"/>
      <c r="EY164" s="56"/>
      <c r="EZ164" s="56"/>
      <c r="FA164" s="56"/>
      <c r="FB164" s="56"/>
      <c r="FC164" s="56"/>
      <c r="FD164" s="56"/>
      <c r="FE164" s="56"/>
      <c r="FF164" s="56"/>
      <c r="FG164" s="56"/>
      <c r="FH164" s="56"/>
      <c r="FI164" s="56"/>
      <c r="FJ164" s="56"/>
      <c r="FK164" s="56"/>
      <c r="FL164" s="56"/>
      <c r="FM164" s="56"/>
      <c r="FN164" s="56"/>
      <c r="FO164" s="56"/>
      <c r="FP164" s="56"/>
      <c r="FQ164" s="56"/>
      <c r="FR164" s="56"/>
      <c r="FS164" s="56"/>
      <c r="FT164" s="56"/>
      <c r="FU164" s="56"/>
      <c r="FV164" s="56"/>
      <c r="FW164" s="56"/>
      <c r="FX164" s="56"/>
      <c r="FY164" s="56"/>
      <c r="FZ164" s="56"/>
      <c r="GA164" s="56"/>
      <c r="GB164" s="56"/>
      <c r="GC164" s="56"/>
      <c r="GD164" s="56"/>
      <c r="GE164" s="56"/>
      <c r="GF164" s="56"/>
      <c r="GG164" s="56"/>
      <c r="GH164" s="56"/>
      <c r="GI164" s="56"/>
      <c r="GJ164" s="56"/>
      <c r="GK164" s="56"/>
      <c r="GL164" s="56"/>
      <c r="GM164" s="56"/>
      <c r="GN164" s="56"/>
      <c r="GO164" s="56"/>
      <c r="GP164" s="56"/>
      <c r="GQ164" s="56"/>
      <c r="GR164" s="56"/>
      <c r="GS164" s="56"/>
      <c r="GT164" s="56"/>
      <c r="GU164" s="56"/>
      <c r="GV164" s="56"/>
      <c r="GW164" s="56"/>
      <c r="GX164" s="56"/>
      <c r="GY164" s="56"/>
      <c r="GZ164" s="56"/>
      <c r="HA164" s="56"/>
      <c r="HB164" s="56"/>
      <c r="HC164" s="56"/>
      <c r="HD164" s="56"/>
      <c r="HE164" s="56"/>
      <c r="HF164" s="56"/>
      <c r="HG164" s="56"/>
      <c r="HH164" s="56"/>
      <c r="HI164" s="56"/>
      <c r="HJ164" s="56"/>
      <c r="HK164" s="56"/>
      <c r="HL164" s="56"/>
    </row>
    <row r="165" spans="1:220" s="53" customFormat="1" ht="16.5" customHeight="1" x14ac:dyDescent="0.15">
      <c r="A165" s="99"/>
      <c r="B165" s="91" t="s">
        <v>349</v>
      </c>
      <c r="C165" s="100" t="s">
        <v>402</v>
      </c>
      <c r="D165" s="53" t="s">
        <v>239</v>
      </c>
      <c r="G165" s="88" t="s">
        <v>477</v>
      </c>
      <c r="J165" s="59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60"/>
      <c r="BR165" s="60"/>
      <c r="BS165" s="60"/>
      <c r="BT165" s="60"/>
      <c r="BU165" s="60"/>
      <c r="BV165" s="60"/>
      <c r="BW165" s="60"/>
      <c r="BX165" s="60"/>
      <c r="BY165" s="60"/>
      <c r="BZ165" s="60"/>
      <c r="CA165" s="60"/>
      <c r="CB165" s="60"/>
      <c r="CC165" s="60"/>
      <c r="CD165" s="60"/>
      <c r="CE165" s="60"/>
      <c r="CF165" s="60"/>
      <c r="CG165" s="60"/>
      <c r="CH165" s="60"/>
      <c r="CI165" s="60"/>
      <c r="CJ165" s="60"/>
      <c r="CK165" s="60"/>
      <c r="CL165" s="60"/>
      <c r="CM165" s="60"/>
      <c r="CN165" s="60"/>
      <c r="CO165" s="60"/>
      <c r="CP165" s="60"/>
      <c r="CQ165" s="60"/>
      <c r="CR165" s="60"/>
      <c r="CS165" s="60"/>
      <c r="CT165" s="60"/>
      <c r="CU165" s="60"/>
      <c r="CV165" s="60"/>
      <c r="CW165" s="60"/>
      <c r="CX165" s="60"/>
      <c r="CY165" s="60"/>
      <c r="CZ165" s="60"/>
      <c r="DA165" s="60"/>
      <c r="DB165" s="60"/>
      <c r="DC165" s="60"/>
      <c r="DD165" s="60"/>
      <c r="DE165" s="60"/>
      <c r="DF165" s="60"/>
      <c r="DG165" s="60"/>
      <c r="DH165" s="60"/>
      <c r="DI165" s="60"/>
      <c r="DJ165" s="60"/>
      <c r="DK165" s="60"/>
      <c r="DL165" s="60"/>
      <c r="DM165" s="60"/>
      <c r="DN165" s="60"/>
      <c r="DO165" s="60"/>
      <c r="DP165" s="60"/>
      <c r="DQ165" s="60"/>
      <c r="DR165" s="60"/>
      <c r="DS165" s="60"/>
      <c r="DT165" s="60"/>
      <c r="DU165" s="60"/>
      <c r="DV165" s="60"/>
      <c r="DW165" s="60"/>
      <c r="DX165" s="60"/>
      <c r="DY165" s="60"/>
      <c r="DZ165" s="60"/>
      <c r="EA165" s="60"/>
      <c r="EB165" s="60"/>
      <c r="EC165" s="60"/>
      <c r="ED165" s="60"/>
      <c r="EE165" s="60"/>
      <c r="EF165" s="60"/>
      <c r="EG165" s="60"/>
      <c r="EH165" s="60"/>
      <c r="EI165" s="60"/>
      <c r="EJ165" s="60"/>
      <c r="EK165" s="60"/>
      <c r="EL165" s="60"/>
      <c r="EM165" s="60"/>
      <c r="EN165" s="60"/>
      <c r="EO165" s="60"/>
      <c r="EP165" s="60"/>
      <c r="EQ165" s="60"/>
      <c r="ER165" s="60"/>
      <c r="ES165" s="60"/>
      <c r="ET165" s="60"/>
      <c r="EU165" s="60"/>
      <c r="EV165" s="60"/>
      <c r="EW165" s="60"/>
      <c r="EX165" s="60"/>
      <c r="EY165" s="60"/>
      <c r="EZ165" s="60"/>
      <c r="FA165" s="60"/>
      <c r="FB165" s="60"/>
      <c r="FC165" s="60"/>
      <c r="FD165" s="60"/>
      <c r="FE165" s="60"/>
      <c r="FF165" s="60"/>
      <c r="FG165" s="60"/>
      <c r="FH165" s="60"/>
      <c r="FI165" s="60"/>
      <c r="FJ165" s="60"/>
      <c r="FK165" s="60"/>
      <c r="FL165" s="60"/>
      <c r="FM165" s="60"/>
      <c r="FN165" s="60"/>
      <c r="FO165" s="60"/>
      <c r="FP165" s="60"/>
      <c r="FQ165" s="60"/>
      <c r="FR165" s="60"/>
      <c r="FS165" s="60"/>
      <c r="FT165" s="60"/>
      <c r="FU165" s="60"/>
      <c r="FV165" s="60"/>
      <c r="FW165" s="60"/>
      <c r="FX165" s="60"/>
      <c r="FY165" s="60"/>
      <c r="FZ165" s="60"/>
      <c r="GA165" s="60"/>
      <c r="GB165" s="60"/>
      <c r="GC165" s="60"/>
      <c r="GD165" s="60"/>
      <c r="GE165" s="60"/>
      <c r="GF165" s="60"/>
      <c r="GG165" s="60"/>
      <c r="GH165" s="60"/>
      <c r="GI165" s="60"/>
      <c r="GJ165" s="60"/>
      <c r="GK165" s="60"/>
      <c r="GL165" s="60"/>
      <c r="GM165" s="60"/>
      <c r="GN165" s="60"/>
      <c r="GO165" s="60"/>
      <c r="GP165" s="60"/>
      <c r="GQ165" s="60"/>
      <c r="GR165" s="60"/>
      <c r="GS165" s="60"/>
      <c r="GT165" s="60"/>
      <c r="GU165" s="60"/>
      <c r="GV165" s="60"/>
      <c r="GW165" s="60"/>
      <c r="GX165" s="60"/>
      <c r="GY165" s="60"/>
      <c r="GZ165" s="60"/>
      <c r="HA165" s="60"/>
      <c r="HB165" s="60"/>
      <c r="HC165" s="60"/>
      <c r="HD165" s="60"/>
      <c r="HE165" s="60"/>
      <c r="HF165" s="60"/>
      <c r="HG165" s="60"/>
      <c r="HH165" s="60"/>
      <c r="HI165" s="60"/>
      <c r="HJ165" s="60"/>
      <c r="HK165" s="60"/>
      <c r="HL165" s="60"/>
    </row>
    <row r="166" spans="1:220" s="61" customFormat="1" ht="16.5" customHeight="1" x14ac:dyDescent="0.15">
      <c r="A166" s="99"/>
      <c r="B166" s="91" t="s">
        <v>285</v>
      </c>
      <c r="C166" s="101"/>
      <c r="D166" s="53" t="s">
        <v>311</v>
      </c>
      <c r="E166" s="53"/>
      <c r="F166" s="53"/>
      <c r="G166" s="88" t="s">
        <v>477</v>
      </c>
      <c r="H166" s="53"/>
      <c r="I166" s="53"/>
      <c r="J166" s="59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/>
      <c r="CB166" s="60"/>
      <c r="CC166" s="60"/>
      <c r="CD166" s="60"/>
      <c r="CE166" s="60"/>
      <c r="CF166" s="60"/>
      <c r="CG166" s="60"/>
      <c r="CH166" s="60"/>
      <c r="CI166" s="60"/>
      <c r="CJ166" s="60"/>
      <c r="CK166" s="60"/>
      <c r="CL166" s="60"/>
      <c r="CM166" s="60"/>
      <c r="CN166" s="60"/>
      <c r="CO166" s="60"/>
      <c r="CP166" s="60"/>
      <c r="CQ166" s="60"/>
      <c r="CR166" s="60"/>
      <c r="CS166" s="60"/>
      <c r="CT166" s="60"/>
      <c r="CU166" s="60"/>
      <c r="CV166" s="60"/>
      <c r="CW166" s="60"/>
      <c r="CX166" s="60"/>
      <c r="CY166" s="60"/>
      <c r="CZ166" s="60"/>
      <c r="DA166" s="60"/>
      <c r="DB166" s="60"/>
      <c r="DC166" s="60"/>
      <c r="DD166" s="60"/>
      <c r="DE166" s="60"/>
      <c r="DF166" s="60"/>
      <c r="DG166" s="60"/>
      <c r="DH166" s="60"/>
      <c r="DI166" s="60"/>
      <c r="DJ166" s="60"/>
      <c r="DK166" s="60"/>
      <c r="DL166" s="60"/>
      <c r="DM166" s="60"/>
      <c r="DN166" s="60"/>
      <c r="DO166" s="60"/>
      <c r="DP166" s="60"/>
      <c r="DQ166" s="60"/>
      <c r="DR166" s="60"/>
      <c r="DS166" s="60"/>
      <c r="DT166" s="60"/>
      <c r="DU166" s="60"/>
      <c r="DV166" s="60"/>
      <c r="DW166" s="60"/>
      <c r="DX166" s="60"/>
      <c r="DY166" s="60"/>
      <c r="DZ166" s="60"/>
      <c r="EA166" s="60"/>
      <c r="EB166" s="60"/>
      <c r="EC166" s="60"/>
      <c r="ED166" s="60"/>
      <c r="EE166" s="60"/>
      <c r="EF166" s="60"/>
      <c r="EG166" s="60"/>
      <c r="EH166" s="60"/>
      <c r="EI166" s="60"/>
      <c r="EJ166" s="60"/>
      <c r="EK166" s="60"/>
      <c r="EL166" s="60"/>
      <c r="EM166" s="60"/>
      <c r="EN166" s="60"/>
      <c r="EO166" s="60"/>
      <c r="EP166" s="60"/>
      <c r="EQ166" s="60"/>
      <c r="ER166" s="60"/>
      <c r="ES166" s="60"/>
      <c r="ET166" s="60"/>
      <c r="EU166" s="60"/>
      <c r="EV166" s="60"/>
      <c r="EW166" s="60"/>
      <c r="EX166" s="60"/>
      <c r="EY166" s="60"/>
      <c r="EZ166" s="60"/>
      <c r="FA166" s="60"/>
      <c r="FB166" s="60"/>
      <c r="FC166" s="60"/>
      <c r="FD166" s="60"/>
      <c r="FE166" s="60"/>
      <c r="FF166" s="60"/>
      <c r="FG166" s="60"/>
      <c r="FH166" s="60"/>
      <c r="FI166" s="60"/>
      <c r="FJ166" s="60"/>
      <c r="FK166" s="60"/>
      <c r="FL166" s="60"/>
      <c r="FM166" s="60"/>
      <c r="FN166" s="60"/>
      <c r="FO166" s="60"/>
      <c r="FP166" s="60"/>
      <c r="FQ166" s="60"/>
      <c r="FR166" s="60"/>
      <c r="FS166" s="60"/>
      <c r="FT166" s="60"/>
      <c r="FU166" s="60"/>
      <c r="FV166" s="60"/>
      <c r="FW166" s="60"/>
      <c r="FX166" s="60"/>
      <c r="FY166" s="60"/>
      <c r="FZ166" s="60"/>
      <c r="GA166" s="60"/>
      <c r="GB166" s="60"/>
      <c r="GC166" s="60"/>
      <c r="GD166" s="60"/>
      <c r="GE166" s="60"/>
      <c r="GF166" s="60"/>
      <c r="GG166" s="60"/>
      <c r="GH166" s="60"/>
      <c r="GI166" s="60"/>
      <c r="GJ166" s="60"/>
      <c r="GK166" s="60"/>
      <c r="GL166" s="60"/>
      <c r="GM166" s="60"/>
      <c r="GN166" s="60"/>
      <c r="GO166" s="60"/>
      <c r="GP166" s="60"/>
      <c r="GQ166" s="60"/>
      <c r="GR166" s="60"/>
      <c r="GS166" s="60"/>
      <c r="GT166" s="60"/>
      <c r="GU166" s="60"/>
      <c r="GV166" s="60"/>
      <c r="GW166" s="60"/>
      <c r="GX166" s="60"/>
      <c r="GY166" s="60"/>
      <c r="GZ166" s="60"/>
      <c r="HA166" s="60"/>
      <c r="HB166" s="60"/>
      <c r="HC166" s="60"/>
      <c r="HD166" s="60"/>
      <c r="HE166" s="60"/>
      <c r="HF166" s="60"/>
      <c r="HG166" s="60"/>
      <c r="HH166" s="60"/>
      <c r="HI166" s="60"/>
      <c r="HJ166" s="60"/>
      <c r="HK166" s="60"/>
      <c r="HL166" s="60"/>
    </row>
    <row r="167" spans="1:220" s="61" customFormat="1" ht="16.5" customHeight="1" x14ac:dyDescent="0.15">
      <c r="A167" s="99"/>
      <c r="B167" s="91" t="s">
        <v>286</v>
      </c>
      <c r="C167" s="101"/>
      <c r="D167" s="64" t="s">
        <v>237</v>
      </c>
      <c r="E167" s="53"/>
      <c r="F167" s="53"/>
      <c r="G167" s="88" t="s">
        <v>477</v>
      </c>
      <c r="H167" s="54"/>
      <c r="I167" s="54"/>
      <c r="J167" s="53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/>
      <c r="CB167" s="60"/>
      <c r="CC167" s="60"/>
      <c r="CD167" s="60"/>
      <c r="CE167" s="60"/>
      <c r="CF167" s="60"/>
      <c r="CG167" s="60"/>
      <c r="CH167" s="60"/>
      <c r="CI167" s="60"/>
      <c r="CJ167" s="60"/>
      <c r="CK167" s="60"/>
      <c r="CL167" s="60"/>
      <c r="CM167" s="60"/>
      <c r="CN167" s="60"/>
      <c r="CO167" s="60"/>
      <c r="CP167" s="60"/>
      <c r="CQ167" s="60"/>
      <c r="CR167" s="60"/>
      <c r="CS167" s="60"/>
      <c r="CT167" s="60"/>
      <c r="CU167" s="60"/>
      <c r="CV167" s="60"/>
      <c r="CW167" s="60"/>
      <c r="CX167" s="60"/>
      <c r="CY167" s="60"/>
      <c r="CZ167" s="60"/>
      <c r="DA167" s="60"/>
      <c r="DB167" s="60"/>
      <c r="DC167" s="60"/>
      <c r="DD167" s="60"/>
      <c r="DE167" s="60"/>
      <c r="DF167" s="60"/>
      <c r="DG167" s="60"/>
      <c r="DH167" s="60"/>
      <c r="DI167" s="60"/>
      <c r="DJ167" s="60"/>
      <c r="DK167" s="60"/>
      <c r="DL167" s="60"/>
      <c r="DM167" s="60"/>
      <c r="DN167" s="60"/>
      <c r="DO167" s="60"/>
      <c r="DP167" s="60"/>
      <c r="DQ167" s="60"/>
      <c r="DR167" s="60"/>
      <c r="DS167" s="60"/>
      <c r="DT167" s="60"/>
      <c r="DU167" s="60"/>
      <c r="DV167" s="60"/>
      <c r="DW167" s="60"/>
      <c r="DX167" s="60"/>
      <c r="DY167" s="60"/>
      <c r="DZ167" s="60"/>
      <c r="EA167" s="60"/>
      <c r="EB167" s="60"/>
      <c r="EC167" s="60"/>
      <c r="ED167" s="60"/>
      <c r="EE167" s="60"/>
      <c r="EF167" s="60"/>
      <c r="EG167" s="60"/>
      <c r="EH167" s="60"/>
      <c r="EI167" s="60"/>
      <c r="EJ167" s="60"/>
      <c r="EK167" s="60"/>
      <c r="EL167" s="60"/>
      <c r="EM167" s="60"/>
      <c r="EN167" s="60"/>
      <c r="EO167" s="60"/>
      <c r="EP167" s="60"/>
      <c r="EQ167" s="60"/>
      <c r="ER167" s="60"/>
      <c r="ES167" s="60"/>
      <c r="ET167" s="60"/>
      <c r="EU167" s="60"/>
      <c r="EV167" s="60"/>
      <c r="EW167" s="60"/>
      <c r="EX167" s="60"/>
      <c r="EY167" s="60"/>
      <c r="EZ167" s="60"/>
      <c r="FA167" s="60"/>
      <c r="FB167" s="60"/>
      <c r="FC167" s="60"/>
      <c r="FD167" s="60"/>
      <c r="FE167" s="60"/>
      <c r="FF167" s="60"/>
      <c r="FG167" s="60"/>
      <c r="FH167" s="60"/>
      <c r="FI167" s="60"/>
      <c r="FJ167" s="60"/>
      <c r="FK167" s="60"/>
      <c r="FL167" s="60"/>
      <c r="FM167" s="60"/>
      <c r="FN167" s="60"/>
      <c r="FO167" s="60"/>
      <c r="FP167" s="60"/>
      <c r="FQ167" s="60"/>
      <c r="FR167" s="60"/>
      <c r="FS167" s="60"/>
      <c r="FT167" s="60"/>
      <c r="FU167" s="60"/>
      <c r="FV167" s="60"/>
      <c r="FW167" s="60"/>
      <c r="FX167" s="60"/>
      <c r="FY167" s="60"/>
      <c r="FZ167" s="60"/>
      <c r="GA167" s="60"/>
      <c r="GB167" s="60"/>
      <c r="GC167" s="60"/>
      <c r="GD167" s="60"/>
      <c r="GE167" s="60"/>
      <c r="GF167" s="60"/>
      <c r="GG167" s="60"/>
      <c r="GH167" s="60"/>
      <c r="GI167" s="60"/>
      <c r="GJ167" s="60"/>
      <c r="GK167" s="60"/>
      <c r="GL167" s="60"/>
      <c r="GM167" s="60"/>
      <c r="GN167" s="60"/>
      <c r="GO167" s="60"/>
      <c r="GP167" s="60"/>
      <c r="GQ167" s="60"/>
      <c r="GR167" s="60"/>
      <c r="GS167" s="60"/>
      <c r="GT167" s="60"/>
      <c r="GU167" s="60"/>
      <c r="GV167" s="60"/>
      <c r="GW167" s="60"/>
      <c r="GX167" s="60"/>
      <c r="GY167" s="60"/>
      <c r="GZ167" s="60"/>
      <c r="HA167" s="60"/>
      <c r="HB167" s="60"/>
      <c r="HC167" s="60"/>
      <c r="HD167" s="60"/>
      <c r="HE167" s="60"/>
      <c r="HF167" s="60"/>
      <c r="HG167" s="60"/>
      <c r="HH167" s="60"/>
      <c r="HI167" s="60"/>
      <c r="HJ167" s="60"/>
      <c r="HK167" s="60"/>
      <c r="HL167" s="60"/>
    </row>
    <row r="168" spans="1:220" s="57" customFormat="1" ht="16.5" customHeight="1" x14ac:dyDescent="0.15">
      <c r="A168" s="99"/>
      <c r="B168" s="91" t="s">
        <v>287</v>
      </c>
      <c r="C168" s="101"/>
      <c r="D168" s="64" t="s">
        <v>238</v>
      </c>
      <c r="E168" s="53"/>
      <c r="F168" s="53"/>
      <c r="G168" s="88" t="s">
        <v>477</v>
      </c>
      <c r="H168" s="54"/>
      <c r="I168" s="54"/>
      <c r="J168" s="59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  <c r="CL168" s="56"/>
      <c r="CM168" s="56"/>
      <c r="CN168" s="56"/>
      <c r="CO168" s="56"/>
      <c r="CP168" s="56"/>
      <c r="CQ168" s="56"/>
      <c r="CR168" s="56"/>
      <c r="CS168" s="56"/>
      <c r="CT168" s="56"/>
      <c r="CU168" s="56"/>
      <c r="CV168" s="56"/>
      <c r="CW168" s="56"/>
      <c r="CX168" s="56"/>
      <c r="CY168" s="56"/>
      <c r="CZ168" s="56"/>
      <c r="DA168" s="56"/>
      <c r="DB168" s="56"/>
      <c r="DC168" s="56"/>
      <c r="DD168" s="56"/>
      <c r="DE168" s="56"/>
      <c r="DF168" s="56"/>
      <c r="DG168" s="56"/>
      <c r="DH168" s="56"/>
      <c r="DI168" s="56"/>
      <c r="DJ168" s="56"/>
      <c r="DK168" s="56"/>
      <c r="DL168" s="56"/>
      <c r="DM168" s="56"/>
      <c r="DN168" s="56"/>
      <c r="DO168" s="56"/>
      <c r="DP168" s="56"/>
      <c r="DQ168" s="56"/>
      <c r="DR168" s="56"/>
      <c r="DS168" s="56"/>
      <c r="DT168" s="56"/>
      <c r="DU168" s="56"/>
      <c r="DV168" s="56"/>
      <c r="DW168" s="56"/>
      <c r="DX168" s="56"/>
      <c r="DY168" s="56"/>
      <c r="DZ168" s="56"/>
      <c r="EA168" s="56"/>
      <c r="EB168" s="56"/>
      <c r="EC168" s="56"/>
      <c r="ED168" s="56"/>
      <c r="EE168" s="56"/>
      <c r="EF168" s="56"/>
      <c r="EG168" s="56"/>
      <c r="EH168" s="56"/>
      <c r="EI168" s="56"/>
      <c r="EJ168" s="56"/>
      <c r="EK168" s="56"/>
      <c r="EL168" s="56"/>
      <c r="EM168" s="56"/>
      <c r="EN168" s="56"/>
      <c r="EO168" s="56"/>
      <c r="EP168" s="56"/>
      <c r="EQ168" s="56"/>
      <c r="ER168" s="56"/>
      <c r="ES168" s="56"/>
      <c r="ET168" s="56"/>
      <c r="EU168" s="56"/>
      <c r="EV168" s="56"/>
      <c r="EW168" s="56"/>
      <c r="EX168" s="56"/>
      <c r="EY168" s="56"/>
      <c r="EZ168" s="56"/>
      <c r="FA168" s="56"/>
      <c r="FB168" s="56"/>
      <c r="FC168" s="56"/>
      <c r="FD168" s="56"/>
      <c r="FE168" s="56"/>
      <c r="FF168" s="56"/>
      <c r="FG168" s="56"/>
      <c r="FH168" s="56"/>
      <c r="FI168" s="56"/>
      <c r="FJ168" s="56"/>
      <c r="FK168" s="56"/>
      <c r="FL168" s="56"/>
      <c r="FM168" s="56"/>
      <c r="FN168" s="56"/>
      <c r="FO168" s="56"/>
      <c r="FP168" s="56"/>
      <c r="FQ168" s="56"/>
      <c r="FR168" s="56"/>
      <c r="FS168" s="56"/>
      <c r="FT168" s="56"/>
      <c r="FU168" s="56"/>
      <c r="FV168" s="56"/>
      <c r="FW168" s="56"/>
      <c r="FX168" s="56"/>
      <c r="FY168" s="56"/>
      <c r="FZ168" s="56"/>
      <c r="GA168" s="56"/>
      <c r="GB168" s="56"/>
      <c r="GC168" s="56"/>
      <c r="GD168" s="56"/>
      <c r="GE168" s="56"/>
      <c r="GF168" s="56"/>
      <c r="GG168" s="56"/>
      <c r="GH168" s="56"/>
      <c r="GI168" s="56"/>
      <c r="GJ168" s="56"/>
      <c r="GK168" s="56"/>
      <c r="GL168" s="56"/>
      <c r="GM168" s="56"/>
      <c r="GN168" s="56"/>
      <c r="GO168" s="56"/>
      <c r="GP168" s="56"/>
      <c r="GQ168" s="56"/>
      <c r="GR168" s="56"/>
      <c r="GS168" s="56"/>
      <c r="GT168" s="56"/>
      <c r="GU168" s="56"/>
      <c r="GV168" s="56"/>
      <c r="GW168" s="56"/>
      <c r="GX168" s="56"/>
      <c r="GY168" s="56"/>
      <c r="GZ168" s="56"/>
      <c r="HA168" s="56"/>
      <c r="HB168" s="56"/>
      <c r="HC168" s="56"/>
      <c r="HD168" s="56"/>
      <c r="HE168" s="56"/>
      <c r="HF168" s="56"/>
      <c r="HG168" s="56"/>
      <c r="HH168" s="56"/>
      <c r="HI168" s="56"/>
      <c r="HJ168" s="56"/>
      <c r="HK168" s="56"/>
      <c r="HL168" s="56"/>
    </row>
    <row r="169" spans="1:220" s="57" customFormat="1" ht="16.5" customHeight="1" x14ac:dyDescent="0.15">
      <c r="A169" s="99"/>
      <c r="B169" s="91" t="s">
        <v>288</v>
      </c>
      <c r="C169" s="101"/>
      <c r="D169" s="64" t="s">
        <v>309</v>
      </c>
      <c r="E169" s="53"/>
      <c r="F169" s="53"/>
      <c r="G169" s="88" t="s">
        <v>477</v>
      </c>
      <c r="H169" s="54"/>
      <c r="I169" s="54"/>
      <c r="J169" s="59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  <c r="CL169" s="56"/>
      <c r="CM169" s="56"/>
      <c r="CN169" s="56"/>
      <c r="CO169" s="56"/>
      <c r="CP169" s="56"/>
      <c r="CQ169" s="56"/>
      <c r="CR169" s="56"/>
      <c r="CS169" s="56"/>
      <c r="CT169" s="56"/>
      <c r="CU169" s="56"/>
      <c r="CV169" s="56"/>
      <c r="CW169" s="56"/>
      <c r="CX169" s="56"/>
      <c r="CY169" s="56"/>
      <c r="CZ169" s="56"/>
      <c r="DA169" s="56"/>
      <c r="DB169" s="56"/>
      <c r="DC169" s="56"/>
      <c r="DD169" s="56"/>
      <c r="DE169" s="56"/>
      <c r="DF169" s="56"/>
      <c r="DG169" s="56"/>
      <c r="DH169" s="56"/>
      <c r="DI169" s="56"/>
      <c r="DJ169" s="56"/>
      <c r="DK169" s="56"/>
      <c r="DL169" s="56"/>
      <c r="DM169" s="56"/>
      <c r="DN169" s="56"/>
      <c r="DO169" s="56"/>
      <c r="DP169" s="56"/>
      <c r="DQ169" s="56"/>
      <c r="DR169" s="56"/>
      <c r="DS169" s="56"/>
      <c r="DT169" s="56"/>
      <c r="DU169" s="56"/>
      <c r="DV169" s="56"/>
      <c r="DW169" s="56"/>
      <c r="DX169" s="56"/>
      <c r="DY169" s="56"/>
      <c r="DZ169" s="56"/>
      <c r="EA169" s="56"/>
      <c r="EB169" s="56"/>
      <c r="EC169" s="56"/>
      <c r="ED169" s="56"/>
      <c r="EE169" s="56"/>
      <c r="EF169" s="56"/>
      <c r="EG169" s="56"/>
      <c r="EH169" s="56"/>
      <c r="EI169" s="56"/>
      <c r="EJ169" s="56"/>
      <c r="EK169" s="56"/>
      <c r="EL169" s="56"/>
      <c r="EM169" s="56"/>
      <c r="EN169" s="56"/>
      <c r="EO169" s="56"/>
      <c r="EP169" s="56"/>
      <c r="EQ169" s="56"/>
      <c r="ER169" s="56"/>
      <c r="ES169" s="56"/>
      <c r="ET169" s="56"/>
      <c r="EU169" s="56"/>
      <c r="EV169" s="56"/>
      <c r="EW169" s="56"/>
      <c r="EX169" s="56"/>
      <c r="EY169" s="56"/>
      <c r="EZ169" s="56"/>
      <c r="FA169" s="56"/>
      <c r="FB169" s="56"/>
      <c r="FC169" s="56"/>
      <c r="FD169" s="56"/>
      <c r="FE169" s="56"/>
      <c r="FF169" s="56"/>
      <c r="FG169" s="56"/>
      <c r="FH169" s="56"/>
      <c r="FI169" s="56"/>
      <c r="FJ169" s="56"/>
      <c r="FK169" s="56"/>
      <c r="FL169" s="56"/>
      <c r="FM169" s="56"/>
      <c r="FN169" s="56"/>
      <c r="FO169" s="56"/>
      <c r="FP169" s="56"/>
      <c r="FQ169" s="56"/>
      <c r="FR169" s="56"/>
      <c r="FS169" s="56"/>
      <c r="FT169" s="56"/>
      <c r="FU169" s="56"/>
      <c r="FV169" s="56"/>
      <c r="FW169" s="56"/>
      <c r="FX169" s="56"/>
      <c r="FY169" s="56"/>
      <c r="FZ169" s="56"/>
      <c r="GA169" s="56"/>
      <c r="GB169" s="56"/>
      <c r="GC169" s="56"/>
      <c r="GD169" s="56"/>
      <c r="GE169" s="56"/>
      <c r="GF169" s="56"/>
      <c r="GG169" s="56"/>
      <c r="GH169" s="56"/>
      <c r="GI169" s="56"/>
      <c r="GJ169" s="56"/>
      <c r="GK169" s="56"/>
      <c r="GL169" s="56"/>
      <c r="GM169" s="56"/>
      <c r="GN169" s="56"/>
      <c r="GO169" s="56"/>
      <c r="GP169" s="56"/>
      <c r="GQ169" s="56"/>
      <c r="GR169" s="56"/>
      <c r="GS169" s="56"/>
      <c r="GT169" s="56"/>
      <c r="GU169" s="56"/>
      <c r="GV169" s="56"/>
      <c r="GW169" s="56"/>
      <c r="GX169" s="56"/>
      <c r="GY169" s="56"/>
      <c r="GZ169" s="56"/>
      <c r="HA169" s="56"/>
      <c r="HB169" s="56"/>
      <c r="HC169" s="56"/>
      <c r="HD169" s="56"/>
      <c r="HE169" s="56"/>
      <c r="HF169" s="56"/>
      <c r="HG169" s="56"/>
      <c r="HH169" s="56"/>
      <c r="HI169" s="56"/>
      <c r="HJ169" s="56"/>
      <c r="HK169" s="56"/>
      <c r="HL169" s="56"/>
    </row>
    <row r="170" spans="1:220" s="53" customFormat="1" ht="16.5" customHeight="1" x14ac:dyDescent="0.15">
      <c r="A170" s="99"/>
      <c r="B170" s="91" t="s">
        <v>289</v>
      </c>
      <c r="C170" s="103"/>
      <c r="D170" s="57" t="s">
        <v>240</v>
      </c>
      <c r="G170" s="88" t="s">
        <v>477</v>
      </c>
      <c r="J170" s="59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/>
      <c r="BQ170" s="60"/>
      <c r="BR170" s="60"/>
      <c r="BS170" s="60"/>
      <c r="BT170" s="60"/>
      <c r="BU170" s="60"/>
      <c r="BV170" s="60"/>
      <c r="BW170" s="60"/>
      <c r="BX170" s="60"/>
      <c r="BY170" s="60"/>
      <c r="BZ170" s="60"/>
      <c r="CA170" s="60"/>
      <c r="CB170" s="60"/>
      <c r="CC170" s="60"/>
      <c r="CD170" s="60"/>
      <c r="CE170" s="60"/>
      <c r="CF170" s="60"/>
      <c r="CG170" s="60"/>
      <c r="CH170" s="60"/>
      <c r="CI170" s="60"/>
      <c r="CJ170" s="60"/>
      <c r="CK170" s="60"/>
      <c r="CL170" s="60"/>
      <c r="CM170" s="60"/>
      <c r="CN170" s="60"/>
      <c r="CO170" s="60"/>
      <c r="CP170" s="60"/>
      <c r="CQ170" s="60"/>
      <c r="CR170" s="60"/>
      <c r="CS170" s="60"/>
      <c r="CT170" s="60"/>
      <c r="CU170" s="60"/>
      <c r="CV170" s="60"/>
      <c r="CW170" s="60"/>
      <c r="CX170" s="60"/>
      <c r="CY170" s="60"/>
      <c r="CZ170" s="60"/>
      <c r="DA170" s="60"/>
      <c r="DB170" s="60"/>
      <c r="DC170" s="60"/>
      <c r="DD170" s="60"/>
      <c r="DE170" s="60"/>
      <c r="DF170" s="60"/>
      <c r="DG170" s="60"/>
      <c r="DH170" s="60"/>
      <c r="DI170" s="60"/>
      <c r="DJ170" s="60"/>
      <c r="DK170" s="60"/>
      <c r="DL170" s="60"/>
      <c r="DM170" s="60"/>
      <c r="DN170" s="60"/>
      <c r="DO170" s="60"/>
      <c r="DP170" s="60"/>
      <c r="DQ170" s="60"/>
      <c r="DR170" s="60"/>
      <c r="DS170" s="60"/>
      <c r="DT170" s="60"/>
      <c r="DU170" s="60"/>
      <c r="DV170" s="60"/>
      <c r="DW170" s="60"/>
      <c r="DX170" s="60"/>
      <c r="DY170" s="60"/>
      <c r="DZ170" s="60"/>
      <c r="EA170" s="60"/>
      <c r="EB170" s="60"/>
      <c r="EC170" s="60"/>
      <c r="ED170" s="60"/>
      <c r="EE170" s="60"/>
      <c r="EF170" s="60"/>
      <c r="EG170" s="60"/>
      <c r="EH170" s="60"/>
      <c r="EI170" s="60"/>
      <c r="EJ170" s="60"/>
      <c r="EK170" s="60"/>
      <c r="EL170" s="60"/>
      <c r="EM170" s="60"/>
      <c r="EN170" s="60"/>
      <c r="EO170" s="60"/>
      <c r="EP170" s="60"/>
      <c r="EQ170" s="60"/>
      <c r="ER170" s="60"/>
      <c r="ES170" s="60"/>
      <c r="ET170" s="60"/>
      <c r="EU170" s="60"/>
      <c r="EV170" s="60"/>
      <c r="EW170" s="60"/>
      <c r="EX170" s="60"/>
      <c r="EY170" s="60"/>
      <c r="EZ170" s="60"/>
      <c r="FA170" s="60"/>
      <c r="FB170" s="60"/>
      <c r="FC170" s="60"/>
      <c r="FD170" s="60"/>
      <c r="FE170" s="60"/>
      <c r="FF170" s="60"/>
      <c r="FG170" s="60"/>
      <c r="FH170" s="60"/>
      <c r="FI170" s="60"/>
      <c r="FJ170" s="60"/>
      <c r="FK170" s="60"/>
      <c r="FL170" s="60"/>
      <c r="FM170" s="60"/>
      <c r="FN170" s="60"/>
      <c r="FO170" s="60"/>
      <c r="FP170" s="60"/>
      <c r="FQ170" s="60"/>
      <c r="FR170" s="60"/>
      <c r="FS170" s="60"/>
      <c r="FT170" s="60"/>
      <c r="FU170" s="60"/>
      <c r="FV170" s="60"/>
      <c r="FW170" s="60"/>
      <c r="FX170" s="60"/>
      <c r="FY170" s="60"/>
      <c r="FZ170" s="60"/>
      <c r="GA170" s="60"/>
      <c r="GB170" s="60"/>
      <c r="GC170" s="60"/>
      <c r="GD170" s="60"/>
      <c r="GE170" s="60"/>
      <c r="GF170" s="60"/>
      <c r="GG170" s="60"/>
      <c r="GH170" s="60"/>
      <c r="GI170" s="60"/>
      <c r="GJ170" s="60"/>
      <c r="GK170" s="60"/>
      <c r="GL170" s="60"/>
      <c r="GM170" s="60"/>
      <c r="GN170" s="60"/>
      <c r="GO170" s="60"/>
      <c r="GP170" s="60"/>
      <c r="GQ170" s="60"/>
      <c r="GR170" s="60"/>
      <c r="GS170" s="60"/>
      <c r="GT170" s="60"/>
      <c r="GU170" s="60"/>
      <c r="GV170" s="60"/>
      <c r="GW170" s="60"/>
      <c r="GX170" s="60"/>
      <c r="GY170" s="60"/>
      <c r="GZ170" s="60"/>
      <c r="HA170" s="60"/>
      <c r="HB170" s="60"/>
      <c r="HC170" s="60"/>
      <c r="HD170" s="60"/>
      <c r="HE170" s="60"/>
      <c r="HF170" s="60"/>
      <c r="HG170" s="60"/>
      <c r="HH170" s="60"/>
      <c r="HI170" s="60"/>
      <c r="HJ170" s="60"/>
      <c r="HK170" s="60"/>
      <c r="HL170" s="60"/>
    </row>
    <row r="171" spans="1:220" s="61" customFormat="1" ht="27.95" customHeight="1" x14ac:dyDescent="0.15">
      <c r="A171" s="99"/>
      <c r="B171" s="91" t="s">
        <v>290</v>
      </c>
      <c r="C171" s="100" t="s">
        <v>314</v>
      </c>
      <c r="D171" s="64" t="s">
        <v>312</v>
      </c>
      <c r="E171" s="53"/>
      <c r="F171" s="53"/>
      <c r="G171" s="88" t="s">
        <v>477</v>
      </c>
      <c r="H171" s="53"/>
      <c r="I171" s="53"/>
      <c r="J171" s="59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  <c r="BX171" s="60"/>
      <c r="BY171" s="60"/>
      <c r="BZ171" s="60"/>
      <c r="CA171" s="60"/>
      <c r="CB171" s="60"/>
      <c r="CC171" s="60"/>
      <c r="CD171" s="60"/>
      <c r="CE171" s="60"/>
      <c r="CF171" s="60"/>
      <c r="CG171" s="60"/>
      <c r="CH171" s="60"/>
      <c r="CI171" s="60"/>
      <c r="CJ171" s="60"/>
      <c r="CK171" s="60"/>
      <c r="CL171" s="60"/>
      <c r="CM171" s="60"/>
      <c r="CN171" s="60"/>
      <c r="CO171" s="60"/>
      <c r="CP171" s="60"/>
      <c r="CQ171" s="60"/>
      <c r="CR171" s="60"/>
      <c r="CS171" s="60"/>
      <c r="CT171" s="60"/>
      <c r="CU171" s="60"/>
      <c r="CV171" s="60"/>
      <c r="CW171" s="60"/>
      <c r="CX171" s="60"/>
      <c r="CY171" s="60"/>
      <c r="CZ171" s="60"/>
      <c r="DA171" s="60"/>
      <c r="DB171" s="60"/>
      <c r="DC171" s="60"/>
      <c r="DD171" s="60"/>
      <c r="DE171" s="60"/>
      <c r="DF171" s="60"/>
      <c r="DG171" s="60"/>
      <c r="DH171" s="60"/>
      <c r="DI171" s="60"/>
      <c r="DJ171" s="60"/>
      <c r="DK171" s="60"/>
      <c r="DL171" s="60"/>
      <c r="DM171" s="60"/>
      <c r="DN171" s="60"/>
      <c r="DO171" s="60"/>
      <c r="DP171" s="60"/>
      <c r="DQ171" s="60"/>
      <c r="DR171" s="60"/>
      <c r="DS171" s="60"/>
      <c r="DT171" s="60"/>
      <c r="DU171" s="60"/>
      <c r="DV171" s="60"/>
      <c r="DW171" s="60"/>
      <c r="DX171" s="60"/>
      <c r="DY171" s="60"/>
      <c r="DZ171" s="60"/>
      <c r="EA171" s="60"/>
      <c r="EB171" s="60"/>
      <c r="EC171" s="60"/>
      <c r="ED171" s="60"/>
      <c r="EE171" s="60"/>
      <c r="EF171" s="60"/>
      <c r="EG171" s="60"/>
      <c r="EH171" s="60"/>
      <c r="EI171" s="60"/>
      <c r="EJ171" s="60"/>
      <c r="EK171" s="60"/>
      <c r="EL171" s="60"/>
      <c r="EM171" s="60"/>
      <c r="EN171" s="60"/>
      <c r="EO171" s="60"/>
      <c r="EP171" s="60"/>
      <c r="EQ171" s="60"/>
      <c r="ER171" s="60"/>
      <c r="ES171" s="60"/>
      <c r="ET171" s="60"/>
      <c r="EU171" s="60"/>
      <c r="EV171" s="60"/>
      <c r="EW171" s="60"/>
      <c r="EX171" s="60"/>
      <c r="EY171" s="60"/>
      <c r="EZ171" s="60"/>
      <c r="FA171" s="60"/>
      <c r="FB171" s="60"/>
      <c r="FC171" s="60"/>
      <c r="FD171" s="60"/>
      <c r="FE171" s="60"/>
      <c r="FF171" s="60"/>
      <c r="FG171" s="60"/>
      <c r="FH171" s="60"/>
      <c r="FI171" s="60"/>
      <c r="FJ171" s="60"/>
      <c r="FK171" s="60"/>
      <c r="FL171" s="60"/>
      <c r="FM171" s="60"/>
      <c r="FN171" s="60"/>
      <c r="FO171" s="60"/>
      <c r="FP171" s="60"/>
      <c r="FQ171" s="60"/>
      <c r="FR171" s="60"/>
      <c r="FS171" s="60"/>
      <c r="FT171" s="60"/>
      <c r="FU171" s="60"/>
      <c r="FV171" s="60"/>
      <c r="FW171" s="60"/>
      <c r="FX171" s="60"/>
      <c r="FY171" s="60"/>
      <c r="FZ171" s="60"/>
      <c r="GA171" s="60"/>
      <c r="GB171" s="60"/>
      <c r="GC171" s="60"/>
      <c r="GD171" s="60"/>
      <c r="GE171" s="60"/>
      <c r="GF171" s="60"/>
      <c r="GG171" s="60"/>
      <c r="GH171" s="60"/>
      <c r="GI171" s="60"/>
      <c r="GJ171" s="60"/>
      <c r="GK171" s="60"/>
      <c r="GL171" s="60"/>
      <c r="GM171" s="60"/>
      <c r="GN171" s="60"/>
      <c r="GO171" s="60"/>
      <c r="GP171" s="60"/>
      <c r="GQ171" s="60"/>
      <c r="GR171" s="60"/>
      <c r="GS171" s="60"/>
      <c r="GT171" s="60"/>
      <c r="GU171" s="60"/>
      <c r="GV171" s="60"/>
      <c r="GW171" s="60"/>
      <c r="GX171" s="60"/>
      <c r="GY171" s="60"/>
      <c r="GZ171" s="60"/>
      <c r="HA171" s="60"/>
      <c r="HB171" s="60"/>
      <c r="HC171" s="60"/>
      <c r="HD171" s="60"/>
      <c r="HE171" s="60"/>
      <c r="HF171" s="60"/>
      <c r="HG171" s="60"/>
      <c r="HH171" s="60"/>
      <c r="HI171" s="60"/>
      <c r="HJ171" s="60"/>
      <c r="HK171" s="60"/>
      <c r="HL171" s="60"/>
    </row>
    <row r="172" spans="1:220" s="61" customFormat="1" ht="27.95" customHeight="1" x14ac:dyDescent="0.15">
      <c r="A172" s="99"/>
      <c r="B172" s="91" t="s">
        <v>418</v>
      </c>
      <c r="C172" s="101"/>
      <c r="D172" s="64" t="s">
        <v>313</v>
      </c>
      <c r="E172" s="53"/>
      <c r="F172" s="53"/>
      <c r="G172" s="88" t="s">
        <v>477</v>
      </c>
      <c r="H172" s="53"/>
      <c r="I172" s="53"/>
      <c r="J172" s="59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 s="60"/>
      <c r="BZ172" s="60"/>
      <c r="CA172" s="60"/>
      <c r="CB172" s="60"/>
      <c r="CC172" s="60"/>
      <c r="CD172" s="60"/>
      <c r="CE172" s="60"/>
      <c r="CF172" s="60"/>
      <c r="CG172" s="60"/>
      <c r="CH172" s="60"/>
      <c r="CI172" s="60"/>
      <c r="CJ172" s="60"/>
      <c r="CK172" s="60"/>
      <c r="CL172" s="60"/>
      <c r="CM172" s="60"/>
      <c r="CN172" s="60"/>
      <c r="CO172" s="60"/>
      <c r="CP172" s="60"/>
      <c r="CQ172" s="60"/>
      <c r="CR172" s="60"/>
      <c r="CS172" s="60"/>
      <c r="CT172" s="60"/>
      <c r="CU172" s="60"/>
      <c r="CV172" s="60"/>
      <c r="CW172" s="60"/>
      <c r="CX172" s="60"/>
      <c r="CY172" s="60"/>
      <c r="CZ172" s="60"/>
      <c r="DA172" s="60"/>
      <c r="DB172" s="60"/>
      <c r="DC172" s="60"/>
      <c r="DD172" s="60"/>
      <c r="DE172" s="60"/>
      <c r="DF172" s="60"/>
      <c r="DG172" s="60"/>
      <c r="DH172" s="60"/>
      <c r="DI172" s="60"/>
      <c r="DJ172" s="60"/>
      <c r="DK172" s="60"/>
      <c r="DL172" s="60"/>
      <c r="DM172" s="60"/>
      <c r="DN172" s="60"/>
      <c r="DO172" s="60"/>
      <c r="DP172" s="60"/>
      <c r="DQ172" s="60"/>
      <c r="DR172" s="60"/>
      <c r="DS172" s="60"/>
      <c r="DT172" s="60"/>
      <c r="DU172" s="60"/>
      <c r="DV172" s="60"/>
      <c r="DW172" s="60"/>
      <c r="DX172" s="60"/>
      <c r="DY172" s="60"/>
      <c r="DZ172" s="60"/>
      <c r="EA172" s="60"/>
      <c r="EB172" s="60"/>
      <c r="EC172" s="60"/>
      <c r="ED172" s="60"/>
      <c r="EE172" s="60"/>
      <c r="EF172" s="60"/>
      <c r="EG172" s="60"/>
      <c r="EH172" s="60"/>
      <c r="EI172" s="60"/>
      <c r="EJ172" s="60"/>
      <c r="EK172" s="60"/>
      <c r="EL172" s="60"/>
      <c r="EM172" s="60"/>
      <c r="EN172" s="60"/>
      <c r="EO172" s="60"/>
      <c r="EP172" s="60"/>
      <c r="EQ172" s="60"/>
      <c r="ER172" s="60"/>
      <c r="ES172" s="60"/>
      <c r="ET172" s="60"/>
      <c r="EU172" s="60"/>
      <c r="EV172" s="60"/>
      <c r="EW172" s="60"/>
      <c r="EX172" s="60"/>
      <c r="EY172" s="60"/>
      <c r="EZ172" s="60"/>
      <c r="FA172" s="60"/>
      <c r="FB172" s="60"/>
      <c r="FC172" s="60"/>
      <c r="FD172" s="60"/>
      <c r="FE172" s="60"/>
      <c r="FF172" s="60"/>
      <c r="FG172" s="60"/>
      <c r="FH172" s="60"/>
      <c r="FI172" s="60"/>
      <c r="FJ172" s="60"/>
      <c r="FK172" s="60"/>
      <c r="FL172" s="60"/>
      <c r="FM172" s="60"/>
      <c r="FN172" s="60"/>
      <c r="FO172" s="60"/>
      <c r="FP172" s="60"/>
      <c r="FQ172" s="60"/>
      <c r="FR172" s="60"/>
      <c r="FS172" s="60"/>
      <c r="FT172" s="60"/>
      <c r="FU172" s="60"/>
      <c r="FV172" s="60"/>
      <c r="FW172" s="60"/>
      <c r="FX172" s="60"/>
      <c r="FY172" s="60"/>
      <c r="FZ172" s="60"/>
      <c r="GA172" s="60"/>
      <c r="GB172" s="60"/>
      <c r="GC172" s="60"/>
      <c r="GD172" s="60"/>
      <c r="GE172" s="60"/>
      <c r="GF172" s="60"/>
      <c r="GG172" s="60"/>
      <c r="GH172" s="60"/>
      <c r="GI172" s="60"/>
      <c r="GJ172" s="60"/>
      <c r="GK172" s="60"/>
      <c r="GL172" s="60"/>
      <c r="GM172" s="60"/>
      <c r="GN172" s="60"/>
      <c r="GO172" s="60"/>
      <c r="GP172" s="60"/>
      <c r="GQ172" s="60"/>
      <c r="GR172" s="60"/>
      <c r="GS172" s="60"/>
      <c r="GT172" s="60"/>
      <c r="GU172" s="60"/>
      <c r="GV172" s="60"/>
      <c r="GW172" s="60"/>
      <c r="GX172" s="60"/>
      <c r="GY172" s="60"/>
      <c r="GZ172" s="60"/>
      <c r="HA172" s="60"/>
      <c r="HB172" s="60"/>
      <c r="HC172" s="60"/>
      <c r="HD172" s="60"/>
      <c r="HE172" s="60"/>
      <c r="HF172" s="60"/>
      <c r="HG172" s="60"/>
      <c r="HH172" s="60"/>
      <c r="HI172" s="60"/>
      <c r="HJ172" s="60"/>
      <c r="HK172" s="60"/>
      <c r="HL172" s="60"/>
    </row>
    <row r="173" spans="1:220" s="61" customFormat="1" ht="27.95" customHeight="1" x14ac:dyDescent="0.15">
      <c r="A173" s="99"/>
      <c r="B173" s="91" t="s">
        <v>291</v>
      </c>
      <c r="C173" s="100" t="s">
        <v>315</v>
      </c>
      <c r="D173" s="64" t="s">
        <v>312</v>
      </c>
      <c r="E173" s="53"/>
      <c r="F173" s="53"/>
      <c r="G173" s="88" t="s">
        <v>477</v>
      </c>
      <c r="H173" s="53"/>
      <c r="I173" s="53"/>
      <c r="J173" s="59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  <c r="BX173" s="60"/>
      <c r="BY173" s="60"/>
      <c r="BZ173" s="60"/>
      <c r="CA173" s="60"/>
      <c r="CB173" s="60"/>
      <c r="CC173" s="60"/>
      <c r="CD173" s="60"/>
      <c r="CE173" s="60"/>
      <c r="CF173" s="60"/>
      <c r="CG173" s="60"/>
      <c r="CH173" s="60"/>
      <c r="CI173" s="60"/>
      <c r="CJ173" s="60"/>
      <c r="CK173" s="60"/>
      <c r="CL173" s="60"/>
      <c r="CM173" s="60"/>
      <c r="CN173" s="60"/>
      <c r="CO173" s="60"/>
      <c r="CP173" s="60"/>
      <c r="CQ173" s="60"/>
      <c r="CR173" s="60"/>
      <c r="CS173" s="60"/>
      <c r="CT173" s="60"/>
      <c r="CU173" s="60"/>
      <c r="CV173" s="60"/>
      <c r="CW173" s="60"/>
      <c r="CX173" s="60"/>
      <c r="CY173" s="60"/>
      <c r="CZ173" s="60"/>
      <c r="DA173" s="60"/>
      <c r="DB173" s="60"/>
      <c r="DC173" s="60"/>
      <c r="DD173" s="60"/>
      <c r="DE173" s="60"/>
      <c r="DF173" s="60"/>
      <c r="DG173" s="60"/>
      <c r="DH173" s="60"/>
      <c r="DI173" s="60"/>
      <c r="DJ173" s="60"/>
      <c r="DK173" s="60"/>
      <c r="DL173" s="60"/>
      <c r="DM173" s="60"/>
      <c r="DN173" s="60"/>
      <c r="DO173" s="60"/>
      <c r="DP173" s="60"/>
      <c r="DQ173" s="60"/>
      <c r="DR173" s="60"/>
      <c r="DS173" s="60"/>
      <c r="DT173" s="60"/>
      <c r="DU173" s="60"/>
      <c r="DV173" s="60"/>
      <c r="DW173" s="60"/>
      <c r="DX173" s="60"/>
      <c r="DY173" s="60"/>
      <c r="DZ173" s="60"/>
      <c r="EA173" s="60"/>
      <c r="EB173" s="60"/>
      <c r="EC173" s="60"/>
      <c r="ED173" s="60"/>
      <c r="EE173" s="60"/>
      <c r="EF173" s="60"/>
      <c r="EG173" s="60"/>
      <c r="EH173" s="60"/>
      <c r="EI173" s="60"/>
      <c r="EJ173" s="60"/>
      <c r="EK173" s="60"/>
      <c r="EL173" s="60"/>
      <c r="EM173" s="60"/>
      <c r="EN173" s="60"/>
      <c r="EO173" s="60"/>
      <c r="EP173" s="60"/>
      <c r="EQ173" s="60"/>
      <c r="ER173" s="60"/>
      <c r="ES173" s="60"/>
      <c r="ET173" s="60"/>
      <c r="EU173" s="60"/>
      <c r="EV173" s="60"/>
      <c r="EW173" s="60"/>
      <c r="EX173" s="60"/>
      <c r="EY173" s="60"/>
      <c r="EZ173" s="60"/>
      <c r="FA173" s="60"/>
      <c r="FB173" s="60"/>
      <c r="FC173" s="60"/>
      <c r="FD173" s="60"/>
      <c r="FE173" s="60"/>
      <c r="FF173" s="60"/>
      <c r="FG173" s="60"/>
      <c r="FH173" s="60"/>
      <c r="FI173" s="60"/>
      <c r="FJ173" s="60"/>
      <c r="FK173" s="60"/>
      <c r="FL173" s="60"/>
      <c r="FM173" s="60"/>
      <c r="FN173" s="60"/>
      <c r="FO173" s="60"/>
      <c r="FP173" s="60"/>
      <c r="FQ173" s="60"/>
      <c r="FR173" s="60"/>
      <c r="FS173" s="60"/>
      <c r="FT173" s="60"/>
      <c r="FU173" s="60"/>
      <c r="FV173" s="60"/>
      <c r="FW173" s="60"/>
      <c r="FX173" s="60"/>
      <c r="FY173" s="60"/>
      <c r="FZ173" s="60"/>
      <c r="GA173" s="60"/>
      <c r="GB173" s="60"/>
      <c r="GC173" s="60"/>
      <c r="GD173" s="60"/>
      <c r="GE173" s="60"/>
      <c r="GF173" s="60"/>
      <c r="GG173" s="60"/>
      <c r="GH173" s="60"/>
      <c r="GI173" s="60"/>
      <c r="GJ173" s="60"/>
      <c r="GK173" s="60"/>
      <c r="GL173" s="60"/>
      <c r="GM173" s="60"/>
      <c r="GN173" s="60"/>
      <c r="GO173" s="60"/>
      <c r="GP173" s="60"/>
      <c r="GQ173" s="60"/>
      <c r="GR173" s="60"/>
      <c r="GS173" s="60"/>
      <c r="GT173" s="60"/>
      <c r="GU173" s="60"/>
      <c r="GV173" s="60"/>
      <c r="GW173" s="60"/>
      <c r="GX173" s="60"/>
      <c r="GY173" s="60"/>
      <c r="GZ173" s="60"/>
      <c r="HA173" s="60"/>
      <c r="HB173" s="60"/>
      <c r="HC173" s="60"/>
      <c r="HD173" s="60"/>
      <c r="HE173" s="60"/>
      <c r="HF173" s="60"/>
      <c r="HG173" s="60"/>
      <c r="HH173" s="60"/>
      <c r="HI173" s="60"/>
      <c r="HJ173" s="60"/>
      <c r="HK173" s="60"/>
      <c r="HL173" s="60"/>
    </row>
    <row r="174" spans="1:220" s="61" customFormat="1" ht="27.95" customHeight="1" x14ac:dyDescent="0.15">
      <c r="A174" s="99"/>
      <c r="B174" s="91" t="s">
        <v>292</v>
      </c>
      <c r="C174" s="101"/>
      <c r="D174" s="64" t="s">
        <v>313</v>
      </c>
      <c r="E174" s="53"/>
      <c r="F174" s="53"/>
      <c r="G174" s="88" t="s">
        <v>477</v>
      </c>
      <c r="H174" s="53"/>
      <c r="I174" s="53"/>
      <c r="J174" s="59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60"/>
      <c r="BR174" s="60"/>
      <c r="BS174" s="60"/>
      <c r="BT174" s="60"/>
      <c r="BU174" s="60"/>
      <c r="BV174" s="60"/>
      <c r="BW174" s="60"/>
      <c r="BX174" s="60"/>
      <c r="BY174" s="60"/>
      <c r="BZ174" s="60"/>
      <c r="CA174" s="60"/>
      <c r="CB174" s="60"/>
      <c r="CC174" s="60"/>
      <c r="CD174" s="60"/>
      <c r="CE174" s="60"/>
      <c r="CF174" s="60"/>
      <c r="CG174" s="60"/>
      <c r="CH174" s="60"/>
      <c r="CI174" s="60"/>
      <c r="CJ174" s="60"/>
      <c r="CK174" s="60"/>
      <c r="CL174" s="60"/>
      <c r="CM174" s="60"/>
      <c r="CN174" s="60"/>
      <c r="CO174" s="60"/>
      <c r="CP174" s="60"/>
      <c r="CQ174" s="60"/>
      <c r="CR174" s="60"/>
      <c r="CS174" s="60"/>
      <c r="CT174" s="60"/>
      <c r="CU174" s="60"/>
      <c r="CV174" s="60"/>
      <c r="CW174" s="60"/>
      <c r="CX174" s="60"/>
      <c r="CY174" s="60"/>
      <c r="CZ174" s="60"/>
      <c r="DA174" s="60"/>
      <c r="DB174" s="60"/>
      <c r="DC174" s="60"/>
      <c r="DD174" s="60"/>
      <c r="DE174" s="60"/>
      <c r="DF174" s="60"/>
      <c r="DG174" s="60"/>
      <c r="DH174" s="60"/>
      <c r="DI174" s="60"/>
      <c r="DJ174" s="60"/>
      <c r="DK174" s="60"/>
      <c r="DL174" s="60"/>
      <c r="DM174" s="60"/>
      <c r="DN174" s="60"/>
      <c r="DO174" s="60"/>
      <c r="DP174" s="60"/>
      <c r="DQ174" s="60"/>
      <c r="DR174" s="60"/>
      <c r="DS174" s="60"/>
      <c r="DT174" s="60"/>
      <c r="DU174" s="60"/>
      <c r="DV174" s="60"/>
      <c r="DW174" s="60"/>
      <c r="DX174" s="60"/>
      <c r="DY174" s="60"/>
      <c r="DZ174" s="60"/>
      <c r="EA174" s="60"/>
      <c r="EB174" s="60"/>
      <c r="EC174" s="60"/>
      <c r="ED174" s="60"/>
      <c r="EE174" s="60"/>
      <c r="EF174" s="60"/>
      <c r="EG174" s="60"/>
      <c r="EH174" s="60"/>
      <c r="EI174" s="60"/>
      <c r="EJ174" s="60"/>
      <c r="EK174" s="60"/>
      <c r="EL174" s="60"/>
      <c r="EM174" s="60"/>
      <c r="EN174" s="60"/>
      <c r="EO174" s="60"/>
      <c r="EP174" s="60"/>
      <c r="EQ174" s="60"/>
      <c r="ER174" s="60"/>
      <c r="ES174" s="60"/>
      <c r="ET174" s="60"/>
      <c r="EU174" s="60"/>
      <c r="EV174" s="60"/>
      <c r="EW174" s="60"/>
      <c r="EX174" s="60"/>
      <c r="EY174" s="60"/>
      <c r="EZ174" s="60"/>
      <c r="FA174" s="60"/>
      <c r="FB174" s="60"/>
      <c r="FC174" s="60"/>
      <c r="FD174" s="60"/>
      <c r="FE174" s="60"/>
      <c r="FF174" s="60"/>
      <c r="FG174" s="60"/>
      <c r="FH174" s="60"/>
      <c r="FI174" s="60"/>
      <c r="FJ174" s="60"/>
      <c r="FK174" s="60"/>
      <c r="FL174" s="60"/>
      <c r="FM174" s="60"/>
      <c r="FN174" s="60"/>
      <c r="FO174" s="60"/>
      <c r="FP174" s="60"/>
      <c r="FQ174" s="60"/>
      <c r="FR174" s="60"/>
      <c r="FS174" s="60"/>
      <c r="FT174" s="60"/>
      <c r="FU174" s="60"/>
      <c r="FV174" s="60"/>
      <c r="FW174" s="60"/>
      <c r="FX174" s="60"/>
      <c r="FY174" s="60"/>
      <c r="FZ174" s="60"/>
      <c r="GA174" s="60"/>
      <c r="GB174" s="60"/>
      <c r="GC174" s="60"/>
      <c r="GD174" s="60"/>
      <c r="GE174" s="60"/>
      <c r="GF174" s="60"/>
      <c r="GG174" s="60"/>
      <c r="GH174" s="60"/>
      <c r="GI174" s="60"/>
      <c r="GJ174" s="60"/>
      <c r="GK174" s="60"/>
      <c r="GL174" s="60"/>
      <c r="GM174" s="60"/>
      <c r="GN174" s="60"/>
      <c r="GO174" s="60"/>
      <c r="GP174" s="60"/>
      <c r="GQ174" s="60"/>
      <c r="GR174" s="60"/>
      <c r="GS174" s="60"/>
      <c r="GT174" s="60"/>
      <c r="GU174" s="60"/>
      <c r="GV174" s="60"/>
      <c r="GW174" s="60"/>
      <c r="GX174" s="60"/>
      <c r="GY174" s="60"/>
      <c r="GZ174" s="60"/>
      <c r="HA174" s="60"/>
      <c r="HB174" s="60"/>
      <c r="HC174" s="60"/>
      <c r="HD174" s="60"/>
      <c r="HE174" s="60"/>
      <c r="HF174" s="60"/>
      <c r="HG174" s="60"/>
      <c r="HH174" s="60"/>
      <c r="HI174" s="60"/>
      <c r="HJ174" s="60"/>
      <c r="HK174" s="60"/>
      <c r="HL174" s="60"/>
    </row>
    <row r="175" spans="1:220" s="85" customFormat="1" ht="27.95" customHeight="1" x14ac:dyDescent="0.15">
      <c r="A175" s="99"/>
      <c r="B175" s="91" t="s">
        <v>293</v>
      </c>
      <c r="C175" s="100" t="s">
        <v>515</v>
      </c>
      <c r="D175" s="57" t="s">
        <v>403</v>
      </c>
      <c r="E175" s="81"/>
      <c r="F175" s="81"/>
      <c r="G175" s="88" t="s">
        <v>477</v>
      </c>
      <c r="H175" s="81"/>
      <c r="I175" s="81"/>
      <c r="J175" s="83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  <c r="FU175" s="84"/>
      <c r="FV175" s="84"/>
      <c r="FW175" s="84"/>
      <c r="FX175" s="84"/>
      <c r="FY175" s="84"/>
      <c r="FZ175" s="84"/>
      <c r="GA175" s="84"/>
      <c r="GB175" s="84"/>
      <c r="GC175" s="84"/>
      <c r="GD175" s="84"/>
      <c r="GE175" s="84"/>
      <c r="GF175" s="84"/>
      <c r="GG175" s="84"/>
      <c r="GH175" s="84"/>
      <c r="GI175" s="84"/>
      <c r="GJ175" s="84"/>
      <c r="GK175" s="84"/>
      <c r="GL175" s="84"/>
      <c r="GM175" s="84"/>
      <c r="GN175" s="84"/>
      <c r="GO175" s="84"/>
      <c r="GP175" s="84"/>
      <c r="GQ175" s="84"/>
      <c r="GR175" s="84"/>
      <c r="GS175" s="84"/>
      <c r="GT175" s="84"/>
      <c r="GU175" s="84"/>
      <c r="GV175" s="84"/>
      <c r="GW175" s="84"/>
      <c r="GX175" s="84"/>
      <c r="GY175" s="84"/>
      <c r="GZ175" s="84"/>
      <c r="HA175" s="84"/>
      <c r="HB175" s="84"/>
      <c r="HC175" s="84"/>
      <c r="HD175" s="84"/>
      <c r="HE175" s="84"/>
      <c r="HF175" s="84"/>
      <c r="HG175" s="84"/>
      <c r="HH175" s="84"/>
      <c r="HI175" s="84"/>
      <c r="HJ175" s="84"/>
      <c r="HK175" s="84"/>
      <c r="HL175" s="84"/>
    </row>
    <row r="176" spans="1:220" s="85" customFormat="1" ht="27.95" customHeight="1" x14ac:dyDescent="0.15">
      <c r="A176" s="99"/>
      <c r="B176" s="91" t="s">
        <v>294</v>
      </c>
      <c r="C176" s="103"/>
      <c r="D176" s="61" t="s">
        <v>404</v>
      </c>
      <c r="E176" s="81"/>
      <c r="F176" s="81"/>
      <c r="G176" s="88" t="s">
        <v>477</v>
      </c>
      <c r="H176" s="81"/>
      <c r="I176" s="81"/>
      <c r="J176" s="83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  <c r="FU176" s="84"/>
      <c r="FV176" s="84"/>
      <c r="FW176" s="84"/>
      <c r="FX176" s="84"/>
      <c r="FY176" s="84"/>
      <c r="FZ176" s="84"/>
      <c r="GA176" s="84"/>
      <c r="GB176" s="84"/>
      <c r="GC176" s="84"/>
      <c r="GD176" s="84"/>
      <c r="GE176" s="84"/>
      <c r="GF176" s="84"/>
      <c r="GG176" s="84"/>
      <c r="GH176" s="84"/>
      <c r="GI176" s="84"/>
      <c r="GJ176" s="84"/>
      <c r="GK176" s="84"/>
      <c r="GL176" s="84"/>
      <c r="GM176" s="84"/>
      <c r="GN176" s="84"/>
      <c r="GO176" s="84"/>
      <c r="GP176" s="84"/>
      <c r="GQ176" s="84"/>
      <c r="GR176" s="84"/>
      <c r="GS176" s="84"/>
      <c r="GT176" s="84"/>
      <c r="GU176" s="84"/>
      <c r="GV176" s="84"/>
      <c r="GW176" s="84"/>
      <c r="GX176" s="84"/>
      <c r="GY176" s="84"/>
      <c r="GZ176" s="84"/>
      <c r="HA176" s="84"/>
      <c r="HB176" s="84"/>
      <c r="HC176" s="84"/>
      <c r="HD176" s="84"/>
      <c r="HE176" s="84"/>
      <c r="HF176" s="84"/>
      <c r="HG176" s="84"/>
      <c r="HH176" s="84"/>
      <c r="HI176" s="84"/>
      <c r="HJ176" s="84"/>
      <c r="HK176" s="84"/>
      <c r="HL176" s="84"/>
    </row>
    <row r="177" spans="1:220" s="61" customFormat="1" ht="27.95" customHeight="1" x14ac:dyDescent="0.15">
      <c r="A177" s="99"/>
      <c r="B177" s="91" t="s">
        <v>716</v>
      </c>
      <c r="C177" s="100" t="s">
        <v>516</v>
      </c>
      <c r="D177" s="57" t="s">
        <v>403</v>
      </c>
      <c r="E177" s="53"/>
      <c r="F177" s="53"/>
      <c r="G177" s="82" t="s">
        <v>514</v>
      </c>
      <c r="H177" s="53"/>
      <c r="I177" s="53"/>
      <c r="J177" s="59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 s="60"/>
      <c r="BZ177" s="60"/>
      <c r="CA177" s="60"/>
      <c r="CB177" s="60"/>
      <c r="CC177" s="60"/>
      <c r="CD177" s="60"/>
      <c r="CE177" s="60"/>
      <c r="CF177" s="60"/>
      <c r="CG177" s="60"/>
      <c r="CH177" s="60"/>
      <c r="CI177" s="60"/>
      <c r="CJ177" s="60"/>
      <c r="CK177" s="60"/>
      <c r="CL177" s="60"/>
      <c r="CM177" s="60"/>
      <c r="CN177" s="60"/>
      <c r="CO177" s="60"/>
      <c r="CP177" s="60"/>
      <c r="CQ177" s="60"/>
      <c r="CR177" s="60"/>
      <c r="CS177" s="60"/>
      <c r="CT177" s="60"/>
      <c r="CU177" s="60"/>
      <c r="CV177" s="60"/>
      <c r="CW177" s="60"/>
      <c r="CX177" s="60"/>
      <c r="CY177" s="60"/>
      <c r="CZ177" s="60"/>
      <c r="DA177" s="60"/>
      <c r="DB177" s="60"/>
      <c r="DC177" s="60"/>
      <c r="DD177" s="60"/>
      <c r="DE177" s="60"/>
      <c r="DF177" s="60"/>
      <c r="DG177" s="60"/>
      <c r="DH177" s="60"/>
      <c r="DI177" s="60"/>
      <c r="DJ177" s="60"/>
      <c r="DK177" s="60"/>
      <c r="DL177" s="60"/>
      <c r="DM177" s="60"/>
      <c r="DN177" s="60"/>
      <c r="DO177" s="60"/>
      <c r="DP177" s="60"/>
      <c r="DQ177" s="60"/>
      <c r="DR177" s="60"/>
      <c r="DS177" s="60"/>
      <c r="DT177" s="60"/>
      <c r="DU177" s="60"/>
      <c r="DV177" s="60"/>
      <c r="DW177" s="60"/>
      <c r="DX177" s="60"/>
      <c r="DY177" s="60"/>
      <c r="DZ177" s="60"/>
      <c r="EA177" s="60"/>
      <c r="EB177" s="60"/>
      <c r="EC177" s="60"/>
      <c r="ED177" s="60"/>
      <c r="EE177" s="60"/>
      <c r="EF177" s="60"/>
      <c r="EG177" s="60"/>
      <c r="EH177" s="60"/>
      <c r="EI177" s="60"/>
      <c r="EJ177" s="60"/>
      <c r="EK177" s="60"/>
      <c r="EL177" s="60"/>
      <c r="EM177" s="60"/>
      <c r="EN177" s="60"/>
      <c r="EO177" s="60"/>
      <c r="EP177" s="60"/>
      <c r="EQ177" s="60"/>
      <c r="ER177" s="60"/>
      <c r="ES177" s="60"/>
      <c r="ET177" s="60"/>
      <c r="EU177" s="60"/>
      <c r="EV177" s="60"/>
      <c r="EW177" s="60"/>
      <c r="EX177" s="60"/>
      <c r="EY177" s="60"/>
      <c r="EZ177" s="60"/>
      <c r="FA177" s="60"/>
      <c r="FB177" s="60"/>
      <c r="FC177" s="60"/>
      <c r="FD177" s="60"/>
      <c r="FE177" s="60"/>
      <c r="FF177" s="60"/>
      <c r="FG177" s="60"/>
      <c r="FH177" s="60"/>
      <c r="FI177" s="60"/>
      <c r="FJ177" s="60"/>
      <c r="FK177" s="60"/>
      <c r="FL177" s="60"/>
      <c r="FM177" s="60"/>
      <c r="FN177" s="60"/>
      <c r="FO177" s="60"/>
      <c r="FP177" s="60"/>
      <c r="FQ177" s="60"/>
      <c r="FR177" s="60"/>
      <c r="FS177" s="60"/>
      <c r="FT177" s="60"/>
      <c r="FU177" s="60"/>
      <c r="FV177" s="60"/>
      <c r="FW177" s="60"/>
      <c r="FX177" s="60"/>
      <c r="FY177" s="60"/>
      <c r="FZ177" s="60"/>
      <c r="GA177" s="60"/>
      <c r="GB177" s="60"/>
      <c r="GC177" s="60"/>
      <c r="GD177" s="60"/>
      <c r="GE177" s="60"/>
      <c r="GF177" s="60"/>
      <c r="GG177" s="60"/>
      <c r="GH177" s="60"/>
      <c r="GI177" s="60"/>
      <c r="GJ177" s="60"/>
      <c r="GK177" s="60"/>
      <c r="GL177" s="60"/>
      <c r="GM177" s="60"/>
      <c r="GN177" s="60"/>
      <c r="GO177" s="60"/>
      <c r="GP177" s="60"/>
      <c r="GQ177" s="60"/>
      <c r="GR177" s="60"/>
      <c r="GS177" s="60"/>
      <c r="GT177" s="60"/>
      <c r="GU177" s="60"/>
      <c r="GV177" s="60"/>
      <c r="GW177" s="60"/>
      <c r="GX177" s="60"/>
      <c r="GY177" s="60"/>
      <c r="GZ177" s="60"/>
      <c r="HA177" s="60"/>
      <c r="HB177" s="60"/>
      <c r="HC177" s="60"/>
      <c r="HD177" s="60"/>
      <c r="HE177" s="60"/>
      <c r="HF177" s="60"/>
      <c r="HG177" s="60"/>
      <c r="HH177" s="60"/>
      <c r="HI177" s="60"/>
      <c r="HJ177" s="60"/>
      <c r="HK177" s="60"/>
      <c r="HL177" s="60"/>
    </row>
    <row r="178" spans="1:220" s="61" customFormat="1" ht="27.95" customHeight="1" x14ac:dyDescent="0.15">
      <c r="A178" s="99"/>
      <c r="B178" s="91" t="s">
        <v>295</v>
      </c>
      <c r="C178" s="122"/>
      <c r="D178" s="85" t="s">
        <v>517</v>
      </c>
      <c r="E178" s="53"/>
      <c r="F178" s="53"/>
      <c r="G178" s="82" t="s">
        <v>514</v>
      </c>
      <c r="H178" s="54"/>
      <c r="I178" s="54"/>
      <c r="J178" s="53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  <c r="BX178" s="60"/>
      <c r="BY178" s="60"/>
      <c r="BZ178" s="60"/>
      <c r="CA178" s="60"/>
      <c r="CB178" s="60"/>
      <c r="CC178" s="60"/>
      <c r="CD178" s="60"/>
      <c r="CE178" s="60"/>
      <c r="CF178" s="60"/>
      <c r="CG178" s="60"/>
      <c r="CH178" s="60"/>
      <c r="CI178" s="60"/>
      <c r="CJ178" s="60"/>
      <c r="CK178" s="60"/>
      <c r="CL178" s="60"/>
      <c r="CM178" s="60"/>
      <c r="CN178" s="60"/>
      <c r="CO178" s="60"/>
      <c r="CP178" s="60"/>
      <c r="CQ178" s="60"/>
      <c r="CR178" s="60"/>
      <c r="CS178" s="60"/>
      <c r="CT178" s="60"/>
      <c r="CU178" s="60"/>
      <c r="CV178" s="60"/>
      <c r="CW178" s="60"/>
      <c r="CX178" s="60"/>
      <c r="CY178" s="60"/>
      <c r="CZ178" s="60"/>
      <c r="DA178" s="60"/>
      <c r="DB178" s="60"/>
      <c r="DC178" s="60"/>
      <c r="DD178" s="60"/>
      <c r="DE178" s="60"/>
      <c r="DF178" s="60"/>
      <c r="DG178" s="60"/>
      <c r="DH178" s="60"/>
      <c r="DI178" s="60"/>
      <c r="DJ178" s="60"/>
      <c r="DK178" s="60"/>
      <c r="DL178" s="60"/>
      <c r="DM178" s="60"/>
      <c r="DN178" s="60"/>
      <c r="DO178" s="60"/>
      <c r="DP178" s="60"/>
      <c r="DQ178" s="60"/>
      <c r="DR178" s="60"/>
      <c r="DS178" s="60"/>
      <c r="DT178" s="60"/>
      <c r="DU178" s="60"/>
      <c r="DV178" s="60"/>
      <c r="DW178" s="60"/>
      <c r="DX178" s="60"/>
      <c r="DY178" s="60"/>
      <c r="DZ178" s="60"/>
      <c r="EA178" s="60"/>
      <c r="EB178" s="60"/>
      <c r="EC178" s="60"/>
      <c r="ED178" s="60"/>
      <c r="EE178" s="60"/>
      <c r="EF178" s="60"/>
      <c r="EG178" s="60"/>
      <c r="EH178" s="60"/>
      <c r="EI178" s="60"/>
      <c r="EJ178" s="60"/>
      <c r="EK178" s="60"/>
      <c r="EL178" s="60"/>
      <c r="EM178" s="60"/>
      <c r="EN178" s="60"/>
      <c r="EO178" s="60"/>
      <c r="EP178" s="60"/>
      <c r="EQ178" s="60"/>
      <c r="ER178" s="60"/>
      <c r="ES178" s="60"/>
      <c r="ET178" s="60"/>
      <c r="EU178" s="60"/>
      <c r="EV178" s="60"/>
      <c r="EW178" s="60"/>
      <c r="EX178" s="60"/>
      <c r="EY178" s="60"/>
      <c r="EZ178" s="60"/>
      <c r="FA178" s="60"/>
      <c r="FB178" s="60"/>
      <c r="FC178" s="60"/>
      <c r="FD178" s="60"/>
      <c r="FE178" s="60"/>
      <c r="FF178" s="60"/>
      <c r="FG178" s="60"/>
      <c r="FH178" s="60"/>
      <c r="FI178" s="60"/>
      <c r="FJ178" s="60"/>
      <c r="FK178" s="60"/>
      <c r="FL178" s="60"/>
      <c r="FM178" s="60"/>
      <c r="FN178" s="60"/>
      <c r="FO178" s="60"/>
      <c r="FP178" s="60"/>
      <c r="FQ178" s="60"/>
      <c r="FR178" s="60"/>
      <c r="FS178" s="60"/>
      <c r="FT178" s="60"/>
      <c r="FU178" s="60"/>
      <c r="FV178" s="60"/>
      <c r="FW178" s="60"/>
      <c r="FX178" s="60"/>
      <c r="FY178" s="60"/>
      <c r="FZ178" s="60"/>
      <c r="GA178" s="60"/>
      <c r="GB178" s="60"/>
      <c r="GC178" s="60"/>
      <c r="GD178" s="60"/>
      <c r="GE178" s="60"/>
      <c r="GF178" s="60"/>
      <c r="GG178" s="60"/>
      <c r="GH178" s="60"/>
      <c r="GI178" s="60"/>
      <c r="GJ178" s="60"/>
      <c r="GK178" s="60"/>
      <c r="GL178" s="60"/>
      <c r="GM178" s="60"/>
      <c r="GN178" s="60"/>
      <c r="GO178" s="60"/>
      <c r="GP178" s="60"/>
      <c r="GQ178" s="60"/>
      <c r="GR178" s="60"/>
      <c r="GS178" s="60"/>
      <c r="GT178" s="60"/>
      <c r="GU178" s="60"/>
      <c r="GV178" s="60"/>
      <c r="GW178" s="60"/>
      <c r="GX178" s="60"/>
      <c r="GY178" s="60"/>
      <c r="GZ178" s="60"/>
      <c r="HA178" s="60"/>
      <c r="HB178" s="60"/>
      <c r="HC178" s="60"/>
      <c r="HD178" s="60"/>
      <c r="HE178" s="60"/>
      <c r="HF178" s="60"/>
      <c r="HG178" s="60"/>
      <c r="HH178" s="60"/>
      <c r="HI178" s="60"/>
      <c r="HJ178" s="60"/>
      <c r="HK178" s="60"/>
      <c r="HL178" s="60"/>
    </row>
    <row r="179" spans="1:220" s="20" customFormat="1" x14ac:dyDescent="0.15">
      <c r="A179" s="104" t="s">
        <v>231</v>
      </c>
      <c r="B179" s="105"/>
      <c r="C179" s="105"/>
      <c r="D179" s="105"/>
      <c r="E179" s="105"/>
      <c r="F179" s="105"/>
      <c r="G179" s="105"/>
      <c r="H179" s="105"/>
      <c r="I179" s="105"/>
      <c r="J179" s="10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</row>
    <row r="180" spans="1:220" s="53" customFormat="1" ht="13.5" customHeight="1" x14ac:dyDescent="0.15">
      <c r="A180" s="12" t="s">
        <v>28</v>
      </c>
      <c r="B180" s="50" t="s">
        <v>29</v>
      </c>
      <c r="C180" s="13" t="s">
        <v>0</v>
      </c>
      <c r="D180" s="52" t="s">
        <v>30</v>
      </c>
      <c r="E180" s="50" t="s">
        <v>31</v>
      </c>
      <c r="F180" s="50" t="s">
        <v>32</v>
      </c>
      <c r="G180" s="107" t="s">
        <v>35</v>
      </c>
      <c r="H180" s="107"/>
      <c r="I180" s="107"/>
      <c r="J180" s="29" t="s">
        <v>10</v>
      </c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60"/>
      <c r="CD180" s="60"/>
      <c r="CE180" s="60"/>
      <c r="CF180" s="60"/>
      <c r="CG180" s="60"/>
      <c r="CH180" s="60"/>
      <c r="CI180" s="60"/>
      <c r="CJ180" s="60"/>
      <c r="CK180" s="60"/>
      <c r="CL180" s="60"/>
      <c r="CM180" s="60"/>
      <c r="CN180" s="60"/>
      <c r="CO180" s="60"/>
      <c r="CP180" s="60"/>
      <c r="CQ180" s="60"/>
      <c r="CR180" s="60"/>
      <c r="CS180" s="60"/>
      <c r="CT180" s="60"/>
      <c r="CU180" s="60"/>
      <c r="CV180" s="60"/>
      <c r="CW180" s="60"/>
      <c r="CX180" s="60"/>
      <c r="CY180" s="60"/>
      <c r="CZ180" s="60"/>
      <c r="DA180" s="60"/>
      <c r="DB180" s="60"/>
      <c r="DC180" s="60"/>
      <c r="DD180" s="60"/>
      <c r="DE180" s="60"/>
      <c r="DF180" s="60"/>
      <c r="DG180" s="60"/>
      <c r="DH180" s="60"/>
      <c r="DI180" s="60"/>
      <c r="DJ180" s="60"/>
      <c r="DK180" s="60"/>
      <c r="DL180" s="60"/>
      <c r="DM180" s="60"/>
      <c r="DN180" s="60"/>
      <c r="DO180" s="60"/>
      <c r="DP180" s="60"/>
      <c r="DQ180" s="60"/>
      <c r="DR180" s="60"/>
      <c r="DS180" s="60"/>
      <c r="DT180" s="60"/>
      <c r="DU180" s="60"/>
      <c r="DV180" s="60"/>
      <c r="DW180" s="60"/>
      <c r="DX180" s="60"/>
      <c r="DY180" s="60"/>
      <c r="DZ180" s="60"/>
      <c r="EA180" s="60"/>
      <c r="EB180" s="60"/>
      <c r="EC180" s="60"/>
      <c r="ED180" s="60"/>
      <c r="EE180" s="60"/>
      <c r="EF180" s="60"/>
      <c r="EG180" s="60"/>
      <c r="EH180" s="60"/>
      <c r="EI180" s="60"/>
      <c r="EJ180" s="60"/>
      <c r="EK180" s="60"/>
      <c r="EL180" s="60"/>
      <c r="EM180" s="60"/>
      <c r="EN180" s="60"/>
      <c r="EO180" s="60"/>
      <c r="EP180" s="60"/>
      <c r="EQ180" s="60"/>
      <c r="ER180" s="60"/>
      <c r="ES180" s="60"/>
      <c r="ET180" s="60"/>
      <c r="EU180" s="60"/>
      <c r="EV180" s="60"/>
      <c r="EW180" s="60"/>
      <c r="EX180" s="60"/>
      <c r="EY180" s="60"/>
      <c r="EZ180" s="60"/>
      <c r="FA180" s="60"/>
      <c r="FB180" s="60"/>
      <c r="FC180" s="60"/>
      <c r="FD180" s="60"/>
      <c r="FE180" s="60"/>
      <c r="FF180" s="60"/>
      <c r="FG180" s="60"/>
      <c r="FH180" s="60"/>
      <c r="FI180" s="60"/>
      <c r="FJ180" s="60"/>
      <c r="FK180" s="60"/>
      <c r="FL180" s="60"/>
      <c r="FM180" s="60"/>
      <c r="FN180" s="60"/>
      <c r="FO180" s="60"/>
      <c r="FP180" s="60"/>
      <c r="FQ180" s="60"/>
      <c r="FR180" s="60"/>
      <c r="FS180" s="60"/>
      <c r="FT180" s="60"/>
      <c r="FU180" s="60"/>
      <c r="FV180" s="60"/>
      <c r="FW180" s="60"/>
      <c r="FX180" s="60"/>
      <c r="FY180" s="60"/>
      <c r="FZ180" s="60"/>
      <c r="GA180" s="60"/>
      <c r="GB180" s="60"/>
      <c r="GC180" s="60"/>
      <c r="GD180" s="60"/>
      <c r="GE180" s="60"/>
      <c r="GF180" s="60"/>
      <c r="GG180" s="60"/>
      <c r="GH180" s="60"/>
      <c r="GI180" s="60"/>
      <c r="GJ180" s="60"/>
      <c r="GK180" s="60"/>
      <c r="GL180" s="60"/>
      <c r="GM180" s="60"/>
      <c r="GN180" s="60"/>
      <c r="GO180" s="60"/>
      <c r="GP180" s="60"/>
      <c r="GQ180" s="60"/>
      <c r="GR180" s="60"/>
      <c r="GS180" s="60"/>
      <c r="GT180" s="60"/>
      <c r="GU180" s="60"/>
      <c r="GV180" s="60"/>
      <c r="GW180" s="60"/>
      <c r="GX180" s="60"/>
      <c r="GY180" s="60"/>
      <c r="GZ180" s="60"/>
      <c r="HA180" s="60"/>
      <c r="HB180" s="60"/>
      <c r="HC180" s="60"/>
      <c r="HD180" s="60"/>
      <c r="HE180" s="60"/>
      <c r="HF180" s="60"/>
      <c r="HG180" s="60"/>
      <c r="HH180" s="60"/>
      <c r="HI180" s="60"/>
      <c r="HJ180" s="60"/>
      <c r="HK180" s="60"/>
      <c r="HL180" s="60"/>
    </row>
    <row r="181" spans="1:220" s="53" customFormat="1" ht="27.95" customHeight="1" x14ac:dyDescent="0.15">
      <c r="A181" s="123" t="s">
        <v>389</v>
      </c>
      <c r="B181" s="58" t="s">
        <v>717</v>
      </c>
      <c r="C181" s="100" t="s">
        <v>405</v>
      </c>
      <c r="D181" s="64" t="s">
        <v>406</v>
      </c>
      <c r="G181" s="88" t="s">
        <v>477</v>
      </c>
      <c r="H181" s="54"/>
      <c r="I181" s="54"/>
      <c r="J181" s="59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0"/>
      <c r="CD181" s="60"/>
      <c r="CE181" s="60"/>
      <c r="CF181" s="60"/>
      <c r="CG181" s="60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60"/>
      <c r="CV181" s="60"/>
      <c r="CW181" s="60"/>
      <c r="CX181" s="60"/>
      <c r="CY181" s="60"/>
      <c r="CZ181" s="60"/>
      <c r="DA181" s="60"/>
      <c r="DB181" s="60"/>
      <c r="DC181" s="60"/>
      <c r="DD181" s="60"/>
      <c r="DE181" s="60"/>
      <c r="DF181" s="60"/>
      <c r="DG181" s="60"/>
      <c r="DH181" s="60"/>
      <c r="DI181" s="60"/>
      <c r="DJ181" s="60"/>
      <c r="DK181" s="60"/>
      <c r="DL181" s="60"/>
      <c r="DM181" s="60"/>
      <c r="DN181" s="60"/>
      <c r="DO181" s="60"/>
      <c r="DP181" s="60"/>
      <c r="DQ181" s="60"/>
      <c r="DR181" s="60"/>
      <c r="DS181" s="60"/>
      <c r="DT181" s="60"/>
      <c r="DU181" s="60"/>
      <c r="DV181" s="60"/>
      <c r="DW181" s="60"/>
      <c r="DX181" s="60"/>
      <c r="DY181" s="60"/>
      <c r="DZ181" s="60"/>
      <c r="EA181" s="60"/>
      <c r="EB181" s="60"/>
      <c r="EC181" s="60"/>
      <c r="ED181" s="60"/>
      <c r="EE181" s="60"/>
      <c r="EF181" s="60"/>
      <c r="EG181" s="60"/>
      <c r="EH181" s="60"/>
      <c r="EI181" s="60"/>
      <c r="EJ181" s="60"/>
      <c r="EK181" s="60"/>
      <c r="EL181" s="60"/>
      <c r="EM181" s="60"/>
      <c r="EN181" s="60"/>
      <c r="EO181" s="60"/>
      <c r="EP181" s="60"/>
      <c r="EQ181" s="60"/>
      <c r="ER181" s="60"/>
      <c r="ES181" s="60"/>
      <c r="ET181" s="60"/>
      <c r="EU181" s="60"/>
      <c r="EV181" s="60"/>
      <c r="EW181" s="60"/>
      <c r="EX181" s="60"/>
      <c r="EY181" s="60"/>
      <c r="EZ181" s="60"/>
      <c r="FA181" s="60"/>
      <c r="FB181" s="60"/>
      <c r="FC181" s="60"/>
      <c r="FD181" s="60"/>
      <c r="FE181" s="60"/>
      <c r="FF181" s="60"/>
      <c r="FG181" s="60"/>
      <c r="FH181" s="60"/>
      <c r="FI181" s="60"/>
      <c r="FJ181" s="60"/>
      <c r="FK181" s="60"/>
      <c r="FL181" s="60"/>
      <c r="FM181" s="60"/>
      <c r="FN181" s="60"/>
      <c r="FO181" s="60"/>
      <c r="FP181" s="60"/>
      <c r="FQ181" s="60"/>
      <c r="FR181" s="60"/>
      <c r="FS181" s="60"/>
      <c r="FT181" s="60"/>
      <c r="FU181" s="60"/>
      <c r="FV181" s="60"/>
      <c r="FW181" s="60"/>
      <c r="FX181" s="60"/>
      <c r="FY181" s="60"/>
      <c r="FZ181" s="60"/>
      <c r="GA181" s="60"/>
      <c r="GB181" s="60"/>
      <c r="GC181" s="60"/>
      <c r="GD181" s="60"/>
      <c r="GE181" s="60"/>
      <c r="GF181" s="60"/>
      <c r="GG181" s="60"/>
      <c r="GH181" s="60"/>
      <c r="GI181" s="60"/>
      <c r="GJ181" s="60"/>
      <c r="GK181" s="60"/>
      <c r="GL181" s="60"/>
      <c r="GM181" s="60"/>
      <c r="GN181" s="60"/>
      <c r="GO181" s="60"/>
      <c r="GP181" s="60"/>
      <c r="GQ181" s="60"/>
      <c r="GR181" s="60"/>
      <c r="GS181" s="60"/>
      <c r="GT181" s="60"/>
      <c r="GU181" s="60"/>
      <c r="GV181" s="60"/>
      <c r="GW181" s="60"/>
      <c r="GX181" s="60"/>
      <c r="GY181" s="60"/>
      <c r="GZ181" s="60"/>
      <c r="HA181" s="60"/>
      <c r="HB181" s="60"/>
      <c r="HC181" s="60"/>
      <c r="HD181" s="60"/>
      <c r="HE181" s="60"/>
      <c r="HF181" s="60"/>
      <c r="HG181" s="60"/>
      <c r="HH181" s="60"/>
      <c r="HI181" s="60"/>
      <c r="HJ181" s="60"/>
      <c r="HK181" s="60"/>
      <c r="HL181" s="60"/>
    </row>
    <row r="182" spans="1:220" s="61" customFormat="1" ht="27.95" customHeight="1" x14ac:dyDescent="0.15">
      <c r="A182" s="124"/>
      <c r="B182" s="91" t="s">
        <v>296</v>
      </c>
      <c r="C182" s="103"/>
      <c r="D182" s="67" t="s">
        <v>408</v>
      </c>
      <c r="E182" s="53"/>
      <c r="F182" s="53"/>
      <c r="G182" s="88" t="s">
        <v>477</v>
      </c>
      <c r="H182" s="54"/>
      <c r="I182" s="54"/>
      <c r="J182" s="59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  <c r="CB182" s="60"/>
      <c r="CC182" s="60"/>
      <c r="CD182" s="60"/>
      <c r="CE182" s="60"/>
      <c r="CF182" s="60"/>
      <c r="CG182" s="60"/>
      <c r="CH182" s="60"/>
      <c r="CI182" s="60"/>
      <c r="CJ182" s="60"/>
      <c r="CK182" s="60"/>
      <c r="CL182" s="60"/>
      <c r="CM182" s="60"/>
      <c r="CN182" s="60"/>
      <c r="CO182" s="60"/>
      <c r="CP182" s="60"/>
      <c r="CQ182" s="60"/>
      <c r="CR182" s="60"/>
      <c r="CS182" s="60"/>
      <c r="CT182" s="60"/>
      <c r="CU182" s="60"/>
      <c r="CV182" s="60"/>
      <c r="CW182" s="60"/>
      <c r="CX182" s="60"/>
      <c r="CY182" s="60"/>
      <c r="CZ182" s="60"/>
      <c r="DA182" s="60"/>
      <c r="DB182" s="60"/>
      <c r="DC182" s="60"/>
      <c r="DD182" s="60"/>
      <c r="DE182" s="60"/>
      <c r="DF182" s="60"/>
      <c r="DG182" s="60"/>
      <c r="DH182" s="60"/>
      <c r="DI182" s="60"/>
      <c r="DJ182" s="60"/>
      <c r="DK182" s="60"/>
      <c r="DL182" s="60"/>
      <c r="DM182" s="60"/>
      <c r="DN182" s="60"/>
      <c r="DO182" s="60"/>
      <c r="DP182" s="60"/>
      <c r="DQ182" s="60"/>
      <c r="DR182" s="60"/>
      <c r="DS182" s="60"/>
      <c r="DT182" s="60"/>
      <c r="DU182" s="60"/>
      <c r="DV182" s="60"/>
      <c r="DW182" s="60"/>
      <c r="DX182" s="60"/>
      <c r="DY182" s="60"/>
      <c r="DZ182" s="60"/>
      <c r="EA182" s="60"/>
      <c r="EB182" s="60"/>
      <c r="EC182" s="60"/>
      <c r="ED182" s="60"/>
      <c r="EE182" s="60"/>
      <c r="EF182" s="60"/>
      <c r="EG182" s="60"/>
      <c r="EH182" s="60"/>
      <c r="EI182" s="60"/>
      <c r="EJ182" s="60"/>
      <c r="EK182" s="60"/>
      <c r="EL182" s="60"/>
      <c r="EM182" s="60"/>
      <c r="EN182" s="60"/>
      <c r="EO182" s="60"/>
      <c r="EP182" s="60"/>
      <c r="EQ182" s="60"/>
      <c r="ER182" s="60"/>
      <c r="ES182" s="60"/>
      <c r="ET182" s="60"/>
      <c r="EU182" s="60"/>
      <c r="EV182" s="60"/>
      <c r="EW182" s="60"/>
      <c r="EX182" s="60"/>
      <c r="EY182" s="60"/>
      <c r="EZ182" s="60"/>
      <c r="FA182" s="60"/>
      <c r="FB182" s="60"/>
      <c r="FC182" s="60"/>
      <c r="FD182" s="60"/>
      <c r="FE182" s="60"/>
      <c r="FF182" s="60"/>
      <c r="FG182" s="60"/>
      <c r="FH182" s="60"/>
      <c r="FI182" s="60"/>
      <c r="FJ182" s="60"/>
      <c r="FK182" s="60"/>
      <c r="FL182" s="60"/>
      <c r="FM182" s="60"/>
      <c r="FN182" s="60"/>
      <c r="FO182" s="60"/>
      <c r="FP182" s="60"/>
      <c r="FQ182" s="60"/>
      <c r="FR182" s="60"/>
      <c r="FS182" s="60"/>
      <c r="FT182" s="60"/>
      <c r="FU182" s="60"/>
      <c r="FV182" s="60"/>
      <c r="FW182" s="60"/>
      <c r="FX182" s="60"/>
      <c r="FY182" s="60"/>
      <c r="FZ182" s="60"/>
      <c r="GA182" s="60"/>
      <c r="GB182" s="60"/>
      <c r="GC182" s="60"/>
      <c r="GD182" s="60"/>
      <c r="GE182" s="60"/>
      <c r="GF182" s="60"/>
      <c r="GG182" s="60"/>
      <c r="GH182" s="60"/>
      <c r="GI182" s="60"/>
      <c r="GJ182" s="60"/>
      <c r="GK182" s="60"/>
      <c r="GL182" s="60"/>
      <c r="GM182" s="60"/>
      <c r="GN182" s="60"/>
      <c r="GO182" s="60"/>
      <c r="GP182" s="60"/>
      <c r="GQ182" s="60"/>
      <c r="GR182" s="60"/>
      <c r="GS182" s="60"/>
      <c r="GT182" s="60"/>
      <c r="GU182" s="60"/>
      <c r="GV182" s="60"/>
      <c r="GW182" s="60"/>
      <c r="GX182" s="60"/>
      <c r="GY182" s="60"/>
      <c r="GZ182" s="60"/>
      <c r="HA182" s="60"/>
      <c r="HB182" s="60"/>
      <c r="HC182" s="60"/>
      <c r="HD182" s="60"/>
      <c r="HE182" s="60"/>
      <c r="HF182" s="60"/>
      <c r="HG182" s="60"/>
      <c r="HH182" s="60"/>
      <c r="HI182" s="60"/>
      <c r="HJ182" s="60"/>
      <c r="HK182" s="60"/>
      <c r="HL182" s="60"/>
    </row>
    <row r="183" spans="1:220" s="61" customFormat="1" ht="27.95" customHeight="1" x14ac:dyDescent="0.15">
      <c r="A183" s="124"/>
      <c r="B183" s="91" t="s">
        <v>297</v>
      </c>
      <c r="C183" s="100" t="s">
        <v>712</v>
      </c>
      <c r="D183" s="67" t="s">
        <v>410</v>
      </c>
      <c r="E183" s="53"/>
      <c r="F183" s="53"/>
      <c r="G183" s="88" t="s">
        <v>477</v>
      </c>
      <c r="H183" s="54"/>
      <c r="I183" s="54"/>
      <c r="J183" s="53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0"/>
      <c r="CD183" s="60"/>
      <c r="CE183" s="60"/>
      <c r="CF183" s="60"/>
      <c r="CG183" s="60"/>
      <c r="CH183" s="60"/>
      <c r="CI183" s="60"/>
      <c r="CJ183" s="60"/>
      <c r="CK183" s="60"/>
      <c r="CL183" s="60"/>
      <c r="CM183" s="60"/>
      <c r="CN183" s="60"/>
      <c r="CO183" s="60"/>
      <c r="CP183" s="60"/>
      <c r="CQ183" s="60"/>
      <c r="CR183" s="60"/>
      <c r="CS183" s="60"/>
      <c r="CT183" s="60"/>
      <c r="CU183" s="60"/>
      <c r="CV183" s="60"/>
      <c r="CW183" s="60"/>
      <c r="CX183" s="60"/>
      <c r="CY183" s="60"/>
      <c r="CZ183" s="60"/>
      <c r="DA183" s="60"/>
      <c r="DB183" s="60"/>
      <c r="DC183" s="60"/>
      <c r="DD183" s="60"/>
      <c r="DE183" s="60"/>
      <c r="DF183" s="60"/>
      <c r="DG183" s="60"/>
      <c r="DH183" s="60"/>
      <c r="DI183" s="60"/>
      <c r="DJ183" s="60"/>
      <c r="DK183" s="60"/>
      <c r="DL183" s="60"/>
      <c r="DM183" s="60"/>
      <c r="DN183" s="60"/>
      <c r="DO183" s="60"/>
      <c r="DP183" s="60"/>
      <c r="DQ183" s="60"/>
      <c r="DR183" s="60"/>
      <c r="DS183" s="60"/>
      <c r="DT183" s="60"/>
      <c r="DU183" s="60"/>
      <c r="DV183" s="60"/>
      <c r="DW183" s="60"/>
      <c r="DX183" s="60"/>
      <c r="DY183" s="60"/>
      <c r="DZ183" s="60"/>
      <c r="EA183" s="60"/>
      <c r="EB183" s="60"/>
      <c r="EC183" s="60"/>
      <c r="ED183" s="60"/>
      <c r="EE183" s="60"/>
      <c r="EF183" s="60"/>
      <c r="EG183" s="60"/>
      <c r="EH183" s="60"/>
      <c r="EI183" s="60"/>
      <c r="EJ183" s="60"/>
      <c r="EK183" s="60"/>
      <c r="EL183" s="60"/>
      <c r="EM183" s="60"/>
      <c r="EN183" s="60"/>
      <c r="EO183" s="60"/>
      <c r="EP183" s="60"/>
      <c r="EQ183" s="60"/>
      <c r="ER183" s="60"/>
      <c r="ES183" s="60"/>
      <c r="ET183" s="60"/>
      <c r="EU183" s="60"/>
      <c r="EV183" s="60"/>
      <c r="EW183" s="60"/>
      <c r="EX183" s="60"/>
      <c r="EY183" s="60"/>
      <c r="EZ183" s="60"/>
      <c r="FA183" s="60"/>
      <c r="FB183" s="60"/>
      <c r="FC183" s="60"/>
      <c r="FD183" s="60"/>
      <c r="FE183" s="60"/>
      <c r="FF183" s="60"/>
      <c r="FG183" s="60"/>
      <c r="FH183" s="60"/>
      <c r="FI183" s="60"/>
      <c r="FJ183" s="60"/>
      <c r="FK183" s="60"/>
      <c r="FL183" s="60"/>
      <c r="FM183" s="60"/>
      <c r="FN183" s="60"/>
      <c r="FO183" s="60"/>
      <c r="FP183" s="60"/>
      <c r="FQ183" s="60"/>
      <c r="FR183" s="60"/>
      <c r="FS183" s="60"/>
      <c r="FT183" s="60"/>
      <c r="FU183" s="60"/>
      <c r="FV183" s="60"/>
      <c r="FW183" s="60"/>
      <c r="FX183" s="60"/>
      <c r="FY183" s="60"/>
      <c r="FZ183" s="60"/>
      <c r="GA183" s="60"/>
      <c r="GB183" s="60"/>
      <c r="GC183" s="60"/>
      <c r="GD183" s="60"/>
      <c r="GE183" s="60"/>
      <c r="GF183" s="60"/>
      <c r="GG183" s="60"/>
      <c r="GH183" s="60"/>
      <c r="GI183" s="60"/>
      <c r="GJ183" s="60"/>
      <c r="GK183" s="60"/>
      <c r="GL183" s="60"/>
      <c r="GM183" s="60"/>
      <c r="GN183" s="60"/>
      <c r="GO183" s="60"/>
      <c r="GP183" s="60"/>
      <c r="GQ183" s="60"/>
      <c r="GR183" s="60"/>
      <c r="GS183" s="60"/>
      <c r="GT183" s="60"/>
      <c r="GU183" s="60"/>
      <c r="GV183" s="60"/>
      <c r="GW183" s="60"/>
      <c r="GX183" s="60"/>
      <c r="GY183" s="60"/>
      <c r="GZ183" s="60"/>
      <c r="HA183" s="60"/>
      <c r="HB183" s="60"/>
      <c r="HC183" s="60"/>
      <c r="HD183" s="60"/>
      <c r="HE183" s="60"/>
      <c r="HF183" s="60"/>
      <c r="HG183" s="60"/>
      <c r="HH183" s="60"/>
      <c r="HI183" s="60"/>
      <c r="HJ183" s="60"/>
      <c r="HK183" s="60"/>
      <c r="HL183" s="60"/>
    </row>
    <row r="184" spans="1:220" s="61" customFormat="1" ht="27.95" customHeight="1" x14ac:dyDescent="0.15">
      <c r="A184" s="124"/>
      <c r="B184" s="91" t="s">
        <v>298</v>
      </c>
      <c r="C184" s="103"/>
      <c r="D184" s="67" t="s">
        <v>408</v>
      </c>
      <c r="E184" s="53"/>
      <c r="F184" s="53"/>
      <c r="G184" s="88" t="s">
        <v>477</v>
      </c>
      <c r="H184" s="54"/>
      <c r="I184" s="54"/>
      <c r="J184" s="53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60"/>
      <c r="CD184" s="60"/>
      <c r="CE184" s="60"/>
      <c r="CF184" s="60"/>
      <c r="CG184" s="60"/>
      <c r="CH184" s="60"/>
      <c r="CI184" s="60"/>
      <c r="CJ184" s="60"/>
      <c r="CK184" s="60"/>
      <c r="CL184" s="60"/>
      <c r="CM184" s="60"/>
      <c r="CN184" s="60"/>
      <c r="CO184" s="60"/>
      <c r="CP184" s="60"/>
      <c r="CQ184" s="60"/>
      <c r="CR184" s="60"/>
      <c r="CS184" s="60"/>
      <c r="CT184" s="60"/>
      <c r="CU184" s="60"/>
      <c r="CV184" s="60"/>
      <c r="CW184" s="60"/>
      <c r="CX184" s="60"/>
      <c r="CY184" s="60"/>
      <c r="CZ184" s="60"/>
      <c r="DA184" s="60"/>
      <c r="DB184" s="60"/>
      <c r="DC184" s="60"/>
      <c r="DD184" s="60"/>
      <c r="DE184" s="60"/>
      <c r="DF184" s="60"/>
      <c r="DG184" s="60"/>
      <c r="DH184" s="60"/>
      <c r="DI184" s="60"/>
      <c r="DJ184" s="60"/>
      <c r="DK184" s="60"/>
      <c r="DL184" s="60"/>
      <c r="DM184" s="60"/>
      <c r="DN184" s="60"/>
      <c r="DO184" s="60"/>
      <c r="DP184" s="60"/>
      <c r="DQ184" s="60"/>
      <c r="DR184" s="60"/>
      <c r="DS184" s="60"/>
      <c r="DT184" s="60"/>
      <c r="DU184" s="60"/>
      <c r="DV184" s="60"/>
      <c r="DW184" s="60"/>
      <c r="DX184" s="60"/>
      <c r="DY184" s="60"/>
      <c r="DZ184" s="60"/>
      <c r="EA184" s="60"/>
      <c r="EB184" s="60"/>
      <c r="EC184" s="60"/>
      <c r="ED184" s="60"/>
      <c r="EE184" s="60"/>
      <c r="EF184" s="60"/>
      <c r="EG184" s="60"/>
      <c r="EH184" s="60"/>
      <c r="EI184" s="60"/>
      <c r="EJ184" s="60"/>
      <c r="EK184" s="60"/>
      <c r="EL184" s="60"/>
      <c r="EM184" s="60"/>
      <c r="EN184" s="60"/>
      <c r="EO184" s="60"/>
      <c r="EP184" s="60"/>
      <c r="EQ184" s="60"/>
      <c r="ER184" s="60"/>
      <c r="ES184" s="60"/>
      <c r="ET184" s="60"/>
      <c r="EU184" s="60"/>
      <c r="EV184" s="60"/>
      <c r="EW184" s="60"/>
      <c r="EX184" s="60"/>
      <c r="EY184" s="60"/>
      <c r="EZ184" s="60"/>
      <c r="FA184" s="60"/>
      <c r="FB184" s="60"/>
      <c r="FC184" s="60"/>
      <c r="FD184" s="60"/>
      <c r="FE184" s="60"/>
      <c r="FF184" s="60"/>
      <c r="FG184" s="60"/>
      <c r="FH184" s="60"/>
      <c r="FI184" s="60"/>
      <c r="FJ184" s="60"/>
      <c r="FK184" s="60"/>
      <c r="FL184" s="60"/>
      <c r="FM184" s="60"/>
      <c r="FN184" s="60"/>
      <c r="FO184" s="60"/>
      <c r="FP184" s="60"/>
      <c r="FQ184" s="60"/>
      <c r="FR184" s="60"/>
      <c r="FS184" s="60"/>
      <c r="FT184" s="60"/>
      <c r="FU184" s="60"/>
      <c r="FV184" s="60"/>
      <c r="FW184" s="60"/>
      <c r="FX184" s="60"/>
      <c r="FY184" s="60"/>
      <c r="FZ184" s="60"/>
      <c r="GA184" s="60"/>
      <c r="GB184" s="60"/>
      <c r="GC184" s="60"/>
      <c r="GD184" s="60"/>
      <c r="GE184" s="60"/>
      <c r="GF184" s="60"/>
      <c r="GG184" s="60"/>
      <c r="GH184" s="60"/>
      <c r="GI184" s="60"/>
      <c r="GJ184" s="60"/>
      <c r="GK184" s="60"/>
      <c r="GL184" s="60"/>
      <c r="GM184" s="60"/>
      <c r="GN184" s="60"/>
      <c r="GO184" s="60"/>
      <c r="GP184" s="60"/>
      <c r="GQ184" s="60"/>
      <c r="GR184" s="60"/>
      <c r="GS184" s="60"/>
      <c r="GT184" s="60"/>
      <c r="GU184" s="60"/>
      <c r="GV184" s="60"/>
      <c r="GW184" s="60"/>
      <c r="GX184" s="60"/>
      <c r="GY184" s="60"/>
      <c r="GZ184" s="60"/>
      <c r="HA184" s="60"/>
      <c r="HB184" s="60"/>
      <c r="HC184" s="60"/>
      <c r="HD184" s="60"/>
      <c r="HE184" s="60"/>
      <c r="HF184" s="60"/>
      <c r="HG184" s="60"/>
      <c r="HH184" s="60"/>
      <c r="HI184" s="60"/>
      <c r="HJ184" s="60"/>
      <c r="HK184" s="60"/>
      <c r="HL184" s="60"/>
    </row>
    <row r="185" spans="1:220" s="61" customFormat="1" ht="27.95" customHeight="1" x14ac:dyDescent="0.15">
      <c r="A185" s="124"/>
      <c r="B185" s="91" t="s">
        <v>299</v>
      </c>
      <c r="C185" s="100" t="s">
        <v>411</v>
      </c>
      <c r="D185" s="68" t="s">
        <v>412</v>
      </c>
      <c r="E185" s="53"/>
      <c r="F185" s="53"/>
      <c r="G185" s="88" t="s">
        <v>477</v>
      </c>
      <c r="H185" s="54"/>
      <c r="I185" s="54"/>
      <c r="J185" s="53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0"/>
      <c r="CD185" s="60"/>
      <c r="CE185" s="60"/>
      <c r="CF185" s="60"/>
      <c r="CG185" s="60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60"/>
      <c r="CV185" s="60"/>
      <c r="CW185" s="60"/>
      <c r="CX185" s="60"/>
      <c r="CY185" s="60"/>
      <c r="CZ185" s="60"/>
      <c r="DA185" s="60"/>
      <c r="DB185" s="60"/>
      <c r="DC185" s="60"/>
      <c r="DD185" s="60"/>
      <c r="DE185" s="60"/>
      <c r="DF185" s="60"/>
      <c r="DG185" s="60"/>
      <c r="DH185" s="60"/>
      <c r="DI185" s="60"/>
      <c r="DJ185" s="60"/>
      <c r="DK185" s="60"/>
      <c r="DL185" s="60"/>
      <c r="DM185" s="60"/>
      <c r="DN185" s="60"/>
      <c r="DO185" s="60"/>
      <c r="DP185" s="60"/>
      <c r="DQ185" s="60"/>
      <c r="DR185" s="60"/>
      <c r="DS185" s="60"/>
      <c r="DT185" s="60"/>
      <c r="DU185" s="60"/>
      <c r="DV185" s="60"/>
      <c r="DW185" s="60"/>
      <c r="DX185" s="60"/>
      <c r="DY185" s="60"/>
      <c r="DZ185" s="60"/>
      <c r="EA185" s="60"/>
      <c r="EB185" s="60"/>
      <c r="EC185" s="60"/>
      <c r="ED185" s="60"/>
      <c r="EE185" s="60"/>
      <c r="EF185" s="60"/>
      <c r="EG185" s="60"/>
      <c r="EH185" s="60"/>
      <c r="EI185" s="60"/>
      <c r="EJ185" s="60"/>
      <c r="EK185" s="60"/>
      <c r="EL185" s="60"/>
      <c r="EM185" s="60"/>
      <c r="EN185" s="60"/>
      <c r="EO185" s="60"/>
      <c r="EP185" s="60"/>
      <c r="EQ185" s="60"/>
      <c r="ER185" s="60"/>
      <c r="ES185" s="60"/>
      <c r="ET185" s="60"/>
      <c r="EU185" s="60"/>
      <c r="EV185" s="60"/>
      <c r="EW185" s="60"/>
      <c r="EX185" s="60"/>
      <c r="EY185" s="60"/>
      <c r="EZ185" s="60"/>
      <c r="FA185" s="60"/>
      <c r="FB185" s="60"/>
      <c r="FC185" s="60"/>
      <c r="FD185" s="60"/>
      <c r="FE185" s="60"/>
      <c r="FF185" s="60"/>
      <c r="FG185" s="60"/>
      <c r="FH185" s="60"/>
      <c r="FI185" s="60"/>
      <c r="FJ185" s="60"/>
      <c r="FK185" s="60"/>
      <c r="FL185" s="60"/>
      <c r="FM185" s="60"/>
      <c r="FN185" s="60"/>
      <c r="FO185" s="60"/>
      <c r="FP185" s="60"/>
      <c r="FQ185" s="60"/>
      <c r="FR185" s="60"/>
      <c r="FS185" s="60"/>
      <c r="FT185" s="60"/>
      <c r="FU185" s="60"/>
      <c r="FV185" s="60"/>
      <c r="FW185" s="60"/>
      <c r="FX185" s="60"/>
      <c r="FY185" s="60"/>
      <c r="FZ185" s="60"/>
      <c r="GA185" s="60"/>
      <c r="GB185" s="60"/>
      <c r="GC185" s="60"/>
      <c r="GD185" s="60"/>
      <c r="GE185" s="60"/>
      <c r="GF185" s="60"/>
      <c r="GG185" s="60"/>
      <c r="GH185" s="60"/>
      <c r="GI185" s="60"/>
      <c r="GJ185" s="60"/>
      <c r="GK185" s="60"/>
      <c r="GL185" s="60"/>
      <c r="GM185" s="60"/>
      <c r="GN185" s="60"/>
      <c r="GO185" s="60"/>
      <c r="GP185" s="60"/>
      <c r="GQ185" s="60"/>
      <c r="GR185" s="60"/>
      <c r="GS185" s="60"/>
      <c r="GT185" s="60"/>
      <c r="GU185" s="60"/>
      <c r="GV185" s="60"/>
      <c r="GW185" s="60"/>
      <c r="GX185" s="60"/>
      <c r="GY185" s="60"/>
      <c r="GZ185" s="60"/>
      <c r="HA185" s="60"/>
      <c r="HB185" s="60"/>
      <c r="HC185" s="60"/>
      <c r="HD185" s="60"/>
      <c r="HE185" s="60"/>
      <c r="HF185" s="60"/>
      <c r="HG185" s="60"/>
      <c r="HH185" s="60"/>
      <c r="HI185" s="60"/>
      <c r="HJ185" s="60"/>
      <c r="HK185" s="60"/>
      <c r="HL185" s="60"/>
    </row>
    <row r="186" spans="1:220" s="61" customFormat="1" ht="27.95" customHeight="1" x14ac:dyDescent="0.15">
      <c r="A186" s="124"/>
      <c r="B186" s="91" t="s">
        <v>419</v>
      </c>
      <c r="C186" s="103"/>
      <c r="D186" s="68" t="s">
        <v>416</v>
      </c>
      <c r="E186" s="53"/>
      <c r="F186" s="53"/>
      <c r="G186" s="88" t="s">
        <v>477</v>
      </c>
      <c r="H186" s="54"/>
      <c r="I186" s="54"/>
      <c r="J186" s="53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  <c r="CB186" s="60"/>
      <c r="CC186" s="60"/>
      <c r="CD186" s="60"/>
      <c r="CE186" s="60"/>
      <c r="CF186" s="60"/>
      <c r="CG186" s="60"/>
      <c r="CH186" s="60"/>
      <c r="CI186" s="60"/>
      <c r="CJ186" s="60"/>
      <c r="CK186" s="60"/>
      <c r="CL186" s="60"/>
      <c r="CM186" s="60"/>
      <c r="CN186" s="60"/>
      <c r="CO186" s="60"/>
      <c r="CP186" s="60"/>
      <c r="CQ186" s="60"/>
      <c r="CR186" s="60"/>
      <c r="CS186" s="60"/>
      <c r="CT186" s="60"/>
      <c r="CU186" s="60"/>
      <c r="CV186" s="60"/>
      <c r="CW186" s="60"/>
      <c r="CX186" s="60"/>
      <c r="CY186" s="60"/>
      <c r="CZ186" s="60"/>
      <c r="DA186" s="60"/>
      <c r="DB186" s="60"/>
      <c r="DC186" s="60"/>
      <c r="DD186" s="60"/>
      <c r="DE186" s="60"/>
      <c r="DF186" s="60"/>
      <c r="DG186" s="60"/>
      <c r="DH186" s="60"/>
      <c r="DI186" s="60"/>
      <c r="DJ186" s="60"/>
      <c r="DK186" s="60"/>
      <c r="DL186" s="60"/>
      <c r="DM186" s="60"/>
      <c r="DN186" s="60"/>
      <c r="DO186" s="60"/>
      <c r="DP186" s="60"/>
      <c r="DQ186" s="60"/>
      <c r="DR186" s="60"/>
      <c r="DS186" s="60"/>
      <c r="DT186" s="60"/>
      <c r="DU186" s="60"/>
      <c r="DV186" s="60"/>
      <c r="DW186" s="60"/>
      <c r="DX186" s="60"/>
      <c r="DY186" s="60"/>
      <c r="DZ186" s="60"/>
      <c r="EA186" s="60"/>
      <c r="EB186" s="60"/>
      <c r="EC186" s="60"/>
      <c r="ED186" s="60"/>
      <c r="EE186" s="60"/>
      <c r="EF186" s="60"/>
      <c r="EG186" s="60"/>
      <c r="EH186" s="60"/>
      <c r="EI186" s="60"/>
      <c r="EJ186" s="60"/>
      <c r="EK186" s="60"/>
      <c r="EL186" s="60"/>
      <c r="EM186" s="60"/>
      <c r="EN186" s="60"/>
      <c r="EO186" s="60"/>
      <c r="EP186" s="60"/>
      <c r="EQ186" s="60"/>
      <c r="ER186" s="60"/>
      <c r="ES186" s="60"/>
      <c r="ET186" s="60"/>
      <c r="EU186" s="60"/>
      <c r="EV186" s="60"/>
      <c r="EW186" s="60"/>
      <c r="EX186" s="60"/>
      <c r="EY186" s="60"/>
      <c r="EZ186" s="60"/>
      <c r="FA186" s="60"/>
      <c r="FB186" s="60"/>
      <c r="FC186" s="60"/>
      <c r="FD186" s="60"/>
      <c r="FE186" s="60"/>
      <c r="FF186" s="60"/>
      <c r="FG186" s="60"/>
      <c r="FH186" s="60"/>
      <c r="FI186" s="60"/>
      <c r="FJ186" s="60"/>
      <c r="FK186" s="60"/>
      <c r="FL186" s="60"/>
      <c r="FM186" s="60"/>
      <c r="FN186" s="60"/>
      <c r="FO186" s="60"/>
      <c r="FP186" s="60"/>
      <c r="FQ186" s="60"/>
      <c r="FR186" s="60"/>
      <c r="FS186" s="60"/>
      <c r="FT186" s="60"/>
      <c r="FU186" s="60"/>
      <c r="FV186" s="60"/>
      <c r="FW186" s="60"/>
      <c r="FX186" s="60"/>
      <c r="FY186" s="60"/>
      <c r="FZ186" s="60"/>
      <c r="GA186" s="60"/>
      <c r="GB186" s="60"/>
      <c r="GC186" s="60"/>
      <c r="GD186" s="60"/>
      <c r="GE186" s="60"/>
      <c r="GF186" s="60"/>
      <c r="GG186" s="60"/>
      <c r="GH186" s="60"/>
      <c r="GI186" s="60"/>
      <c r="GJ186" s="60"/>
      <c r="GK186" s="60"/>
      <c r="GL186" s="60"/>
      <c r="GM186" s="60"/>
      <c r="GN186" s="60"/>
      <c r="GO186" s="60"/>
      <c r="GP186" s="60"/>
      <c r="GQ186" s="60"/>
      <c r="GR186" s="60"/>
      <c r="GS186" s="60"/>
      <c r="GT186" s="60"/>
      <c r="GU186" s="60"/>
      <c r="GV186" s="60"/>
      <c r="GW186" s="60"/>
      <c r="GX186" s="60"/>
      <c r="GY186" s="60"/>
      <c r="GZ186" s="60"/>
      <c r="HA186" s="60"/>
      <c r="HB186" s="60"/>
      <c r="HC186" s="60"/>
      <c r="HD186" s="60"/>
      <c r="HE186" s="60"/>
      <c r="HF186" s="60"/>
      <c r="HG186" s="60"/>
      <c r="HH186" s="60"/>
      <c r="HI186" s="60"/>
      <c r="HJ186" s="60"/>
      <c r="HK186" s="60"/>
      <c r="HL186" s="60"/>
    </row>
    <row r="187" spans="1:220" s="57" customFormat="1" ht="27.95" customHeight="1" x14ac:dyDescent="0.15">
      <c r="A187" s="124"/>
      <c r="B187" s="91" t="s">
        <v>350</v>
      </c>
      <c r="C187" s="100" t="s">
        <v>413</v>
      </c>
      <c r="D187" s="64" t="s">
        <v>407</v>
      </c>
      <c r="E187" s="53"/>
      <c r="F187" s="53"/>
      <c r="G187" s="88" t="s">
        <v>477</v>
      </c>
      <c r="H187" s="54"/>
      <c r="I187" s="54"/>
      <c r="J187" s="59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  <c r="BV187" s="56"/>
      <c r="BW187" s="56"/>
      <c r="BX187" s="56"/>
      <c r="BY187" s="56"/>
      <c r="BZ187" s="56"/>
      <c r="CA187" s="56"/>
      <c r="CB187" s="56"/>
      <c r="CC187" s="56"/>
      <c r="CD187" s="56"/>
      <c r="CE187" s="56"/>
      <c r="CF187" s="56"/>
      <c r="CG187" s="56"/>
      <c r="CH187" s="56"/>
      <c r="CI187" s="56"/>
      <c r="CJ187" s="56"/>
      <c r="CK187" s="56"/>
      <c r="CL187" s="56"/>
      <c r="CM187" s="56"/>
      <c r="CN187" s="56"/>
      <c r="CO187" s="56"/>
      <c r="CP187" s="56"/>
      <c r="CQ187" s="56"/>
      <c r="CR187" s="56"/>
      <c r="CS187" s="56"/>
      <c r="CT187" s="56"/>
      <c r="CU187" s="56"/>
      <c r="CV187" s="56"/>
      <c r="CW187" s="56"/>
      <c r="CX187" s="56"/>
      <c r="CY187" s="56"/>
      <c r="CZ187" s="56"/>
      <c r="DA187" s="56"/>
      <c r="DB187" s="56"/>
      <c r="DC187" s="56"/>
      <c r="DD187" s="56"/>
      <c r="DE187" s="56"/>
      <c r="DF187" s="56"/>
      <c r="DG187" s="56"/>
      <c r="DH187" s="56"/>
      <c r="DI187" s="56"/>
      <c r="DJ187" s="56"/>
      <c r="DK187" s="56"/>
      <c r="DL187" s="56"/>
      <c r="DM187" s="56"/>
      <c r="DN187" s="56"/>
      <c r="DO187" s="56"/>
      <c r="DP187" s="56"/>
      <c r="DQ187" s="56"/>
      <c r="DR187" s="56"/>
      <c r="DS187" s="56"/>
      <c r="DT187" s="56"/>
      <c r="DU187" s="56"/>
      <c r="DV187" s="56"/>
      <c r="DW187" s="56"/>
      <c r="DX187" s="56"/>
      <c r="DY187" s="56"/>
      <c r="DZ187" s="56"/>
      <c r="EA187" s="56"/>
      <c r="EB187" s="56"/>
      <c r="EC187" s="56"/>
      <c r="ED187" s="56"/>
      <c r="EE187" s="56"/>
      <c r="EF187" s="56"/>
      <c r="EG187" s="56"/>
      <c r="EH187" s="56"/>
      <c r="EI187" s="56"/>
      <c r="EJ187" s="56"/>
      <c r="EK187" s="56"/>
      <c r="EL187" s="56"/>
      <c r="EM187" s="56"/>
      <c r="EN187" s="56"/>
      <c r="EO187" s="56"/>
      <c r="EP187" s="56"/>
      <c r="EQ187" s="56"/>
      <c r="ER187" s="56"/>
      <c r="ES187" s="56"/>
      <c r="ET187" s="56"/>
      <c r="EU187" s="56"/>
      <c r="EV187" s="56"/>
      <c r="EW187" s="56"/>
      <c r="EX187" s="56"/>
      <c r="EY187" s="56"/>
      <c r="EZ187" s="56"/>
      <c r="FA187" s="56"/>
      <c r="FB187" s="56"/>
      <c r="FC187" s="56"/>
      <c r="FD187" s="56"/>
      <c r="FE187" s="56"/>
      <c r="FF187" s="56"/>
      <c r="FG187" s="56"/>
      <c r="FH187" s="56"/>
      <c r="FI187" s="56"/>
      <c r="FJ187" s="56"/>
      <c r="FK187" s="56"/>
      <c r="FL187" s="56"/>
      <c r="FM187" s="56"/>
      <c r="FN187" s="56"/>
      <c r="FO187" s="56"/>
      <c r="FP187" s="56"/>
      <c r="FQ187" s="56"/>
      <c r="FR187" s="56"/>
      <c r="FS187" s="56"/>
      <c r="FT187" s="56"/>
      <c r="FU187" s="56"/>
      <c r="FV187" s="56"/>
      <c r="FW187" s="56"/>
      <c r="FX187" s="56"/>
      <c r="FY187" s="56"/>
      <c r="FZ187" s="56"/>
      <c r="GA187" s="56"/>
      <c r="GB187" s="56"/>
      <c r="GC187" s="56"/>
      <c r="GD187" s="56"/>
      <c r="GE187" s="56"/>
      <c r="GF187" s="56"/>
      <c r="GG187" s="56"/>
      <c r="GH187" s="56"/>
      <c r="GI187" s="56"/>
      <c r="GJ187" s="56"/>
      <c r="GK187" s="56"/>
      <c r="GL187" s="56"/>
      <c r="GM187" s="56"/>
      <c r="GN187" s="56"/>
      <c r="GO187" s="56"/>
      <c r="GP187" s="56"/>
      <c r="GQ187" s="56"/>
      <c r="GR187" s="56"/>
      <c r="GS187" s="56"/>
      <c r="GT187" s="56"/>
      <c r="GU187" s="56"/>
      <c r="GV187" s="56"/>
      <c r="GW187" s="56"/>
      <c r="GX187" s="56"/>
      <c r="GY187" s="56"/>
      <c r="GZ187" s="56"/>
      <c r="HA187" s="56"/>
      <c r="HB187" s="56"/>
      <c r="HC187" s="56"/>
      <c r="HD187" s="56"/>
      <c r="HE187" s="56"/>
      <c r="HF187" s="56"/>
      <c r="HG187" s="56"/>
      <c r="HH187" s="56"/>
      <c r="HI187" s="56"/>
      <c r="HJ187" s="56"/>
      <c r="HK187" s="56"/>
      <c r="HL187" s="56"/>
    </row>
    <row r="188" spans="1:220" s="57" customFormat="1" ht="27.95" customHeight="1" x14ac:dyDescent="0.15">
      <c r="A188" s="124"/>
      <c r="B188" s="91" t="s">
        <v>351</v>
      </c>
      <c r="C188" s="103"/>
      <c r="D188" s="67" t="s">
        <v>408</v>
      </c>
      <c r="E188" s="53"/>
      <c r="F188" s="53"/>
      <c r="G188" s="88" t="s">
        <v>477</v>
      </c>
      <c r="H188" s="54"/>
      <c r="I188" s="54"/>
      <c r="J188" s="59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  <c r="BV188" s="56"/>
      <c r="BW188" s="56"/>
      <c r="BX188" s="56"/>
      <c r="BY188" s="56"/>
      <c r="BZ188" s="56"/>
      <c r="CA188" s="56"/>
      <c r="CB188" s="56"/>
      <c r="CC188" s="56"/>
      <c r="CD188" s="56"/>
      <c r="CE188" s="56"/>
      <c r="CF188" s="56"/>
      <c r="CG188" s="56"/>
      <c r="CH188" s="56"/>
      <c r="CI188" s="56"/>
      <c r="CJ188" s="56"/>
      <c r="CK188" s="56"/>
      <c r="CL188" s="56"/>
      <c r="CM188" s="56"/>
      <c r="CN188" s="56"/>
      <c r="CO188" s="56"/>
      <c r="CP188" s="56"/>
      <c r="CQ188" s="56"/>
      <c r="CR188" s="56"/>
      <c r="CS188" s="56"/>
      <c r="CT188" s="56"/>
      <c r="CU188" s="56"/>
      <c r="CV188" s="56"/>
      <c r="CW188" s="56"/>
      <c r="CX188" s="56"/>
      <c r="CY188" s="56"/>
      <c r="CZ188" s="56"/>
      <c r="DA188" s="56"/>
      <c r="DB188" s="56"/>
      <c r="DC188" s="56"/>
      <c r="DD188" s="56"/>
      <c r="DE188" s="56"/>
      <c r="DF188" s="56"/>
      <c r="DG188" s="56"/>
      <c r="DH188" s="56"/>
      <c r="DI188" s="56"/>
      <c r="DJ188" s="56"/>
      <c r="DK188" s="56"/>
      <c r="DL188" s="56"/>
      <c r="DM188" s="56"/>
      <c r="DN188" s="56"/>
      <c r="DO188" s="56"/>
      <c r="DP188" s="56"/>
      <c r="DQ188" s="56"/>
      <c r="DR188" s="56"/>
      <c r="DS188" s="56"/>
      <c r="DT188" s="56"/>
      <c r="DU188" s="56"/>
      <c r="DV188" s="56"/>
      <c r="DW188" s="56"/>
      <c r="DX188" s="56"/>
      <c r="DY188" s="56"/>
      <c r="DZ188" s="56"/>
      <c r="EA188" s="56"/>
      <c r="EB188" s="56"/>
      <c r="EC188" s="56"/>
      <c r="ED188" s="56"/>
      <c r="EE188" s="56"/>
      <c r="EF188" s="56"/>
      <c r="EG188" s="56"/>
      <c r="EH188" s="56"/>
      <c r="EI188" s="56"/>
      <c r="EJ188" s="56"/>
      <c r="EK188" s="56"/>
      <c r="EL188" s="56"/>
      <c r="EM188" s="56"/>
      <c r="EN188" s="56"/>
      <c r="EO188" s="56"/>
      <c r="EP188" s="56"/>
      <c r="EQ188" s="56"/>
      <c r="ER188" s="56"/>
      <c r="ES188" s="56"/>
      <c r="ET188" s="56"/>
      <c r="EU188" s="56"/>
      <c r="EV188" s="56"/>
      <c r="EW188" s="56"/>
      <c r="EX188" s="56"/>
      <c r="EY188" s="56"/>
      <c r="EZ188" s="56"/>
      <c r="FA188" s="56"/>
      <c r="FB188" s="56"/>
      <c r="FC188" s="56"/>
      <c r="FD188" s="56"/>
      <c r="FE188" s="56"/>
      <c r="FF188" s="56"/>
      <c r="FG188" s="56"/>
      <c r="FH188" s="56"/>
      <c r="FI188" s="56"/>
      <c r="FJ188" s="56"/>
      <c r="FK188" s="56"/>
      <c r="FL188" s="56"/>
      <c r="FM188" s="56"/>
      <c r="FN188" s="56"/>
      <c r="FO188" s="56"/>
      <c r="FP188" s="56"/>
      <c r="FQ188" s="56"/>
      <c r="FR188" s="56"/>
      <c r="FS188" s="56"/>
      <c r="FT188" s="56"/>
      <c r="FU188" s="56"/>
      <c r="FV188" s="56"/>
      <c r="FW188" s="56"/>
      <c r="FX188" s="56"/>
      <c r="FY188" s="56"/>
      <c r="FZ188" s="56"/>
      <c r="GA188" s="56"/>
      <c r="GB188" s="56"/>
      <c r="GC188" s="56"/>
      <c r="GD188" s="56"/>
      <c r="GE188" s="56"/>
      <c r="GF188" s="56"/>
      <c r="GG188" s="56"/>
      <c r="GH188" s="56"/>
      <c r="GI188" s="56"/>
      <c r="GJ188" s="56"/>
      <c r="GK188" s="56"/>
      <c r="GL188" s="56"/>
      <c r="GM188" s="56"/>
      <c r="GN188" s="56"/>
      <c r="GO188" s="56"/>
      <c r="GP188" s="56"/>
      <c r="GQ188" s="56"/>
      <c r="GR188" s="56"/>
      <c r="GS188" s="56"/>
      <c r="GT188" s="56"/>
      <c r="GU188" s="56"/>
      <c r="GV188" s="56"/>
      <c r="GW188" s="56"/>
      <c r="GX188" s="56"/>
      <c r="GY188" s="56"/>
      <c r="GZ188" s="56"/>
      <c r="HA188" s="56"/>
      <c r="HB188" s="56"/>
      <c r="HC188" s="56"/>
      <c r="HD188" s="56"/>
      <c r="HE188" s="56"/>
      <c r="HF188" s="56"/>
      <c r="HG188" s="56"/>
      <c r="HH188" s="56"/>
      <c r="HI188" s="56"/>
      <c r="HJ188" s="56"/>
      <c r="HK188" s="56"/>
      <c r="HL188" s="56"/>
    </row>
    <row r="189" spans="1:220" s="57" customFormat="1" ht="27.95" customHeight="1" x14ac:dyDescent="0.15">
      <c r="A189" s="124"/>
      <c r="B189" s="91" t="s">
        <v>352</v>
      </c>
      <c r="C189" s="100" t="s">
        <v>711</v>
      </c>
      <c r="D189" s="68" t="s">
        <v>407</v>
      </c>
      <c r="E189" s="53"/>
      <c r="F189" s="53"/>
      <c r="G189" s="88" t="s">
        <v>477</v>
      </c>
      <c r="H189" s="54"/>
      <c r="I189" s="54"/>
      <c r="J189" s="59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  <c r="CL189" s="56"/>
      <c r="CM189" s="56"/>
      <c r="CN189" s="56"/>
      <c r="CO189" s="56"/>
      <c r="CP189" s="56"/>
      <c r="CQ189" s="56"/>
      <c r="CR189" s="56"/>
      <c r="CS189" s="56"/>
      <c r="CT189" s="56"/>
      <c r="CU189" s="56"/>
      <c r="CV189" s="56"/>
      <c r="CW189" s="56"/>
      <c r="CX189" s="56"/>
      <c r="CY189" s="56"/>
      <c r="CZ189" s="56"/>
      <c r="DA189" s="56"/>
      <c r="DB189" s="56"/>
      <c r="DC189" s="56"/>
      <c r="DD189" s="56"/>
      <c r="DE189" s="56"/>
      <c r="DF189" s="56"/>
      <c r="DG189" s="56"/>
      <c r="DH189" s="56"/>
      <c r="DI189" s="56"/>
      <c r="DJ189" s="56"/>
      <c r="DK189" s="56"/>
      <c r="DL189" s="56"/>
      <c r="DM189" s="56"/>
      <c r="DN189" s="56"/>
      <c r="DO189" s="56"/>
      <c r="DP189" s="56"/>
      <c r="DQ189" s="56"/>
      <c r="DR189" s="56"/>
      <c r="DS189" s="56"/>
      <c r="DT189" s="56"/>
      <c r="DU189" s="56"/>
      <c r="DV189" s="56"/>
      <c r="DW189" s="56"/>
      <c r="DX189" s="56"/>
      <c r="DY189" s="56"/>
      <c r="DZ189" s="56"/>
      <c r="EA189" s="56"/>
      <c r="EB189" s="56"/>
      <c r="EC189" s="56"/>
      <c r="ED189" s="56"/>
      <c r="EE189" s="56"/>
      <c r="EF189" s="56"/>
      <c r="EG189" s="56"/>
      <c r="EH189" s="56"/>
      <c r="EI189" s="56"/>
      <c r="EJ189" s="56"/>
      <c r="EK189" s="56"/>
      <c r="EL189" s="56"/>
      <c r="EM189" s="56"/>
      <c r="EN189" s="56"/>
      <c r="EO189" s="56"/>
      <c r="EP189" s="56"/>
      <c r="EQ189" s="56"/>
      <c r="ER189" s="56"/>
      <c r="ES189" s="56"/>
      <c r="ET189" s="56"/>
      <c r="EU189" s="56"/>
      <c r="EV189" s="56"/>
      <c r="EW189" s="56"/>
      <c r="EX189" s="56"/>
      <c r="EY189" s="56"/>
      <c r="EZ189" s="56"/>
      <c r="FA189" s="56"/>
      <c r="FB189" s="56"/>
      <c r="FC189" s="56"/>
      <c r="FD189" s="56"/>
      <c r="FE189" s="56"/>
      <c r="FF189" s="56"/>
      <c r="FG189" s="56"/>
      <c r="FH189" s="56"/>
      <c r="FI189" s="56"/>
      <c r="FJ189" s="56"/>
      <c r="FK189" s="56"/>
      <c r="FL189" s="56"/>
      <c r="FM189" s="56"/>
      <c r="FN189" s="56"/>
      <c r="FO189" s="56"/>
      <c r="FP189" s="56"/>
      <c r="FQ189" s="56"/>
      <c r="FR189" s="56"/>
      <c r="FS189" s="56"/>
      <c r="FT189" s="56"/>
      <c r="FU189" s="56"/>
      <c r="FV189" s="56"/>
      <c r="FW189" s="56"/>
      <c r="FX189" s="56"/>
      <c r="FY189" s="56"/>
      <c r="FZ189" s="56"/>
      <c r="GA189" s="56"/>
      <c r="GB189" s="56"/>
      <c r="GC189" s="56"/>
      <c r="GD189" s="56"/>
      <c r="GE189" s="56"/>
      <c r="GF189" s="56"/>
      <c r="GG189" s="56"/>
      <c r="GH189" s="56"/>
      <c r="GI189" s="56"/>
      <c r="GJ189" s="56"/>
      <c r="GK189" s="56"/>
      <c r="GL189" s="56"/>
      <c r="GM189" s="56"/>
      <c r="GN189" s="56"/>
      <c r="GO189" s="56"/>
      <c r="GP189" s="56"/>
      <c r="GQ189" s="56"/>
      <c r="GR189" s="56"/>
      <c r="GS189" s="56"/>
      <c r="GT189" s="56"/>
      <c r="GU189" s="56"/>
      <c r="GV189" s="56"/>
      <c r="GW189" s="56"/>
      <c r="GX189" s="56"/>
      <c r="GY189" s="56"/>
      <c r="GZ189" s="56"/>
      <c r="HA189" s="56"/>
      <c r="HB189" s="56"/>
      <c r="HC189" s="56"/>
      <c r="HD189" s="56"/>
      <c r="HE189" s="56"/>
      <c r="HF189" s="56"/>
      <c r="HG189" s="56"/>
      <c r="HH189" s="56"/>
      <c r="HI189" s="56"/>
      <c r="HJ189" s="56"/>
      <c r="HK189" s="56"/>
      <c r="HL189" s="56"/>
    </row>
    <row r="190" spans="1:220" s="57" customFormat="1" ht="27.95" customHeight="1" x14ac:dyDescent="0.15">
      <c r="A190" s="124"/>
      <c r="B190" s="91" t="s">
        <v>353</v>
      </c>
      <c r="C190" s="103"/>
      <c r="D190" s="68" t="s">
        <v>408</v>
      </c>
      <c r="E190" s="53"/>
      <c r="F190" s="53"/>
      <c r="G190" s="88" t="s">
        <v>477</v>
      </c>
      <c r="H190" s="54"/>
      <c r="I190" s="54"/>
      <c r="J190" s="59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56"/>
      <c r="CP190" s="56"/>
      <c r="CQ190" s="56"/>
      <c r="CR190" s="56"/>
      <c r="CS190" s="56"/>
      <c r="CT190" s="56"/>
      <c r="CU190" s="56"/>
      <c r="CV190" s="56"/>
      <c r="CW190" s="56"/>
      <c r="CX190" s="56"/>
      <c r="CY190" s="56"/>
      <c r="CZ190" s="56"/>
      <c r="DA190" s="56"/>
      <c r="DB190" s="56"/>
      <c r="DC190" s="56"/>
      <c r="DD190" s="56"/>
      <c r="DE190" s="56"/>
      <c r="DF190" s="56"/>
      <c r="DG190" s="56"/>
      <c r="DH190" s="56"/>
      <c r="DI190" s="56"/>
      <c r="DJ190" s="56"/>
      <c r="DK190" s="56"/>
      <c r="DL190" s="56"/>
      <c r="DM190" s="56"/>
      <c r="DN190" s="56"/>
      <c r="DO190" s="56"/>
      <c r="DP190" s="56"/>
      <c r="DQ190" s="56"/>
      <c r="DR190" s="56"/>
      <c r="DS190" s="56"/>
      <c r="DT190" s="56"/>
      <c r="DU190" s="56"/>
      <c r="DV190" s="56"/>
      <c r="DW190" s="56"/>
      <c r="DX190" s="56"/>
      <c r="DY190" s="56"/>
      <c r="DZ190" s="56"/>
      <c r="EA190" s="56"/>
      <c r="EB190" s="56"/>
      <c r="EC190" s="56"/>
      <c r="ED190" s="56"/>
      <c r="EE190" s="56"/>
      <c r="EF190" s="56"/>
      <c r="EG190" s="56"/>
      <c r="EH190" s="56"/>
      <c r="EI190" s="56"/>
      <c r="EJ190" s="56"/>
      <c r="EK190" s="56"/>
      <c r="EL190" s="56"/>
      <c r="EM190" s="56"/>
      <c r="EN190" s="56"/>
      <c r="EO190" s="56"/>
      <c r="EP190" s="56"/>
      <c r="EQ190" s="56"/>
      <c r="ER190" s="56"/>
      <c r="ES190" s="56"/>
      <c r="ET190" s="56"/>
      <c r="EU190" s="56"/>
      <c r="EV190" s="56"/>
      <c r="EW190" s="56"/>
      <c r="EX190" s="56"/>
      <c r="EY190" s="56"/>
      <c r="EZ190" s="56"/>
      <c r="FA190" s="56"/>
      <c r="FB190" s="56"/>
      <c r="FC190" s="56"/>
      <c r="FD190" s="56"/>
      <c r="FE190" s="56"/>
      <c r="FF190" s="56"/>
      <c r="FG190" s="56"/>
      <c r="FH190" s="56"/>
      <c r="FI190" s="56"/>
      <c r="FJ190" s="56"/>
      <c r="FK190" s="56"/>
      <c r="FL190" s="56"/>
      <c r="FM190" s="56"/>
      <c r="FN190" s="56"/>
      <c r="FO190" s="56"/>
      <c r="FP190" s="56"/>
      <c r="FQ190" s="56"/>
      <c r="FR190" s="56"/>
      <c r="FS190" s="56"/>
      <c r="FT190" s="56"/>
      <c r="FU190" s="56"/>
      <c r="FV190" s="56"/>
      <c r="FW190" s="56"/>
      <c r="FX190" s="56"/>
      <c r="FY190" s="56"/>
      <c r="FZ190" s="56"/>
      <c r="GA190" s="56"/>
      <c r="GB190" s="56"/>
      <c r="GC190" s="56"/>
      <c r="GD190" s="56"/>
      <c r="GE190" s="56"/>
      <c r="GF190" s="56"/>
      <c r="GG190" s="56"/>
      <c r="GH190" s="56"/>
      <c r="GI190" s="56"/>
      <c r="GJ190" s="56"/>
      <c r="GK190" s="56"/>
      <c r="GL190" s="56"/>
      <c r="GM190" s="56"/>
      <c r="GN190" s="56"/>
      <c r="GO190" s="56"/>
      <c r="GP190" s="56"/>
      <c r="GQ190" s="56"/>
      <c r="GR190" s="56"/>
      <c r="GS190" s="56"/>
      <c r="GT190" s="56"/>
      <c r="GU190" s="56"/>
      <c r="GV190" s="56"/>
      <c r="GW190" s="56"/>
      <c r="GX190" s="56"/>
      <c r="GY190" s="56"/>
      <c r="GZ190" s="56"/>
      <c r="HA190" s="56"/>
      <c r="HB190" s="56"/>
      <c r="HC190" s="56"/>
      <c r="HD190" s="56"/>
      <c r="HE190" s="56"/>
      <c r="HF190" s="56"/>
      <c r="HG190" s="56"/>
      <c r="HH190" s="56"/>
      <c r="HI190" s="56"/>
      <c r="HJ190" s="56"/>
      <c r="HK190" s="56"/>
      <c r="HL190" s="56"/>
    </row>
    <row r="191" spans="1:220" s="57" customFormat="1" ht="27.95" customHeight="1" x14ac:dyDescent="0.15">
      <c r="A191" s="124"/>
      <c r="B191" s="91" t="s">
        <v>710</v>
      </c>
      <c r="C191" s="100" t="s">
        <v>414</v>
      </c>
      <c r="D191" s="68" t="s">
        <v>415</v>
      </c>
      <c r="E191" s="53"/>
      <c r="F191" s="53"/>
      <c r="G191" s="88" t="s">
        <v>477</v>
      </c>
      <c r="H191" s="54"/>
      <c r="I191" s="54"/>
      <c r="J191" s="59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6"/>
      <c r="CA191" s="56"/>
      <c r="CB191" s="56"/>
      <c r="CC191" s="56"/>
      <c r="CD191" s="56"/>
      <c r="CE191" s="56"/>
      <c r="CF191" s="56"/>
      <c r="CG191" s="56"/>
      <c r="CH191" s="56"/>
      <c r="CI191" s="56"/>
      <c r="CJ191" s="56"/>
      <c r="CK191" s="56"/>
      <c r="CL191" s="56"/>
      <c r="CM191" s="56"/>
      <c r="CN191" s="56"/>
      <c r="CO191" s="56"/>
      <c r="CP191" s="56"/>
      <c r="CQ191" s="56"/>
      <c r="CR191" s="56"/>
      <c r="CS191" s="56"/>
      <c r="CT191" s="56"/>
      <c r="CU191" s="56"/>
      <c r="CV191" s="56"/>
      <c r="CW191" s="56"/>
      <c r="CX191" s="56"/>
      <c r="CY191" s="56"/>
      <c r="CZ191" s="56"/>
      <c r="DA191" s="56"/>
      <c r="DB191" s="56"/>
      <c r="DC191" s="56"/>
      <c r="DD191" s="56"/>
      <c r="DE191" s="56"/>
      <c r="DF191" s="56"/>
      <c r="DG191" s="56"/>
      <c r="DH191" s="56"/>
      <c r="DI191" s="56"/>
      <c r="DJ191" s="56"/>
      <c r="DK191" s="56"/>
      <c r="DL191" s="56"/>
      <c r="DM191" s="56"/>
      <c r="DN191" s="56"/>
      <c r="DO191" s="56"/>
      <c r="DP191" s="56"/>
      <c r="DQ191" s="56"/>
      <c r="DR191" s="56"/>
      <c r="DS191" s="56"/>
      <c r="DT191" s="56"/>
      <c r="DU191" s="56"/>
      <c r="DV191" s="56"/>
      <c r="DW191" s="56"/>
      <c r="DX191" s="56"/>
      <c r="DY191" s="56"/>
      <c r="DZ191" s="56"/>
      <c r="EA191" s="56"/>
      <c r="EB191" s="56"/>
      <c r="EC191" s="56"/>
      <c r="ED191" s="56"/>
      <c r="EE191" s="56"/>
      <c r="EF191" s="56"/>
      <c r="EG191" s="56"/>
      <c r="EH191" s="56"/>
      <c r="EI191" s="56"/>
      <c r="EJ191" s="56"/>
      <c r="EK191" s="56"/>
      <c r="EL191" s="56"/>
      <c r="EM191" s="56"/>
      <c r="EN191" s="56"/>
      <c r="EO191" s="56"/>
      <c r="EP191" s="56"/>
      <c r="EQ191" s="56"/>
      <c r="ER191" s="56"/>
      <c r="ES191" s="56"/>
      <c r="ET191" s="56"/>
      <c r="EU191" s="56"/>
      <c r="EV191" s="56"/>
      <c r="EW191" s="56"/>
      <c r="EX191" s="56"/>
      <c r="EY191" s="56"/>
      <c r="EZ191" s="56"/>
      <c r="FA191" s="56"/>
      <c r="FB191" s="56"/>
      <c r="FC191" s="56"/>
      <c r="FD191" s="56"/>
      <c r="FE191" s="56"/>
      <c r="FF191" s="56"/>
      <c r="FG191" s="56"/>
      <c r="FH191" s="56"/>
      <c r="FI191" s="56"/>
      <c r="FJ191" s="56"/>
      <c r="FK191" s="56"/>
      <c r="FL191" s="56"/>
      <c r="FM191" s="56"/>
      <c r="FN191" s="56"/>
      <c r="FO191" s="56"/>
      <c r="FP191" s="56"/>
      <c r="FQ191" s="56"/>
      <c r="FR191" s="56"/>
      <c r="FS191" s="56"/>
      <c r="FT191" s="56"/>
      <c r="FU191" s="56"/>
      <c r="FV191" s="56"/>
      <c r="FW191" s="56"/>
      <c r="FX191" s="56"/>
      <c r="FY191" s="56"/>
      <c r="FZ191" s="56"/>
      <c r="GA191" s="56"/>
      <c r="GB191" s="56"/>
      <c r="GC191" s="56"/>
      <c r="GD191" s="56"/>
      <c r="GE191" s="56"/>
      <c r="GF191" s="56"/>
      <c r="GG191" s="56"/>
      <c r="GH191" s="56"/>
      <c r="GI191" s="56"/>
      <c r="GJ191" s="56"/>
      <c r="GK191" s="56"/>
      <c r="GL191" s="56"/>
      <c r="GM191" s="56"/>
      <c r="GN191" s="56"/>
      <c r="GO191" s="56"/>
      <c r="GP191" s="56"/>
      <c r="GQ191" s="56"/>
      <c r="GR191" s="56"/>
      <c r="GS191" s="56"/>
      <c r="GT191" s="56"/>
      <c r="GU191" s="56"/>
      <c r="GV191" s="56"/>
      <c r="GW191" s="56"/>
      <c r="GX191" s="56"/>
      <c r="GY191" s="56"/>
      <c r="GZ191" s="56"/>
      <c r="HA191" s="56"/>
      <c r="HB191" s="56"/>
      <c r="HC191" s="56"/>
      <c r="HD191" s="56"/>
      <c r="HE191" s="56"/>
      <c r="HF191" s="56"/>
      <c r="HG191" s="56"/>
      <c r="HH191" s="56"/>
      <c r="HI191" s="56"/>
      <c r="HJ191" s="56"/>
      <c r="HK191" s="56"/>
      <c r="HL191" s="56"/>
    </row>
    <row r="192" spans="1:220" s="53" customFormat="1" ht="27.95" customHeight="1" x14ac:dyDescent="0.15">
      <c r="A192" s="124"/>
      <c r="B192" s="91" t="s">
        <v>354</v>
      </c>
      <c r="C192" s="103"/>
      <c r="D192" s="53" t="s">
        <v>417</v>
      </c>
      <c r="G192" s="88" t="s">
        <v>477</v>
      </c>
      <c r="J192" s="59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0"/>
      <c r="CD192" s="60"/>
      <c r="CE192" s="60"/>
      <c r="CF192" s="60"/>
      <c r="CG192" s="60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60"/>
      <c r="CV192" s="60"/>
      <c r="CW192" s="60"/>
      <c r="CX192" s="60"/>
      <c r="CY192" s="60"/>
      <c r="CZ192" s="60"/>
      <c r="DA192" s="60"/>
      <c r="DB192" s="60"/>
      <c r="DC192" s="60"/>
      <c r="DD192" s="60"/>
      <c r="DE192" s="60"/>
      <c r="DF192" s="60"/>
      <c r="DG192" s="60"/>
      <c r="DH192" s="60"/>
      <c r="DI192" s="60"/>
      <c r="DJ192" s="60"/>
      <c r="DK192" s="60"/>
      <c r="DL192" s="60"/>
      <c r="DM192" s="60"/>
      <c r="DN192" s="60"/>
      <c r="DO192" s="60"/>
      <c r="DP192" s="60"/>
      <c r="DQ192" s="60"/>
      <c r="DR192" s="60"/>
      <c r="DS192" s="60"/>
      <c r="DT192" s="60"/>
      <c r="DU192" s="60"/>
      <c r="DV192" s="60"/>
      <c r="DW192" s="60"/>
      <c r="DX192" s="60"/>
      <c r="DY192" s="60"/>
      <c r="DZ192" s="60"/>
      <c r="EA192" s="60"/>
      <c r="EB192" s="60"/>
      <c r="EC192" s="60"/>
      <c r="ED192" s="60"/>
      <c r="EE192" s="60"/>
      <c r="EF192" s="60"/>
      <c r="EG192" s="60"/>
      <c r="EH192" s="60"/>
      <c r="EI192" s="60"/>
      <c r="EJ192" s="60"/>
      <c r="EK192" s="60"/>
      <c r="EL192" s="60"/>
      <c r="EM192" s="60"/>
      <c r="EN192" s="60"/>
      <c r="EO192" s="60"/>
      <c r="EP192" s="60"/>
      <c r="EQ192" s="60"/>
      <c r="ER192" s="60"/>
      <c r="ES192" s="60"/>
      <c r="ET192" s="60"/>
      <c r="EU192" s="60"/>
      <c r="EV192" s="60"/>
      <c r="EW192" s="60"/>
      <c r="EX192" s="60"/>
      <c r="EY192" s="60"/>
      <c r="EZ192" s="60"/>
      <c r="FA192" s="60"/>
      <c r="FB192" s="60"/>
      <c r="FC192" s="60"/>
      <c r="FD192" s="60"/>
      <c r="FE192" s="60"/>
      <c r="FF192" s="60"/>
      <c r="FG192" s="60"/>
      <c r="FH192" s="60"/>
      <c r="FI192" s="60"/>
      <c r="FJ192" s="60"/>
      <c r="FK192" s="60"/>
      <c r="FL192" s="60"/>
      <c r="FM192" s="60"/>
      <c r="FN192" s="60"/>
      <c r="FO192" s="60"/>
      <c r="FP192" s="60"/>
      <c r="FQ192" s="60"/>
      <c r="FR192" s="60"/>
      <c r="FS192" s="60"/>
      <c r="FT192" s="60"/>
      <c r="FU192" s="60"/>
      <c r="FV192" s="60"/>
      <c r="FW192" s="60"/>
      <c r="FX192" s="60"/>
      <c r="FY192" s="60"/>
      <c r="FZ192" s="60"/>
      <c r="GA192" s="60"/>
      <c r="GB192" s="60"/>
      <c r="GC192" s="60"/>
      <c r="GD192" s="60"/>
      <c r="GE192" s="60"/>
      <c r="GF192" s="60"/>
      <c r="GG192" s="60"/>
      <c r="GH192" s="60"/>
      <c r="GI192" s="60"/>
      <c r="GJ192" s="60"/>
      <c r="GK192" s="60"/>
      <c r="GL192" s="60"/>
      <c r="GM192" s="60"/>
      <c r="GN192" s="60"/>
      <c r="GO192" s="60"/>
      <c r="GP192" s="60"/>
      <c r="GQ192" s="60"/>
      <c r="GR192" s="60"/>
      <c r="GS192" s="60"/>
      <c r="GT192" s="60"/>
      <c r="GU192" s="60"/>
      <c r="GV192" s="60"/>
      <c r="GW192" s="60"/>
      <c r="GX192" s="60"/>
      <c r="GY192" s="60"/>
      <c r="GZ192" s="60"/>
      <c r="HA192" s="60"/>
      <c r="HB192" s="60"/>
      <c r="HC192" s="60"/>
      <c r="HD192" s="60"/>
      <c r="HE192" s="60"/>
      <c r="HF192" s="60"/>
      <c r="HG192" s="60"/>
      <c r="HH192" s="60"/>
      <c r="HI192" s="60"/>
      <c r="HJ192" s="60"/>
      <c r="HK192" s="60"/>
      <c r="HL192" s="60"/>
    </row>
    <row r="193" spans="1:220" s="81" customFormat="1" ht="35.1" customHeight="1" x14ac:dyDescent="0.15">
      <c r="A193" s="124"/>
      <c r="B193" s="91" t="s">
        <v>355</v>
      </c>
      <c r="C193" s="100" t="s">
        <v>713</v>
      </c>
      <c r="D193" s="81" t="s">
        <v>714</v>
      </c>
      <c r="G193" s="88" t="s">
        <v>477</v>
      </c>
      <c r="J193" s="83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  <c r="FU193" s="84"/>
      <c r="FV193" s="84"/>
      <c r="FW193" s="84"/>
      <c r="FX193" s="84"/>
      <c r="FY193" s="84"/>
      <c r="FZ193" s="84"/>
      <c r="GA193" s="84"/>
      <c r="GB193" s="84"/>
      <c r="GC193" s="84"/>
      <c r="GD193" s="84"/>
      <c r="GE193" s="84"/>
      <c r="GF193" s="84"/>
      <c r="GG193" s="84"/>
      <c r="GH193" s="84"/>
      <c r="GI193" s="84"/>
      <c r="GJ193" s="84"/>
      <c r="GK193" s="84"/>
      <c r="GL193" s="84"/>
      <c r="GM193" s="84"/>
      <c r="GN193" s="84"/>
      <c r="GO193" s="84"/>
      <c r="GP193" s="84"/>
      <c r="GQ193" s="84"/>
      <c r="GR193" s="84"/>
      <c r="GS193" s="84"/>
      <c r="GT193" s="84"/>
      <c r="GU193" s="84"/>
      <c r="GV193" s="84"/>
      <c r="GW193" s="84"/>
      <c r="GX193" s="84"/>
      <c r="GY193" s="84"/>
      <c r="GZ193" s="84"/>
      <c r="HA193" s="84"/>
      <c r="HB193" s="84"/>
      <c r="HC193" s="84"/>
      <c r="HD193" s="84"/>
      <c r="HE193" s="84"/>
      <c r="HF193" s="84"/>
      <c r="HG193" s="84"/>
      <c r="HH193" s="84"/>
      <c r="HI193" s="84"/>
      <c r="HJ193" s="84"/>
      <c r="HK193" s="84"/>
      <c r="HL193" s="84"/>
    </row>
    <row r="194" spans="1:220" s="81" customFormat="1" ht="35.1" customHeight="1" x14ac:dyDescent="0.15">
      <c r="A194" s="124"/>
      <c r="B194" s="91" t="s">
        <v>356</v>
      </c>
      <c r="C194" s="101"/>
      <c r="D194" s="81" t="s">
        <v>715</v>
      </c>
      <c r="G194" s="88" t="s">
        <v>477</v>
      </c>
      <c r="J194" s="83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  <c r="FU194" s="84"/>
      <c r="FV194" s="84"/>
      <c r="FW194" s="84"/>
      <c r="FX194" s="84"/>
      <c r="FY194" s="84"/>
      <c r="FZ194" s="84"/>
      <c r="GA194" s="84"/>
      <c r="GB194" s="84"/>
      <c r="GC194" s="84"/>
      <c r="GD194" s="84"/>
      <c r="GE194" s="84"/>
      <c r="GF194" s="84"/>
      <c r="GG194" s="84"/>
      <c r="GH194" s="84"/>
      <c r="GI194" s="84"/>
      <c r="GJ194" s="84"/>
      <c r="GK194" s="84"/>
      <c r="GL194" s="84"/>
      <c r="GM194" s="84"/>
      <c r="GN194" s="84"/>
      <c r="GO194" s="84"/>
      <c r="GP194" s="84"/>
      <c r="GQ194" s="84"/>
      <c r="GR194" s="84"/>
      <c r="GS194" s="84"/>
      <c r="GT194" s="84"/>
      <c r="GU194" s="84"/>
      <c r="GV194" s="84"/>
      <c r="GW194" s="84"/>
      <c r="GX194" s="84"/>
      <c r="GY194" s="84"/>
      <c r="GZ194" s="84"/>
      <c r="HA194" s="84"/>
      <c r="HB194" s="84"/>
      <c r="HC194" s="84"/>
      <c r="HD194" s="84"/>
      <c r="HE194" s="84"/>
      <c r="HF194" s="84"/>
      <c r="HG194" s="84"/>
      <c r="HH194" s="84"/>
      <c r="HI194" s="84"/>
      <c r="HJ194" s="84"/>
      <c r="HK194" s="84"/>
      <c r="HL194" s="84"/>
    </row>
    <row r="195" spans="1:220" s="20" customFormat="1" x14ac:dyDescent="0.15">
      <c r="A195" s="104" t="s">
        <v>232</v>
      </c>
      <c r="B195" s="105"/>
      <c r="C195" s="105"/>
      <c r="D195" s="105"/>
      <c r="E195" s="105"/>
      <c r="F195" s="105"/>
      <c r="G195" s="105"/>
      <c r="H195" s="105"/>
      <c r="I195" s="105"/>
      <c r="J195" s="10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</row>
    <row r="196" spans="1:220" s="53" customFormat="1" ht="13.5" customHeight="1" x14ac:dyDescent="0.15">
      <c r="A196" s="12" t="s">
        <v>28</v>
      </c>
      <c r="B196" s="50" t="s">
        <v>29</v>
      </c>
      <c r="C196" s="13" t="s">
        <v>0</v>
      </c>
      <c r="D196" s="52" t="s">
        <v>30</v>
      </c>
      <c r="E196" s="50" t="s">
        <v>31</v>
      </c>
      <c r="F196" s="50" t="s">
        <v>32</v>
      </c>
      <c r="G196" s="107" t="s">
        <v>35</v>
      </c>
      <c r="H196" s="107"/>
      <c r="I196" s="107"/>
      <c r="J196" s="29" t="s">
        <v>10</v>
      </c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0"/>
      <c r="CD196" s="60"/>
      <c r="CE196" s="60"/>
      <c r="CF196" s="60"/>
      <c r="CG196" s="60"/>
      <c r="CH196" s="60"/>
      <c r="CI196" s="60"/>
      <c r="CJ196" s="60"/>
      <c r="CK196" s="60"/>
      <c r="CL196" s="60"/>
      <c r="CM196" s="60"/>
      <c r="CN196" s="60"/>
      <c r="CO196" s="60"/>
      <c r="CP196" s="60"/>
      <c r="CQ196" s="60"/>
      <c r="CR196" s="60"/>
      <c r="CS196" s="60"/>
      <c r="CT196" s="60"/>
      <c r="CU196" s="60"/>
      <c r="CV196" s="60"/>
      <c r="CW196" s="60"/>
      <c r="CX196" s="60"/>
      <c r="CY196" s="60"/>
      <c r="CZ196" s="60"/>
      <c r="DA196" s="60"/>
      <c r="DB196" s="60"/>
      <c r="DC196" s="60"/>
      <c r="DD196" s="60"/>
      <c r="DE196" s="60"/>
      <c r="DF196" s="60"/>
      <c r="DG196" s="60"/>
      <c r="DH196" s="60"/>
      <c r="DI196" s="60"/>
      <c r="DJ196" s="60"/>
      <c r="DK196" s="60"/>
      <c r="DL196" s="60"/>
      <c r="DM196" s="60"/>
      <c r="DN196" s="60"/>
      <c r="DO196" s="60"/>
      <c r="DP196" s="60"/>
      <c r="DQ196" s="60"/>
      <c r="DR196" s="60"/>
      <c r="DS196" s="60"/>
      <c r="DT196" s="60"/>
      <c r="DU196" s="60"/>
      <c r="DV196" s="60"/>
      <c r="DW196" s="60"/>
      <c r="DX196" s="60"/>
      <c r="DY196" s="60"/>
      <c r="DZ196" s="60"/>
      <c r="EA196" s="60"/>
      <c r="EB196" s="60"/>
      <c r="EC196" s="60"/>
      <c r="ED196" s="60"/>
      <c r="EE196" s="60"/>
      <c r="EF196" s="60"/>
      <c r="EG196" s="60"/>
      <c r="EH196" s="60"/>
      <c r="EI196" s="60"/>
      <c r="EJ196" s="60"/>
      <c r="EK196" s="60"/>
      <c r="EL196" s="60"/>
      <c r="EM196" s="60"/>
      <c r="EN196" s="60"/>
      <c r="EO196" s="60"/>
      <c r="EP196" s="60"/>
      <c r="EQ196" s="60"/>
      <c r="ER196" s="60"/>
      <c r="ES196" s="60"/>
      <c r="ET196" s="60"/>
      <c r="EU196" s="60"/>
      <c r="EV196" s="60"/>
      <c r="EW196" s="60"/>
      <c r="EX196" s="60"/>
      <c r="EY196" s="60"/>
      <c r="EZ196" s="60"/>
      <c r="FA196" s="60"/>
      <c r="FB196" s="60"/>
      <c r="FC196" s="60"/>
      <c r="FD196" s="60"/>
      <c r="FE196" s="60"/>
      <c r="FF196" s="60"/>
      <c r="FG196" s="60"/>
      <c r="FH196" s="60"/>
      <c r="FI196" s="60"/>
      <c r="FJ196" s="60"/>
      <c r="FK196" s="60"/>
      <c r="FL196" s="60"/>
      <c r="FM196" s="60"/>
      <c r="FN196" s="60"/>
      <c r="FO196" s="60"/>
      <c r="FP196" s="60"/>
      <c r="FQ196" s="60"/>
      <c r="FR196" s="60"/>
      <c r="FS196" s="60"/>
      <c r="FT196" s="60"/>
      <c r="FU196" s="60"/>
      <c r="FV196" s="60"/>
      <c r="FW196" s="60"/>
      <c r="FX196" s="60"/>
      <c r="FY196" s="60"/>
      <c r="FZ196" s="60"/>
      <c r="GA196" s="60"/>
      <c r="GB196" s="60"/>
      <c r="GC196" s="60"/>
      <c r="GD196" s="60"/>
      <c r="GE196" s="60"/>
      <c r="GF196" s="60"/>
      <c r="GG196" s="60"/>
      <c r="GH196" s="60"/>
      <c r="GI196" s="60"/>
      <c r="GJ196" s="60"/>
      <c r="GK196" s="60"/>
      <c r="GL196" s="60"/>
      <c r="GM196" s="60"/>
      <c r="GN196" s="60"/>
      <c r="GO196" s="60"/>
      <c r="GP196" s="60"/>
      <c r="GQ196" s="60"/>
      <c r="GR196" s="60"/>
      <c r="GS196" s="60"/>
      <c r="GT196" s="60"/>
      <c r="GU196" s="60"/>
      <c r="GV196" s="60"/>
      <c r="GW196" s="60"/>
      <c r="GX196" s="60"/>
      <c r="GY196" s="60"/>
      <c r="GZ196" s="60"/>
      <c r="HA196" s="60"/>
      <c r="HB196" s="60"/>
      <c r="HC196" s="60"/>
      <c r="HD196" s="60"/>
      <c r="HE196" s="60"/>
      <c r="HF196" s="60"/>
      <c r="HG196" s="60"/>
      <c r="HH196" s="60"/>
      <c r="HI196" s="60"/>
      <c r="HJ196" s="60"/>
      <c r="HK196" s="60"/>
      <c r="HL196" s="60"/>
    </row>
    <row r="197" spans="1:220" s="53" customFormat="1" x14ac:dyDescent="0.15">
      <c r="A197" s="97" t="s">
        <v>336</v>
      </c>
      <c r="B197" s="66" t="s">
        <v>718</v>
      </c>
      <c r="C197" s="53" t="s">
        <v>337</v>
      </c>
      <c r="D197" s="53" t="s">
        <v>338</v>
      </c>
      <c r="G197" s="88" t="s">
        <v>477</v>
      </c>
      <c r="J197" s="59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0"/>
      <c r="CD197" s="60"/>
      <c r="CE197" s="60"/>
      <c r="CF197" s="60"/>
      <c r="CG197" s="60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  <c r="CS197" s="60"/>
      <c r="CT197" s="60"/>
      <c r="CU197" s="60"/>
      <c r="CV197" s="60"/>
      <c r="CW197" s="60"/>
      <c r="CX197" s="60"/>
      <c r="CY197" s="60"/>
      <c r="CZ197" s="60"/>
      <c r="DA197" s="60"/>
      <c r="DB197" s="60"/>
      <c r="DC197" s="60"/>
      <c r="DD197" s="60"/>
      <c r="DE197" s="60"/>
      <c r="DF197" s="60"/>
      <c r="DG197" s="60"/>
      <c r="DH197" s="60"/>
      <c r="DI197" s="60"/>
      <c r="DJ197" s="60"/>
      <c r="DK197" s="60"/>
      <c r="DL197" s="60"/>
      <c r="DM197" s="60"/>
      <c r="DN197" s="60"/>
      <c r="DO197" s="60"/>
      <c r="DP197" s="60"/>
      <c r="DQ197" s="60"/>
      <c r="DR197" s="60"/>
      <c r="DS197" s="60"/>
      <c r="DT197" s="60"/>
      <c r="DU197" s="60"/>
      <c r="DV197" s="60"/>
      <c r="DW197" s="60"/>
      <c r="DX197" s="60"/>
      <c r="DY197" s="60"/>
      <c r="DZ197" s="60"/>
      <c r="EA197" s="60"/>
      <c r="EB197" s="60"/>
      <c r="EC197" s="60"/>
      <c r="ED197" s="60"/>
      <c r="EE197" s="60"/>
      <c r="EF197" s="60"/>
      <c r="EG197" s="60"/>
      <c r="EH197" s="60"/>
      <c r="EI197" s="60"/>
      <c r="EJ197" s="60"/>
      <c r="EK197" s="60"/>
      <c r="EL197" s="60"/>
      <c r="EM197" s="60"/>
      <c r="EN197" s="60"/>
      <c r="EO197" s="60"/>
      <c r="EP197" s="60"/>
      <c r="EQ197" s="60"/>
      <c r="ER197" s="60"/>
      <c r="ES197" s="60"/>
      <c r="ET197" s="60"/>
      <c r="EU197" s="60"/>
      <c r="EV197" s="60"/>
      <c r="EW197" s="60"/>
      <c r="EX197" s="60"/>
      <c r="EY197" s="60"/>
      <c r="EZ197" s="60"/>
      <c r="FA197" s="60"/>
      <c r="FB197" s="60"/>
      <c r="FC197" s="60"/>
      <c r="FD197" s="60"/>
      <c r="FE197" s="60"/>
      <c r="FF197" s="60"/>
      <c r="FG197" s="60"/>
      <c r="FH197" s="60"/>
      <c r="FI197" s="60"/>
      <c r="FJ197" s="60"/>
      <c r="FK197" s="60"/>
      <c r="FL197" s="60"/>
      <c r="FM197" s="60"/>
      <c r="FN197" s="60"/>
      <c r="FO197" s="60"/>
      <c r="FP197" s="60"/>
      <c r="FQ197" s="60"/>
      <c r="FR197" s="60"/>
      <c r="FS197" s="60"/>
      <c r="FT197" s="60"/>
      <c r="FU197" s="60"/>
      <c r="FV197" s="60"/>
      <c r="FW197" s="60"/>
      <c r="FX197" s="60"/>
      <c r="FY197" s="60"/>
      <c r="FZ197" s="60"/>
      <c r="GA197" s="60"/>
      <c r="GB197" s="60"/>
      <c r="GC197" s="60"/>
      <c r="GD197" s="60"/>
      <c r="GE197" s="60"/>
      <c r="GF197" s="60"/>
      <c r="GG197" s="60"/>
      <c r="GH197" s="60"/>
      <c r="GI197" s="60"/>
      <c r="GJ197" s="60"/>
      <c r="GK197" s="60"/>
      <c r="GL197" s="60"/>
      <c r="GM197" s="60"/>
      <c r="GN197" s="60"/>
      <c r="GO197" s="60"/>
      <c r="GP197" s="60"/>
      <c r="GQ197" s="60"/>
      <c r="GR197" s="60"/>
      <c r="GS197" s="60"/>
      <c r="GT197" s="60"/>
      <c r="GU197" s="60"/>
      <c r="GV197" s="60"/>
      <c r="GW197" s="60"/>
      <c r="GX197" s="60"/>
      <c r="GY197" s="60"/>
      <c r="GZ197" s="60"/>
      <c r="HA197" s="60"/>
      <c r="HB197" s="60"/>
      <c r="HC197" s="60"/>
      <c r="HD197" s="60"/>
      <c r="HE197" s="60"/>
      <c r="HF197" s="60"/>
      <c r="HG197" s="60"/>
      <c r="HH197" s="60"/>
      <c r="HI197" s="60"/>
      <c r="HJ197" s="60"/>
      <c r="HK197" s="60"/>
      <c r="HL197" s="60"/>
    </row>
    <row r="198" spans="1:220" s="53" customFormat="1" x14ac:dyDescent="0.15">
      <c r="A198" s="97"/>
      <c r="B198" s="91" t="s">
        <v>357</v>
      </c>
      <c r="C198" s="121" t="s">
        <v>341</v>
      </c>
      <c r="D198" s="53" t="s">
        <v>342</v>
      </c>
      <c r="G198" s="88" t="s">
        <v>477</v>
      </c>
      <c r="J198" s="59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0"/>
      <c r="CD198" s="60"/>
      <c r="CE198" s="60"/>
      <c r="CF198" s="60"/>
      <c r="CG198" s="60"/>
      <c r="CH198" s="60"/>
      <c r="CI198" s="60"/>
      <c r="CJ198" s="60"/>
      <c r="CK198" s="60"/>
      <c r="CL198" s="60"/>
      <c r="CM198" s="60"/>
      <c r="CN198" s="60"/>
      <c r="CO198" s="60"/>
      <c r="CP198" s="60"/>
      <c r="CQ198" s="60"/>
      <c r="CR198" s="60"/>
      <c r="CS198" s="60"/>
      <c r="CT198" s="60"/>
      <c r="CU198" s="60"/>
      <c r="CV198" s="60"/>
      <c r="CW198" s="60"/>
      <c r="CX198" s="60"/>
      <c r="CY198" s="60"/>
      <c r="CZ198" s="60"/>
      <c r="DA198" s="60"/>
      <c r="DB198" s="60"/>
      <c r="DC198" s="60"/>
      <c r="DD198" s="60"/>
      <c r="DE198" s="60"/>
      <c r="DF198" s="60"/>
      <c r="DG198" s="60"/>
      <c r="DH198" s="60"/>
      <c r="DI198" s="60"/>
      <c r="DJ198" s="60"/>
      <c r="DK198" s="60"/>
      <c r="DL198" s="60"/>
      <c r="DM198" s="60"/>
      <c r="DN198" s="60"/>
      <c r="DO198" s="60"/>
      <c r="DP198" s="60"/>
      <c r="DQ198" s="60"/>
      <c r="DR198" s="60"/>
      <c r="DS198" s="60"/>
      <c r="DT198" s="60"/>
      <c r="DU198" s="60"/>
      <c r="DV198" s="60"/>
      <c r="DW198" s="60"/>
      <c r="DX198" s="60"/>
      <c r="DY198" s="60"/>
      <c r="DZ198" s="60"/>
      <c r="EA198" s="60"/>
      <c r="EB198" s="60"/>
      <c r="EC198" s="60"/>
      <c r="ED198" s="60"/>
      <c r="EE198" s="60"/>
      <c r="EF198" s="60"/>
      <c r="EG198" s="60"/>
      <c r="EH198" s="60"/>
      <c r="EI198" s="60"/>
      <c r="EJ198" s="60"/>
      <c r="EK198" s="60"/>
      <c r="EL198" s="60"/>
      <c r="EM198" s="60"/>
      <c r="EN198" s="60"/>
      <c r="EO198" s="60"/>
      <c r="EP198" s="60"/>
      <c r="EQ198" s="60"/>
      <c r="ER198" s="60"/>
      <c r="ES198" s="60"/>
      <c r="ET198" s="60"/>
      <c r="EU198" s="60"/>
      <c r="EV198" s="60"/>
      <c r="EW198" s="60"/>
      <c r="EX198" s="60"/>
      <c r="EY198" s="60"/>
      <c r="EZ198" s="60"/>
      <c r="FA198" s="60"/>
      <c r="FB198" s="60"/>
      <c r="FC198" s="60"/>
      <c r="FD198" s="60"/>
      <c r="FE198" s="60"/>
      <c r="FF198" s="60"/>
      <c r="FG198" s="60"/>
      <c r="FH198" s="60"/>
      <c r="FI198" s="60"/>
      <c r="FJ198" s="60"/>
      <c r="FK198" s="60"/>
      <c r="FL198" s="60"/>
      <c r="FM198" s="60"/>
      <c r="FN198" s="60"/>
      <c r="FO198" s="60"/>
      <c r="FP198" s="60"/>
      <c r="FQ198" s="60"/>
      <c r="FR198" s="60"/>
      <c r="FS198" s="60"/>
      <c r="FT198" s="60"/>
      <c r="FU198" s="60"/>
      <c r="FV198" s="60"/>
      <c r="FW198" s="60"/>
      <c r="FX198" s="60"/>
      <c r="FY198" s="60"/>
      <c r="FZ198" s="60"/>
      <c r="GA198" s="60"/>
      <c r="GB198" s="60"/>
      <c r="GC198" s="60"/>
      <c r="GD198" s="60"/>
      <c r="GE198" s="60"/>
      <c r="GF198" s="60"/>
      <c r="GG198" s="60"/>
      <c r="GH198" s="60"/>
      <c r="GI198" s="60"/>
      <c r="GJ198" s="60"/>
      <c r="GK198" s="60"/>
      <c r="GL198" s="60"/>
      <c r="GM198" s="60"/>
      <c r="GN198" s="60"/>
      <c r="GO198" s="60"/>
      <c r="GP198" s="60"/>
      <c r="GQ198" s="60"/>
      <c r="GR198" s="60"/>
      <c r="GS198" s="60"/>
      <c r="GT198" s="60"/>
      <c r="GU198" s="60"/>
      <c r="GV198" s="60"/>
      <c r="GW198" s="60"/>
      <c r="GX198" s="60"/>
      <c r="GY198" s="60"/>
      <c r="GZ198" s="60"/>
      <c r="HA198" s="60"/>
      <c r="HB198" s="60"/>
      <c r="HC198" s="60"/>
      <c r="HD198" s="60"/>
      <c r="HE198" s="60"/>
      <c r="HF198" s="60"/>
      <c r="HG198" s="60"/>
      <c r="HH198" s="60"/>
      <c r="HI198" s="60"/>
      <c r="HJ198" s="60"/>
      <c r="HK198" s="60"/>
      <c r="HL198" s="60"/>
    </row>
    <row r="199" spans="1:220" s="53" customFormat="1" x14ac:dyDescent="0.15">
      <c r="A199" s="97"/>
      <c r="B199" s="91" t="s">
        <v>358</v>
      </c>
      <c r="C199" s="122"/>
      <c r="D199" s="53" t="s">
        <v>343</v>
      </c>
      <c r="G199" s="88" t="s">
        <v>477</v>
      </c>
      <c r="J199" s="59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0"/>
      <c r="CD199" s="60"/>
      <c r="CE199" s="60"/>
      <c r="CF199" s="60"/>
      <c r="CG199" s="60"/>
      <c r="CH199" s="60"/>
      <c r="CI199" s="60"/>
      <c r="CJ199" s="60"/>
      <c r="CK199" s="60"/>
      <c r="CL199" s="60"/>
      <c r="CM199" s="60"/>
      <c r="CN199" s="60"/>
      <c r="CO199" s="60"/>
      <c r="CP199" s="60"/>
      <c r="CQ199" s="60"/>
      <c r="CR199" s="60"/>
      <c r="CS199" s="60"/>
      <c r="CT199" s="60"/>
      <c r="CU199" s="60"/>
      <c r="CV199" s="60"/>
      <c r="CW199" s="60"/>
      <c r="CX199" s="60"/>
      <c r="CY199" s="60"/>
      <c r="CZ199" s="60"/>
      <c r="DA199" s="60"/>
      <c r="DB199" s="60"/>
      <c r="DC199" s="60"/>
      <c r="DD199" s="60"/>
      <c r="DE199" s="60"/>
      <c r="DF199" s="60"/>
      <c r="DG199" s="60"/>
      <c r="DH199" s="60"/>
      <c r="DI199" s="60"/>
      <c r="DJ199" s="60"/>
      <c r="DK199" s="60"/>
      <c r="DL199" s="60"/>
      <c r="DM199" s="60"/>
      <c r="DN199" s="60"/>
      <c r="DO199" s="60"/>
      <c r="DP199" s="60"/>
      <c r="DQ199" s="60"/>
      <c r="DR199" s="60"/>
      <c r="DS199" s="60"/>
      <c r="DT199" s="60"/>
      <c r="DU199" s="60"/>
      <c r="DV199" s="60"/>
      <c r="DW199" s="60"/>
      <c r="DX199" s="60"/>
      <c r="DY199" s="60"/>
      <c r="DZ199" s="60"/>
      <c r="EA199" s="60"/>
      <c r="EB199" s="60"/>
      <c r="EC199" s="60"/>
      <c r="ED199" s="60"/>
      <c r="EE199" s="60"/>
      <c r="EF199" s="60"/>
      <c r="EG199" s="60"/>
      <c r="EH199" s="60"/>
      <c r="EI199" s="60"/>
      <c r="EJ199" s="60"/>
      <c r="EK199" s="60"/>
      <c r="EL199" s="60"/>
      <c r="EM199" s="60"/>
      <c r="EN199" s="60"/>
      <c r="EO199" s="60"/>
      <c r="EP199" s="60"/>
      <c r="EQ199" s="60"/>
      <c r="ER199" s="60"/>
      <c r="ES199" s="60"/>
      <c r="ET199" s="60"/>
      <c r="EU199" s="60"/>
      <c r="EV199" s="60"/>
      <c r="EW199" s="60"/>
      <c r="EX199" s="60"/>
      <c r="EY199" s="60"/>
      <c r="EZ199" s="60"/>
      <c r="FA199" s="60"/>
      <c r="FB199" s="60"/>
      <c r="FC199" s="60"/>
      <c r="FD199" s="60"/>
      <c r="FE199" s="60"/>
      <c r="FF199" s="60"/>
      <c r="FG199" s="60"/>
      <c r="FH199" s="60"/>
      <c r="FI199" s="60"/>
      <c r="FJ199" s="60"/>
      <c r="FK199" s="60"/>
      <c r="FL199" s="60"/>
      <c r="FM199" s="60"/>
      <c r="FN199" s="60"/>
      <c r="FO199" s="60"/>
      <c r="FP199" s="60"/>
      <c r="FQ199" s="60"/>
      <c r="FR199" s="60"/>
      <c r="FS199" s="60"/>
      <c r="FT199" s="60"/>
      <c r="FU199" s="60"/>
      <c r="FV199" s="60"/>
      <c r="FW199" s="60"/>
      <c r="FX199" s="60"/>
      <c r="FY199" s="60"/>
      <c r="FZ199" s="60"/>
      <c r="GA199" s="60"/>
      <c r="GB199" s="60"/>
      <c r="GC199" s="60"/>
      <c r="GD199" s="60"/>
      <c r="GE199" s="60"/>
      <c r="GF199" s="60"/>
      <c r="GG199" s="60"/>
      <c r="GH199" s="60"/>
      <c r="GI199" s="60"/>
      <c r="GJ199" s="60"/>
      <c r="GK199" s="60"/>
      <c r="GL199" s="60"/>
      <c r="GM199" s="60"/>
      <c r="GN199" s="60"/>
      <c r="GO199" s="60"/>
      <c r="GP199" s="60"/>
      <c r="GQ199" s="60"/>
      <c r="GR199" s="60"/>
      <c r="GS199" s="60"/>
      <c r="GT199" s="60"/>
      <c r="GU199" s="60"/>
      <c r="GV199" s="60"/>
      <c r="GW199" s="60"/>
      <c r="GX199" s="60"/>
      <c r="GY199" s="60"/>
      <c r="GZ199" s="60"/>
      <c r="HA199" s="60"/>
      <c r="HB199" s="60"/>
      <c r="HC199" s="60"/>
      <c r="HD199" s="60"/>
      <c r="HE199" s="60"/>
      <c r="HF199" s="60"/>
      <c r="HG199" s="60"/>
      <c r="HH199" s="60"/>
      <c r="HI199" s="60"/>
      <c r="HJ199" s="60"/>
      <c r="HK199" s="60"/>
      <c r="HL199" s="60"/>
    </row>
    <row r="200" spans="1:220" s="53" customFormat="1" ht="17.25" x14ac:dyDescent="0.15">
      <c r="A200" s="97"/>
      <c r="B200" s="91" t="s">
        <v>359</v>
      </c>
      <c r="C200" s="72" t="s">
        <v>344</v>
      </c>
      <c r="D200" s="71" t="s">
        <v>345</v>
      </c>
      <c r="G200" s="88" t="s">
        <v>477</v>
      </c>
      <c r="J200" s="59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0"/>
      <c r="CD200" s="60"/>
      <c r="CE200" s="60"/>
      <c r="CF200" s="60"/>
      <c r="CG200" s="60"/>
      <c r="CH200" s="60"/>
      <c r="CI200" s="60"/>
      <c r="CJ200" s="60"/>
      <c r="CK200" s="60"/>
      <c r="CL200" s="60"/>
      <c r="CM200" s="60"/>
      <c r="CN200" s="60"/>
      <c r="CO200" s="60"/>
      <c r="CP200" s="60"/>
      <c r="CQ200" s="60"/>
      <c r="CR200" s="60"/>
      <c r="CS200" s="60"/>
      <c r="CT200" s="60"/>
      <c r="CU200" s="60"/>
      <c r="CV200" s="60"/>
      <c r="CW200" s="60"/>
      <c r="CX200" s="60"/>
      <c r="CY200" s="60"/>
      <c r="CZ200" s="60"/>
      <c r="DA200" s="60"/>
      <c r="DB200" s="60"/>
      <c r="DC200" s="60"/>
      <c r="DD200" s="60"/>
      <c r="DE200" s="60"/>
      <c r="DF200" s="60"/>
      <c r="DG200" s="60"/>
      <c r="DH200" s="60"/>
      <c r="DI200" s="60"/>
      <c r="DJ200" s="60"/>
      <c r="DK200" s="60"/>
      <c r="DL200" s="60"/>
      <c r="DM200" s="60"/>
      <c r="DN200" s="60"/>
      <c r="DO200" s="60"/>
      <c r="DP200" s="60"/>
      <c r="DQ200" s="60"/>
      <c r="DR200" s="60"/>
      <c r="DS200" s="60"/>
      <c r="DT200" s="60"/>
      <c r="DU200" s="60"/>
      <c r="DV200" s="60"/>
      <c r="DW200" s="60"/>
      <c r="DX200" s="60"/>
      <c r="DY200" s="60"/>
      <c r="DZ200" s="60"/>
      <c r="EA200" s="60"/>
      <c r="EB200" s="60"/>
      <c r="EC200" s="60"/>
      <c r="ED200" s="60"/>
      <c r="EE200" s="60"/>
      <c r="EF200" s="60"/>
      <c r="EG200" s="60"/>
      <c r="EH200" s="60"/>
      <c r="EI200" s="60"/>
      <c r="EJ200" s="60"/>
      <c r="EK200" s="60"/>
      <c r="EL200" s="60"/>
      <c r="EM200" s="60"/>
      <c r="EN200" s="60"/>
      <c r="EO200" s="60"/>
      <c r="EP200" s="60"/>
      <c r="EQ200" s="60"/>
      <c r="ER200" s="60"/>
      <c r="ES200" s="60"/>
      <c r="ET200" s="60"/>
      <c r="EU200" s="60"/>
      <c r="EV200" s="60"/>
      <c r="EW200" s="60"/>
      <c r="EX200" s="60"/>
      <c r="EY200" s="60"/>
      <c r="EZ200" s="60"/>
      <c r="FA200" s="60"/>
      <c r="FB200" s="60"/>
      <c r="FC200" s="60"/>
      <c r="FD200" s="60"/>
      <c r="FE200" s="60"/>
      <c r="FF200" s="60"/>
      <c r="FG200" s="60"/>
      <c r="FH200" s="60"/>
      <c r="FI200" s="60"/>
      <c r="FJ200" s="60"/>
      <c r="FK200" s="60"/>
      <c r="FL200" s="60"/>
      <c r="FM200" s="60"/>
      <c r="FN200" s="60"/>
      <c r="FO200" s="60"/>
      <c r="FP200" s="60"/>
      <c r="FQ200" s="60"/>
      <c r="FR200" s="60"/>
      <c r="FS200" s="60"/>
      <c r="FT200" s="60"/>
      <c r="FU200" s="60"/>
      <c r="FV200" s="60"/>
      <c r="FW200" s="60"/>
      <c r="FX200" s="60"/>
      <c r="FY200" s="60"/>
      <c r="FZ200" s="60"/>
      <c r="GA200" s="60"/>
      <c r="GB200" s="60"/>
      <c r="GC200" s="60"/>
      <c r="GD200" s="60"/>
      <c r="GE200" s="60"/>
      <c r="GF200" s="60"/>
      <c r="GG200" s="60"/>
      <c r="GH200" s="60"/>
      <c r="GI200" s="60"/>
      <c r="GJ200" s="60"/>
      <c r="GK200" s="60"/>
      <c r="GL200" s="60"/>
      <c r="GM200" s="60"/>
      <c r="GN200" s="60"/>
      <c r="GO200" s="60"/>
      <c r="GP200" s="60"/>
      <c r="GQ200" s="60"/>
      <c r="GR200" s="60"/>
      <c r="GS200" s="60"/>
      <c r="GT200" s="60"/>
      <c r="GU200" s="60"/>
      <c r="GV200" s="60"/>
      <c r="GW200" s="60"/>
      <c r="GX200" s="60"/>
      <c r="GY200" s="60"/>
      <c r="GZ200" s="60"/>
      <c r="HA200" s="60"/>
      <c r="HB200" s="60"/>
      <c r="HC200" s="60"/>
      <c r="HD200" s="60"/>
      <c r="HE200" s="60"/>
      <c r="HF200" s="60"/>
      <c r="HG200" s="60"/>
      <c r="HH200" s="60"/>
      <c r="HI200" s="60"/>
      <c r="HJ200" s="60"/>
      <c r="HK200" s="60"/>
      <c r="HL200" s="60"/>
    </row>
    <row r="201" spans="1:220" s="53" customFormat="1" ht="17.25" x14ac:dyDescent="0.15">
      <c r="A201" s="97"/>
      <c r="B201" s="91" t="s">
        <v>360</v>
      </c>
      <c r="C201" s="72" t="s">
        <v>346</v>
      </c>
      <c r="D201" s="70" t="s">
        <v>347</v>
      </c>
      <c r="G201" s="88" t="s">
        <v>477</v>
      </c>
      <c r="J201" s="59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0"/>
      <c r="CD201" s="60"/>
      <c r="CE201" s="60"/>
      <c r="CF201" s="60"/>
      <c r="CG201" s="60"/>
      <c r="CH201" s="60"/>
      <c r="CI201" s="60"/>
      <c r="CJ201" s="60"/>
      <c r="CK201" s="60"/>
      <c r="CL201" s="60"/>
      <c r="CM201" s="60"/>
      <c r="CN201" s="60"/>
      <c r="CO201" s="60"/>
      <c r="CP201" s="60"/>
      <c r="CQ201" s="60"/>
      <c r="CR201" s="60"/>
      <c r="CS201" s="60"/>
      <c r="CT201" s="60"/>
      <c r="CU201" s="60"/>
      <c r="CV201" s="60"/>
      <c r="CW201" s="60"/>
      <c r="CX201" s="60"/>
      <c r="CY201" s="60"/>
      <c r="CZ201" s="60"/>
      <c r="DA201" s="60"/>
      <c r="DB201" s="60"/>
      <c r="DC201" s="60"/>
      <c r="DD201" s="60"/>
      <c r="DE201" s="60"/>
      <c r="DF201" s="60"/>
      <c r="DG201" s="60"/>
      <c r="DH201" s="60"/>
      <c r="DI201" s="60"/>
      <c r="DJ201" s="60"/>
      <c r="DK201" s="60"/>
      <c r="DL201" s="60"/>
      <c r="DM201" s="60"/>
      <c r="DN201" s="60"/>
      <c r="DO201" s="60"/>
      <c r="DP201" s="60"/>
      <c r="DQ201" s="60"/>
      <c r="DR201" s="60"/>
      <c r="DS201" s="60"/>
      <c r="DT201" s="60"/>
      <c r="DU201" s="60"/>
      <c r="DV201" s="60"/>
      <c r="DW201" s="60"/>
      <c r="DX201" s="60"/>
      <c r="DY201" s="60"/>
      <c r="DZ201" s="60"/>
      <c r="EA201" s="60"/>
      <c r="EB201" s="60"/>
      <c r="EC201" s="60"/>
      <c r="ED201" s="60"/>
      <c r="EE201" s="60"/>
      <c r="EF201" s="60"/>
      <c r="EG201" s="60"/>
      <c r="EH201" s="60"/>
      <c r="EI201" s="60"/>
      <c r="EJ201" s="60"/>
      <c r="EK201" s="60"/>
      <c r="EL201" s="60"/>
      <c r="EM201" s="60"/>
      <c r="EN201" s="60"/>
      <c r="EO201" s="60"/>
      <c r="EP201" s="60"/>
      <c r="EQ201" s="60"/>
      <c r="ER201" s="60"/>
      <c r="ES201" s="60"/>
      <c r="ET201" s="60"/>
      <c r="EU201" s="60"/>
      <c r="EV201" s="60"/>
      <c r="EW201" s="60"/>
      <c r="EX201" s="60"/>
      <c r="EY201" s="60"/>
      <c r="EZ201" s="60"/>
      <c r="FA201" s="60"/>
      <c r="FB201" s="60"/>
      <c r="FC201" s="60"/>
      <c r="FD201" s="60"/>
      <c r="FE201" s="60"/>
      <c r="FF201" s="60"/>
      <c r="FG201" s="60"/>
      <c r="FH201" s="60"/>
      <c r="FI201" s="60"/>
      <c r="FJ201" s="60"/>
      <c r="FK201" s="60"/>
      <c r="FL201" s="60"/>
      <c r="FM201" s="60"/>
      <c r="FN201" s="60"/>
      <c r="FO201" s="60"/>
      <c r="FP201" s="60"/>
      <c r="FQ201" s="60"/>
      <c r="FR201" s="60"/>
      <c r="FS201" s="60"/>
      <c r="FT201" s="60"/>
      <c r="FU201" s="60"/>
      <c r="FV201" s="60"/>
      <c r="FW201" s="60"/>
      <c r="FX201" s="60"/>
      <c r="FY201" s="60"/>
      <c r="FZ201" s="60"/>
      <c r="GA201" s="60"/>
      <c r="GB201" s="60"/>
      <c r="GC201" s="60"/>
      <c r="GD201" s="60"/>
      <c r="GE201" s="60"/>
      <c r="GF201" s="60"/>
      <c r="GG201" s="60"/>
      <c r="GH201" s="60"/>
      <c r="GI201" s="60"/>
      <c r="GJ201" s="60"/>
      <c r="GK201" s="60"/>
      <c r="GL201" s="60"/>
      <c r="GM201" s="60"/>
      <c r="GN201" s="60"/>
      <c r="GO201" s="60"/>
      <c r="GP201" s="60"/>
      <c r="GQ201" s="60"/>
      <c r="GR201" s="60"/>
      <c r="GS201" s="60"/>
      <c r="GT201" s="60"/>
      <c r="GU201" s="60"/>
      <c r="GV201" s="60"/>
      <c r="GW201" s="60"/>
      <c r="GX201" s="60"/>
      <c r="GY201" s="60"/>
      <c r="GZ201" s="60"/>
      <c r="HA201" s="60"/>
      <c r="HB201" s="60"/>
      <c r="HC201" s="60"/>
      <c r="HD201" s="60"/>
      <c r="HE201" s="60"/>
      <c r="HF201" s="60"/>
      <c r="HG201" s="60"/>
      <c r="HH201" s="60"/>
      <c r="HI201" s="60"/>
      <c r="HJ201" s="60"/>
      <c r="HK201" s="60"/>
      <c r="HL201" s="60"/>
    </row>
    <row r="202" spans="1:220" s="53" customFormat="1" x14ac:dyDescent="0.15">
      <c r="A202" s="97"/>
      <c r="B202" s="91" t="s">
        <v>361</v>
      </c>
      <c r="C202" s="53" t="s">
        <v>339</v>
      </c>
      <c r="D202" s="53" t="s">
        <v>340</v>
      </c>
      <c r="G202" s="88" t="s">
        <v>477</v>
      </c>
      <c r="J202" s="59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  <c r="CA202" s="60"/>
      <c r="CB202" s="60"/>
      <c r="CC202" s="60"/>
      <c r="CD202" s="60"/>
      <c r="CE202" s="60"/>
      <c r="CF202" s="60"/>
      <c r="CG202" s="60"/>
      <c r="CH202" s="60"/>
      <c r="CI202" s="60"/>
      <c r="CJ202" s="60"/>
      <c r="CK202" s="60"/>
      <c r="CL202" s="60"/>
      <c r="CM202" s="60"/>
      <c r="CN202" s="60"/>
      <c r="CO202" s="60"/>
      <c r="CP202" s="60"/>
      <c r="CQ202" s="60"/>
      <c r="CR202" s="60"/>
      <c r="CS202" s="60"/>
      <c r="CT202" s="60"/>
      <c r="CU202" s="60"/>
      <c r="CV202" s="60"/>
      <c r="CW202" s="60"/>
      <c r="CX202" s="60"/>
      <c r="CY202" s="60"/>
      <c r="CZ202" s="60"/>
      <c r="DA202" s="60"/>
      <c r="DB202" s="60"/>
      <c r="DC202" s="60"/>
      <c r="DD202" s="60"/>
      <c r="DE202" s="60"/>
      <c r="DF202" s="60"/>
      <c r="DG202" s="60"/>
      <c r="DH202" s="60"/>
      <c r="DI202" s="60"/>
      <c r="DJ202" s="60"/>
      <c r="DK202" s="60"/>
      <c r="DL202" s="60"/>
      <c r="DM202" s="60"/>
      <c r="DN202" s="60"/>
      <c r="DO202" s="60"/>
      <c r="DP202" s="60"/>
      <c r="DQ202" s="60"/>
      <c r="DR202" s="60"/>
      <c r="DS202" s="60"/>
      <c r="DT202" s="60"/>
      <c r="DU202" s="60"/>
      <c r="DV202" s="60"/>
      <c r="DW202" s="60"/>
      <c r="DX202" s="60"/>
      <c r="DY202" s="60"/>
      <c r="DZ202" s="60"/>
      <c r="EA202" s="60"/>
      <c r="EB202" s="60"/>
      <c r="EC202" s="60"/>
      <c r="ED202" s="60"/>
      <c r="EE202" s="60"/>
      <c r="EF202" s="60"/>
      <c r="EG202" s="60"/>
      <c r="EH202" s="60"/>
      <c r="EI202" s="60"/>
      <c r="EJ202" s="60"/>
      <c r="EK202" s="60"/>
      <c r="EL202" s="60"/>
      <c r="EM202" s="60"/>
      <c r="EN202" s="60"/>
      <c r="EO202" s="60"/>
      <c r="EP202" s="60"/>
      <c r="EQ202" s="60"/>
      <c r="ER202" s="60"/>
      <c r="ES202" s="60"/>
      <c r="ET202" s="60"/>
      <c r="EU202" s="60"/>
      <c r="EV202" s="60"/>
      <c r="EW202" s="60"/>
      <c r="EX202" s="60"/>
      <c r="EY202" s="60"/>
      <c r="EZ202" s="60"/>
      <c r="FA202" s="60"/>
      <c r="FB202" s="60"/>
      <c r="FC202" s="60"/>
      <c r="FD202" s="60"/>
      <c r="FE202" s="60"/>
      <c r="FF202" s="60"/>
      <c r="FG202" s="60"/>
      <c r="FH202" s="60"/>
      <c r="FI202" s="60"/>
      <c r="FJ202" s="60"/>
      <c r="FK202" s="60"/>
      <c r="FL202" s="60"/>
      <c r="FM202" s="60"/>
      <c r="FN202" s="60"/>
      <c r="FO202" s="60"/>
      <c r="FP202" s="60"/>
      <c r="FQ202" s="60"/>
      <c r="FR202" s="60"/>
      <c r="FS202" s="60"/>
      <c r="FT202" s="60"/>
      <c r="FU202" s="60"/>
      <c r="FV202" s="60"/>
      <c r="FW202" s="60"/>
      <c r="FX202" s="60"/>
      <c r="FY202" s="60"/>
      <c r="FZ202" s="60"/>
      <c r="GA202" s="60"/>
      <c r="GB202" s="60"/>
      <c r="GC202" s="60"/>
      <c r="GD202" s="60"/>
      <c r="GE202" s="60"/>
      <c r="GF202" s="60"/>
      <c r="GG202" s="60"/>
      <c r="GH202" s="60"/>
      <c r="GI202" s="60"/>
      <c r="GJ202" s="60"/>
      <c r="GK202" s="60"/>
      <c r="GL202" s="60"/>
      <c r="GM202" s="60"/>
      <c r="GN202" s="60"/>
      <c r="GO202" s="60"/>
      <c r="GP202" s="60"/>
      <c r="GQ202" s="60"/>
      <c r="GR202" s="60"/>
      <c r="GS202" s="60"/>
      <c r="GT202" s="60"/>
      <c r="GU202" s="60"/>
      <c r="GV202" s="60"/>
      <c r="GW202" s="60"/>
      <c r="GX202" s="60"/>
      <c r="GY202" s="60"/>
      <c r="GZ202" s="60"/>
      <c r="HA202" s="60"/>
      <c r="HB202" s="60"/>
      <c r="HC202" s="60"/>
      <c r="HD202" s="60"/>
      <c r="HE202" s="60"/>
      <c r="HF202" s="60"/>
      <c r="HG202" s="60"/>
      <c r="HH202" s="60"/>
      <c r="HI202" s="60"/>
      <c r="HJ202" s="60"/>
      <c r="HK202" s="60"/>
      <c r="HL202" s="60"/>
    </row>
    <row r="203" spans="1:220" s="53" customFormat="1" ht="16.5" customHeight="1" x14ac:dyDescent="0.15">
      <c r="A203" s="98" t="s">
        <v>335</v>
      </c>
      <c r="B203" s="91" t="s">
        <v>420</v>
      </c>
      <c r="C203" s="100" t="s">
        <v>584</v>
      </c>
      <c r="D203" s="64" t="s">
        <v>320</v>
      </c>
      <c r="G203" s="88" t="s">
        <v>477</v>
      </c>
      <c r="H203" s="54"/>
      <c r="I203" s="54"/>
      <c r="J203" s="59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  <c r="CA203" s="60"/>
      <c r="CB203" s="60"/>
      <c r="CC203" s="60"/>
      <c r="CD203" s="60"/>
      <c r="CE203" s="60"/>
      <c r="CF203" s="60"/>
      <c r="CG203" s="60"/>
      <c r="CH203" s="60"/>
      <c r="CI203" s="60"/>
      <c r="CJ203" s="60"/>
      <c r="CK203" s="60"/>
      <c r="CL203" s="60"/>
      <c r="CM203" s="60"/>
      <c r="CN203" s="60"/>
      <c r="CO203" s="60"/>
      <c r="CP203" s="60"/>
      <c r="CQ203" s="60"/>
      <c r="CR203" s="60"/>
      <c r="CS203" s="60"/>
      <c r="CT203" s="60"/>
      <c r="CU203" s="60"/>
      <c r="CV203" s="60"/>
      <c r="CW203" s="60"/>
      <c r="CX203" s="60"/>
      <c r="CY203" s="60"/>
      <c r="CZ203" s="60"/>
      <c r="DA203" s="60"/>
      <c r="DB203" s="60"/>
      <c r="DC203" s="60"/>
      <c r="DD203" s="60"/>
      <c r="DE203" s="60"/>
      <c r="DF203" s="60"/>
      <c r="DG203" s="60"/>
      <c r="DH203" s="60"/>
      <c r="DI203" s="60"/>
      <c r="DJ203" s="60"/>
      <c r="DK203" s="60"/>
      <c r="DL203" s="60"/>
      <c r="DM203" s="60"/>
      <c r="DN203" s="60"/>
      <c r="DO203" s="60"/>
      <c r="DP203" s="60"/>
      <c r="DQ203" s="60"/>
      <c r="DR203" s="60"/>
      <c r="DS203" s="60"/>
      <c r="DT203" s="60"/>
      <c r="DU203" s="60"/>
      <c r="DV203" s="60"/>
      <c r="DW203" s="60"/>
      <c r="DX203" s="60"/>
      <c r="DY203" s="60"/>
      <c r="DZ203" s="60"/>
      <c r="EA203" s="60"/>
      <c r="EB203" s="60"/>
      <c r="EC203" s="60"/>
      <c r="ED203" s="60"/>
      <c r="EE203" s="60"/>
      <c r="EF203" s="60"/>
      <c r="EG203" s="60"/>
      <c r="EH203" s="60"/>
      <c r="EI203" s="60"/>
      <c r="EJ203" s="60"/>
      <c r="EK203" s="60"/>
      <c r="EL203" s="60"/>
      <c r="EM203" s="60"/>
      <c r="EN203" s="60"/>
      <c r="EO203" s="60"/>
      <c r="EP203" s="60"/>
      <c r="EQ203" s="60"/>
      <c r="ER203" s="60"/>
      <c r="ES203" s="60"/>
      <c r="ET203" s="60"/>
      <c r="EU203" s="60"/>
      <c r="EV203" s="60"/>
      <c r="EW203" s="60"/>
      <c r="EX203" s="60"/>
      <c r="EY203" s="60"/>
      <c r="EZ203" s="60"/>
      <c r="FA203" s="60"/>
      <c r="FB203" s="60"/>
      <c r="FC203" s="60"/>
      <c r="FD203" s="60"/>
      <c r="FE203" s="60"/>
      <c r="FF203" s="60"/>
      <c r="FG203" s="60"/>
      <c r="FH203" s="60"/>
      <c r="FI203" s="60"/>
      <c r="FJ203" s="60"/>
      <c r="FK203" s="60"/>
      <c r="FL203" s="60"/>
      <c r="FM203" s="60"/>
      <c r="FN203" s="60"/>
      <c r="FO203" s="60"/>
      <c r="FP203" s="60"/>
      <c r="FQ203" s="60"/>
      <c r="FR203" s="60"/>
      <c r="FS203" s="60"/>
      <c r="FT203" s="60"/>
      <c r="FU203" s="60"/>
      <c r="FV203" s="60"/>
      <c r="FW203" s="60"/>
      <c r="FX203" s="60"/>
      <c r="FY203" s="60"/>
      <c r="FZ203" s="60"/>
      <c r="GA203" s="60"/>
      <c r="GB203" s="60"/>
      <c r="GC203" s="60"/>
      <c r="GD203" s="60"/>
      <c r="GE203" s="60"/>
      <c r="GF203" s="60"/>
      <c r="GG203" s="60"/>
      <c r="GH203" s="60"/>
      <c r="GI203" s="60"/>
      <c r="GJ203" s="60"/>
      <c r="GK203" s="60"/>
      <c r="GL203" s="60"/>
      <c r="GM203" s="60"/>
      <c r="GN203" s="60"/>
      <c r="GO203" s="60"/>
      <c r="GP203" s="60"/>
      <c r="GQ203" s="60"/>
      <c r="GR203" s="60"/>
      <c r="GS203" s="60"/>
      <c r="GT203" s="60"/>
      <c r="GU203" s="60"/>
      <c r="GV203" s="60"/>
      <c r="GW203" s="60"/>
      <c r="GX203" s="60"/>
      <c r="GY203" s="60"/>
      <c r="GZ203" s="60"/>
      <c r="HA203" s="60"/>
      <c r="HB203" s="60"/>
      <c r="HC203" s="60"/>
      <c r="HD203" s="60"/>
      <c r="HE203" s="60"/>
      <c r="HF203" s="60"/>
      <c r="HG203" s="60"/>
      <c r="HH203" s="60"/>
      <c r="HI203" s="60"/>
      <c r="HJ203" s="60"/>
      <c r="HK203" s="60"/>
      <c r="HL203" s="60"/>
    </row>
    <row r="204" spans="1:220" s="61" customFormat="1" ht="16.5" customHeight="1" x14ac:dyDescent="0.15">
      <c r="A204" s="99"/>
      <c r="B204" s="91" t="s">
        <v>421</v>
      </c>
      <c r="C204" s="101"/>
      <c r="D204" s="64" t="s">
        <v>321</v>
      </c>
      <c r="E204" s="53"/>
      <c r="F204" s="53"/>
      <c r="G204" s="88" t="s">
        <v>477</v>
      </c>
      <c r="H204" s="54"/>
      <c r="I204" s="54"/>
      <c r="J204" s="53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  <c r="CA204" s="60"/>
      <c r="CB204" s="60"/>
      <c r="CC204" s="60"/>
      <c r="CD204" s="60"/>
      <c r="CE204" s="60"/>
      <c r="CF204" s="60"/>
      <c r="CG204" s="60"/>
      <c r="CH204" s="60"/>
      <c r="CI204" s="60"/>
      <c r="CJ204" s="60"/>
      <c r="CK204" s="60"/>
      <c r="CL204" s="60"/>
      <c r="CM204" s="60"/>
      <c r="CN204" s="60"/>
      <c r="CO204" s="60"/>
      <c r="CP204" s="60"/>
      <c r="CQ204" s="60"/>
      <c r="CR204" s="60"/>
      <c r="CS204" s="60"/>
      <c r="CT204" s="60"/>
      <c r="CU204" s="60"/>
      <c r="CV204" s="60"/>
      <c r="CW204" s="60"/>
      <c r="CX204" s="60"/>
      <c r="CY204" s="60"/>
      <c r="CZ204" s="60"/>
      <c r="DA204" s="60"/>
      <c r="DB204" s="60"/>
      <c r="DC204" s="60"/>
      <c r="DD204" s="60"/>
      <c r="DE204" s="60"/>
      <c r="DF204" s="60"/>
      <c r="DG204" s="60"/>
      <c r="DH204" s="60"/>
      <c r="DI204" s="60"/>
      <c r="DJ204" s="60"/>
      <c r="DK204" s="60"/>
      <c r="DL204" s="60"/>
      <c r="DM204" s="60"/>
      <c r="DN204" s="60"/>
      <c r="DO204" s="60"/>
      <c r="DP204" s="60"/>
      <c r="DQ204" s="60"/>
      <c r="DR204" s="60"/>
      <c r="DS204" s="60"/>
      <c r="DT204" s="60"/>
      <c r="DU204" s="60"/>
      <c r="DV204" s="60"/>
      <c r="DW204" s="60"/>
      <c r="DX204" s="60"/>
      <c r="DY204" s="60"/>
      <c r="DZ204" s="60"/>
      <c r="EA204" s="60"/>
      <c r="EB204" s="60"/>
      <c r="EC204" s="60"/>
      <c r="ED204" s="60"/>
      <c r="EE204" s="60"/>
      <c r="EF204" s="60"/>
      <c r="EG204" s="60"/>
      <c r="EH204" s="60"/>
      <c r="EI204" s="60"/>
      <c r="EJ204" s="60"/>
      <c r="EK204" s="60"/>
      <c r="EL204" s="60"/>
      <c r="EM204" s="60"/>
      <c r="EN204" s="60"/>
      <c r="EO204" s="60"/>
      <c r="EP204" s="60"/>
      <c r="EQ204" s="60"/>
      <c r="ER204" s="60"/>
      <c r="ES204" s="60"/>
      <c r="ET204" s="60"/>
      <c r="EU204" s="60"/>
      <c r="EV204" s="60"/>
      <c r="EW204" s="60"/>
      <c r="EX204" s="60"/>
      <c r="EY204" s="60"/>
      <c r="EZ204" s="60"/>
      <c r="FA204" s="60"/>
      <c r="FB204" s="60"/>
      <c r="FC204" s="60"/>
      <c r="FD204" s="60"/>
      <c r="FE204" s="60"/>
      <c r="FF204" s="60"/>
      <c r="FG204" s="60"/>
      <c r="FH204" s="60"/>
      <c r="FI204" s="60"/>
      <c r="FJ204" s="60"/>
      <c r="FK204" s="60"/>
      <c r="FL204" s="60"/>
      <c r="FM204" s="60"/>
      <c r="FN204" s="60"/>
      <c r="FO204" s="60"/>
      <c r="FP204" s="60"/>
      <c r="FQ204" s="60"/>
      <c r="FR204" s="60"/>
      <c r="FS204" s="60"/>
      <c r="FT204" s="60"/>
      <c r="FU204" s="60"/>
      <c r="FV204" s="60"/>
      <c r="FW204" s="60"/>
      <c r="FX204" s="60"/>
      <c r="FY204" s="60"/>
      <c r="FZ204" s="60"/>
      <c r="GA204" s="60"/>
      <c r="GB204" s="60"/>
      <c r="GC204" s="60"/>
      <c r="GD204" s="60"/>
      <c r="GE204" s="60"/>
      <c r="GF204" s="60"/>
      <c r="GG204" s="60"/>
      <c r="GH204" s="60"/>
      <c r="GI204" s="60"/>
      <c r="GJ204" s="60"/>
      <c r="GK204" s="60"/>
      <c r="GL204" s="60"/>
      <c r="GM204" s="60"/>
      <c r="GN204" s="60"/>
      <c r="GO204" s="60"/>
      <c r="GP204" s="60"/>
      <c r="GQ204" s="60"/>
      <c r="GR204" s="60"/>
      <c r="GS204" s="60"/>
      <c r="GT204" s="60"/>
      <c r="GU204" s="60"/>
      <c r="GV204" s="60"/>
      <c r="GW204" s="60"/>
      <c r="GX204" s="60"/>
      <c r="GY204" s="60"/>
      <c r="GZ204" s="60"/>
      <c r="HA204" s="60"/>
      <c r="HB204" s="60"/>
      <c r="HC204" s="60"/>
      <c r="HD204" s="60"/>
      <c r="HE204" s="60"/>
      <c r="HF204" s="60"/>
      <c r="HG204" s="60"/>
      <c r="HH204" s="60"/>
      <c r="HI204" s="60"/>
      <c r="HJ204" s="60"/>
      <c r="HK204" s="60"/>
      <c r="HL204" s="60"/>
    </row>
    <row r="205" spans="1:220" s="57" customFormat="1" ht="16.5" customHeight="1" x14ac:dyDescent="0.15">
      <c r="A205" s="99"/>
      <c r="B205" s="91" t="s">
        <v>518</v>
      </c>
      <c r="C205" s="103"/>
      <c r="D205" s="64" t="s">
        <v>322</v>
      </c>
      <c r="E205" s="53"/>
      <c r="F205" s="53"/>
      <c r="G205" s="88" t="s">
        <v>477</v>
      </c>
      <c r="H205" s="54"/>
      <c r="I205" s="54"/>
      <c r="J205" s="59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  <c r="BV205" s="56"/>
      <c r="BW205" s="56"/>
      <c r="BX205" s="56"/>
      <c r="BY205" s="56"/>
      <c r="BZ205" s="56"/>
      <c r="CA205" s="56"/>
      <c r="CB205" s="56"/>
      <c r="CC205" s="56"/>
      <c r="CD205" s="56"/>
      <c r="CE205" s="56"/>
      <c r="CF205" s="56"/>
      <c r="CG205" s="56"/>
      <c r="CH205" s="56"/>
      <c r="CI205" s="56"/>
      <c r="CJ205" s="56"/>
      <c r="CK205" s="56"/>
      <c r="CL205" s="56"/>
      <c r="CM205" s="56"/>
      <c r="CN205" s="56"/>
      <c r="CO205" s="56"/>
      <c r="CP205" s="56"/>
      <c r="CQ205" s="56"/>
      <c r="CR205" s="56"/>
      <c r="CS205" s="56"/>
      <c r="CT205" s="56"/>
      <c r="CU205" s="56"/>
      <c r="CV205" s="56"/>
      <c r="CW205" s="56"/>
      <c r="CX205" s="56"/>
      <c r="CY205" s="56"/>
      <c r="CZ205" s="56"/>
      <c r="DA205" s="56"/>
      <c r="DB205" s="56"/>
      <c r="DC205" s="56"/>
      <c r="DD205" s="56"/>
      <c r="DE205" s="56"/>
      <c r="DF205" s="56"/>
      <c r="DG205" s="56"/>
      <c r="DH205" s="56"/>
      <c r="DI205" s="56"/>
      <c r="DJ205" s="56"/>
      <c r="DK205" s="56"/>
      <c r="DL205" s="56"/>
      <c r="DM205" s="56"/>
      <c r="DN205" s="56"/>
      <c r="DO205" s="56"/>
      <c r="DP205" s="56"/>
      <c r="DQ205" s="56"/>
      <c r="DR205" s="56"/>
      <c r="DS205" s="56"/>
      <c r="DT205" s="56"/>
      <c r="DU205" s="56"/>
      <c r="DV205" s="56"/>
      <c r="DW205" s="56"/>
      <c r="DX205" s="56"/>
      <c r="DY205" s="56"/>
      <c r="DZ205" s="56"/>
      <c r="EA205" s="56"/>
      <c r="EB205" s="56"/>
      <c r="EC205" s="56"/>
      <c r="ED205" s="56"/>
      <c r="EE205" s="56"/>
      <c r="EF205" s="56"/>
      <c r="EG205" s="56"/>
      <c r="EH205" s="56"/>
      <c r="EI205" s="56"/>
      <c r="EJ205" s="56"/>
      <c r="EK205" s="56"/>
      <c r="EL205" s="56"/>
      <c r="EM205" s="56"/>
      <c r="EN205" s="56"/>
      <c r="EO205" s="56"/>
      <c r="EP205" s="56"/>
      <c r="EQ205" s="56"/>
      <c r="ER205" s="56"/>
      <c r="ES205" s="56"/>
      <c r="ET205" s="56"/>
      <c r="EU205" s="56"/>
      <c r="EV205" s="56"/>
      <c r="EW205" s="56"/>
      <c r="EX205" s="56"/>
      <c r="EY205" s="56"/>
      <c r="EZ205" s="56"/>
      <c r="FA205" s="56"/>
      <c r="FB205" s="56"/>
      <c r="FC205" s="56"/>
      <c r="FD205" s="56"/>
      <c r="FE205" s="56"/>
      <c r="FF205" s="56"/>
      <c r="FG205" s="56"/>
      <c r="FH205" s="56"/>
      <c r="FI205" s="56"/>
      <c r="FJ205" s="56"/>
      <c r="FK205" s="56"/>
      <c r="FL205" s="56"/>
      <c r="FM205" s="56"/>
      <c r="FN205" s="56"/>
      <c r="FO205" s="56"/>
      <c r="FP205" s="56"/>
      <c r="FQ205" s="56"/>
      <c r="FR205" s="56"/>
      <c r="FS205" s="56"/>
      <c r="FT205" s="56"/>
      <c r="FU205" s="56"/>
      <c r="FV205" s="56"/>
      <c r="FW205" s="56"/>
      <c r="FX205" s="56"/>
      <c r="FY205" s="56"/>
      <c r="FZ205" s="56"/>
      <c r="GA205" s="56"/>
      <c r="GB205" s="56"/>
      <c r="GC205" s="56"/>
      <c r="GD205" s="56"/>
      <c r="GE205" s="56"/>
      <c r="GF205" s="56"/>
      <c r="GG205" s="56"/>
      <c r="GH205" s="56"/>
      <c r="GI205" s="56"/>
      <c r="GJ205" s="56"/>
      <c r="GK205" s="56"/>
      <c r="GL205" s="56"/>
      <c r="GM205" s="56"/>
      <c r="GN205" s="56"/>
      <c r="GO205" s="56"/>
      <c r="GP205" s="56"/>
      <c r="GQ205" s="56"/>
      <c r="GR205" s="56"/>
      <c r="GS205" s="56"/>
      <c r="GT205" s="56"/>
      <c r="GU205" s="56"/>
      <c r="GV205" s="56"/>
      <c r="GW205" s="56"/>
      <c r="GX205" s="56"/>
      <c r="GY205" s="56"/>
      <c r="GZ205" s="56"/>
      <c r="HA205" s="56"/>
      <c r="HB205" s="56"/>
      <c r="HC205" s="56"/>
      <c r="HD205" s="56"/>
      <c r="HE205" s="56"/>
      <c r="HF205" s="56"/>
      <c r="HG205" s="56"/>
      <c r="HH205" s="56"/>
      <c r="HI205" s="56"/>
      <c r="HJ205" s="56"/>
      <c r="HK205" s="56"/>
      <c r="HL205" s="56"/>
    </row>
    <row r="206" spans="1:220" s="53" customFormat="1" ht="16.5" customHeight="1" x14ac:dyDescent="0.15">
      <c r="A206" s="99"/>
      <c r="B206" s="91" t="s">
        <v>422</v>
      </c>
      <c r="C206" s="100" t="s">
        <v>585</v>
      </c>
      <c r="D206" s="67" t="s">
        <v>320</v>
      </c>
      <c r="G206" s="88" t="s">
        <v>477</v>
      </c>
      <c r="J206" s="59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0"/>
      <c r="CD206" s="60"/>
      <c r="CE206" s="60"/>
      <c r="CF206" s="60"/>
      <c r="CG206" s="60"/>
      <c r="CH206" s="60"/>
      <c r="CI206" s="60"/>
      <c r="CJ206" s="60"/>
      <c r="CK206" s="60"/>
      <c r="CL206" s="60"/>
      <c r="CM206" s="60"/>
      <c r="CN206" s="60"/>
      <c r="CO206" s="60"/>
      <c r="CP206" s="60"/>
      <c r="CQ206" s="60"/>
      <c r="CR206" s="60"/>
      <c r="CS206" s="60"/>
      <c r="CT206" s="60"/>
      <c r="CU206" s="60"/>
      <c r="CV206" s="60"/>
      <c r="CW206" s="60"/>
      <c r="CX206" s="60"/>
      <c r="CY206" s="60"/>
      <c r="CZ206" s="60"/>
      <c r="DA206" s="60"/>
      <c r="DB206" s="60"/>
      <c r="DC206" s="60"/>
      <c r="DD206" s="60"/>
      <c r="DE206" s="60"/>
      <c r="DF206" s="60"/>
      <c r="DG206" s="60"/>
      <c r="DH206" s="60"/>
      <c r="DI206" s="60"/>
      <c r="DJ206" s="60"/>
      <c r="DK206" s="60"/>
      <c r="DL206" s="60"/>
      <c r="DM206" s="60"/>
      <c r="DN206" s="60"/>
      <c r="DO206" s="60"/>
      <c r="DP206" s="60"/>
      <c r="DQ206" s="60"/>
      <c r="DR206" s="60"/>
      <c r="DS206" s="60"/>
      <c r="DT206" s="60"/>
      <c r="DU206" s="60"/>
      <c r="DV206" s="60"/>
      <c r="DW206" s="60"/>
      <c r="DX206" s="60"/>
      <c r="DY206" s="60"/>
      <c r="DZ206" s="60"/>
      <c r="EA206" s="60"/>
      <c r="EB206" s="60"/>
      <c r="EC206" s="60"/>
      <c r="ED206" s="60"/>
      <c r="EE206" s="60"/>
      <c r="EF206" s="60"/>
      <c r="EG206" s="60"/>
      <c r="EH206" s="60"/>
      <c r="EI206" s="60"/>
      <c r="EJ206" s="60"/>
      <c r="EK206" s="60"/>
      <c r="EL206" s="60"/>
      <c r="EM206" s="60"/>
      <c r="EN206" s="60"/>
      <c r="EO206" s="60"/>
      <c r="EP206" s="60"/>
      <c r="EQ206" s="60"/>
      <c r="ER206" s="60"/>
      <c r="ES206" s="60"/>
      <c r="ET206" s="60"/>
      <c r="EU206" s="60"/>
      <c r="EV206" s="60"/>
      <c r="EW206" s="60"/>
      <c r="EX206" s="60"/>
      <c r="EY206" s="60"/>
      <c r="EZ206" s="60"/>
      <c r="FA206" s="60"/>
      <c r="FB206" s="60"/>
      <c r="FC206" s="60"/>
      <c r="FD206" s="60"/>
      <c r="FE206" s="60"/>
      <c r="FF206" s="60"/>
      <c r="FG206" s="60"/>
      <c r="FH206" s="60"/>
      <c r="FI206" s="60"/>
      <c r="FJ206" s="60"/>
      <c r="FK206" s="60"/>
      <c r="FL206" s="60"/>
      <c r="FM206" s="60"/>
      <c r="FN206" s="60"/>
      <c r="FO206" s="60"/>
      <c r="FP206" s="60"/>
      <c r="FQ206" s="60"/>
      <c r="FR206" s="60"/>
      <c r="FS206" s="60"/>
      <c r="FT206" s="60"/>
      <c r="FU206" s="60"/>
      <c r="FV206" s="60"/>
      <c r="FW206" s="60"/>
      <c r="FX206" s="60"/>
      <c r="FY206" s="60"/>
      <c r="FZ206" s="60"/>
      <c r="GA206" s="60"/>
      <c r="GB206" s="60"/>
      <c r="GC206" s="60"/>
      <c r="GD206" s="60"/>
      <c r="GE206" s="60"/>
      <c r="GF206" s="60"/>
      <c r="GG206" s="60"/>
      <c r="GH206" s="60"/>
      <c r="GI206" s="60"/>
      <c r="GJ206" s="60"/>
      <c r="GK206" s="60"/>
      <c r="GL206" s="60"/>
      <c r="GM206" s="60"/>
      <c r="GN206" s="60"/>
      <c r="GO206" s="60"/>
      <c r="GP206" s="60"/>
      <c r="GQ206" s="60"/>
      <c r="GR206" s="60"/>
      <c r="GS206" s="60"/>
      <c r="GT206" s="60"/>
      <c r="GU206" s="60"/>
      <c r="GV206" s="60"/>
      <c r="GW206" s="60"/>
      <c r="GX206" s="60"/>
      <c r="GY206" s="60"/>
      <c r="GZ206" s="60"/>
      <c r="HA206" s="60"/>
      <c r="HB206" s="60"/>
      <c r="HC206" s="60"/>
      <c r="HD206" s="60"/>
      <c r="HE206" s="60"/>
      <c r="HF206" s="60"/>
      <c r="HG206" s="60"/>
      <c r="HH206" s="60"/>
      <c r="HI206" s="60"/>
      <c r="HJ206" s="60"/>
      <c r="HK206" s="60"/>
      <c r="HL206" s="60"/>
    </row>
    <row r="207" spans="1:220" s="53" customFormat="1" ht="16.5" customHeight="1" x14ac:dyDescent="0.15">
      <c r="A207" s="99"/>
      <c r="B207" s="91" t="s">
        <v>423</v>
      </c>
      <c r="C207" s="101"/>
      <c r="D207" s="67" t="s">
        <v>323</v>
      </c>
      <c r="G207" s="88" t="s">
        <v>477</v>
      </c>
      <c r="J207" s="59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0"/>
      <c r="CD207" s="60"/>
      <c r="CE207" s="60"/>
      <c r="CF207" s="60"/>
      <c r="CG207" s="60"/>
      <c r="CH207" s="60"/>
      <c r="CI207" s="60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60"/>
      <c r="CV207" s="60"/>
      <c r="CW207" s="60"/>
      <c r="CX207" s="60"/>
      <c r="CY207" s="60"/>
      <c r="CZ207" s="60"/>
      <c r="DA207" s="60"/>
      <c r="DB207" s="60"/>
      <c r="DC207" s="60"/>
      <c r="DD207" s="60"/>
      <c r="DE207" s="60"/>
      <c r="DF207" s="60"/>
      <c r="DG207" s="60"/>
      <c r="DH207" s="60"/>
      <c r="DI207" s="60"/>
      <c r="DJ207" s="60"/>
      <c r="DK207" s="60"/>
      <c r="DL207" s="60"/>
      <c r="DM207" s="60"/>
      <c r="DN207" s="60"/>
      <c r="DO207" s="60"/>
      <c r="DP207" s="60"/>
      <c r="DQ207" s="60"/>
      <c r="DR207" s="60"/>
      <c r="DS207" s="60"/>
      <c r="DT207" s="60"/>
      <c r="DU207" s="60"/>
      <c r="DV207" s="60"/>
      <c r="DW207" s="60"/>
      <c r="DX207" s="60"/>
      <c r="DY207" s="60"/>
      <c r="DZ207" s="60"/>
      <c r="EA207" s="60"/>
      <c r="EB207" s="60"/>
      <c r="EC207" s="60"/>
      <c r="ED207" s="60"/>
      <c r="EE207" s="60"/>
      <c r="EF207" s="60"/>
      <c r="EG207" s="60"/>
      <c r="EH207" s="60"/>
      <c r="EI207" s="60"/>
      <c r="EJ207" s="60"/>
      <c r="EK207" s="60"/>
      <c r="EL207" s="60"/>
      <c r="EM207" s="60"/>
      <c r="EN207" s="60"/>
      <c r="EO207" s="60"/>
      <c r="EP207" s="60"/>
      <c r="EQ207" s="60"/>
      <c r="ER207" s="60"/>
      <c r="ES207" s="60"/>
      <c r="ET207" s="60"/>
      <c r="EU207" s="60"/>
      <c r="EV207" s="60"/>
      <c r="EW207" s="60"/>
      <c r="EX207" s="60"/>
      <c r="EY207" s="60"/>
      <c r="EZ207" s="60"/>
      <c r="FA207" s="60"/>
      <c r="FB207" s="60"/>
      <c r="FC207" s="60"/>
      <c r="FD207" s="60"/>
      <c r="FE207" s="60"/>
      <c r="FF207" s="60"/>
      <c r="FG207" s="60"/>
      <c r="FH207" s="60"/>
      <c r="FI207" s="60"/>
      <c r="FJ207" s="60"/>
      <c r="FK207" s="60"/>
      <c r="FL207" s="60"/>
      <c r="FM207" s="60"/>
      <c r="FN207" s="60"/>
      <c r="FO207" s="60"/>
      <c r="FP207" s="60"/>
      <c r="FQ207" s="60"/>
      <c r="FR207" s="60"/>
      <c r="FS207" s="60"/>
      <c r="FT207" s="60"/>
      <c r="FU207" s="60"/>
      <c r="FV207" s="60"/>
      <c r="FW207" s="60"/>
      <c r="FX207" s="60"/>
      <c r="FY207" s="60"/>
      <c r="FZ207" s="60"/>
      <c r="GA207" s="60"/>
      <c r="GB207" s="60"/>
      <c r="GC207" s="60"/>
      <c r="GD207" s="60"/>
      <c r="GE207" s="60"/>
      <c r="GF207" s="60"/>
      <c r="GG207" s="60"/>
      <c r="GH207" s="60"/>
      <c r="GI207" s="60"/>
      <c r="GJ207" s="60"/>
      <c r="GK207" s="60"/>
      <c r="GL207" s="60"/>
      <c r="GM207" s="60"/>
      <c r="GN207" s="60"/>
      <c r="GO207" s="60"/>
      <c r="GP207" s="60"/>
      <c r="GQ207" s="60"/>
      <c r="GR207" s="60"/>
      <c r="GS207" s="60"/>
      <c r="GT207" s="60"/>
      <c r="GU207" s="60"/>
      <c r="GV207" s="60"/>
      <c r="GW207" s="60"/>
      <c r="GX207" s="60"/>
      <c r="GY207" s="60"/>
      <c r="GZ207" s="60"/>
      <c r="HA207" s="60"/>
      <c r="HB207" s="60"/>
      <c r="HC207" s="60"/>
      <c r="HD207" s="60"/>
      <c r="HE207" s="60"/>
      <c r="HF207" s="60"/>
      <c r="HG207" s="60"/>
      <c r="HH207" s="60"/>
      <c r="HI207" s="60"/>
      <c r="HJ207" s="60"/>
      <c r="HK207" s="60"/>
      <c r="HL207" s="60"/>
    </row>
    <row r="208" spans="1:220" s="53" customFormat="1" ht="16.5" customHeight="1" x14ac:dyDescent="0.15">
      <c r="A208" s="99"/>
      <c r="B208" s="91" t="s">
        <v>424</v>
      </c>
      <c r="C208" s="103"/>
      <c r="D208" s="67" t="s">
        <v>322</v>
      </c>
      <c r="G208" s="88" t="s">
        <v>477</v>
      </c>
      <c r="J208" s="59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BY208" s="60"/>
      <c r="BZ208" s="60"/>
      <c r="CA208" s="60"/>
      <c r="CB208" s="60"/>
      <c r="CC208" s="60"/>
      <c r="CD208" s="60"/>
      <c r="CE208" s="60"/>
      <c r="CF208" s="60"/>
      <c r="CG208" s="60"/>
      <c r="CH208" s="60"/>
      <c r="CI208" s="60"/>
      <c r="CJ208" s="60"/>
      <c r="CK208" s="60"/>
      <c r="CL208" s="60"/>
      <c r="CM208" s="60"/>
      <c r="CN208" s="60"/>
      <c r="CO208" s="60"/>
      <c r="CP208" s="60"/>
      <c r="CQ208" s="60"/>
      <c r="CR208" s="60"/>
      <c r="CS208" s="60"/>
      <c r="CT208" s="60"/>
      <c r="CU208" s="60"/>
      <c r="CV208" s="60"/>
      <c r="CW208" s="60"/>
      <c r="CX208" s="60"/>
      <c r="CY208" s="60"/>
      <c r="CZ208" s="60"/>
      <c r="DA208" s="60"/>
      <c r="DB208" s="60"/>
      <c r="DC208" s="60"/>
      <c r="DD208" s="60"/>
      <c r="DE208" s="60"/>
      <c r="DF208" s="60"/>
      <c r="DG208" s="60"/>
      <c r="DH208" s="60"/>
      <c r="DI208" s="60"/>
      <c r="DJ208" s="60"/>
      <c r="DK208" s="60"/>
      <c r="DL208" s="60"/>
      <c r="DM208" s="60"/>
      <c r="DN208" s="60"/>
      <c r="DO208" s="60"/>
      <c r="DP208" s="60"/>
      <c r="DQ208" s="60"/>
      <c r="DR208" s="60"/>
      <c r="DS208" s="60"/>
      <c r="DT208" s="60"/>
      <c r="DU208" s="60"/>
      <c r="DV208" s="60"/>
      <c r="DW208" s="60"/>
      <c r="DX208" s="60"/>
      <c r="DY208" s="60"/>
      <c r="DZ208" s="60"/>
      <c r="EA208" s="60"/>
      <c r="EB208" s="60"/>
      <c r="EC208" s="60"/>
      <c r="ED208" s="60"/>
      <c r="EE208" s="60"/>
      <c r="EF208" s="60"/>
      <c r="EG208" s="60"/>
      <c r="EH208" s="60"/>
      <c r="EI208" s="60"/>
      <c r="EJ208" s="60"/>
      <c r="EK208" s="60"/>
      <c r="EL208" s="60"/>
      <c r="EM208" s="60"/>
      <c r="EN208" s="60"/>
      <c r="EO208" s="60"/>
      <c r="EP208" s="60"/>
      <c r="EQ208" s="60"/>
      <c r="ER208" s="60"/>
      <c r="ES208" s="60"/>
      <c r="ET208" s="60"/>
      <c r="EU208" s="60"/>
      <c r="EV208" s="60"/>
      <c r="EW208" s="60"/>
      <c r="EX208" s="60"/>
      <c r="EY208" s="60"/>
      <c r="EZ208" s="60"/>
      <c r="FA208" s="60"/>
      <c r="FB208" s="60"/>
      <c r="FC208" s="60"/>
      <c r="FD208" s="60"/>
      <c r="FE208" s="60"/>
      <c r="FF208" s="60"/>
      <c r="FG208" s="60"/>
      <c r="FH208" s="60"/>
      <c r="FI208" s="60"/>
      <c r="FJ208" s="60"/>
      <c r="FK208" s="60"/>
      <c r="FL208" s="60"/>
      <c r="FM208" s="60"/>
      <c r="FN208" s="60"/>
      <c r="FO208" s="60"/>
      <c r="FP208" s="60"/>
      <c r="FQ208" s="60"/>
      <c r="FR208" s="60"/>
      <c r="FS208" s="60"/>
      <c r="FT208" s="60"/>
      <c r="FU208" s="60"/>
      <c r="FV208" s="60"/>
      <c r="FW208" s="60"/>
      <c r="FX208" s="60"/>
      <c r="FY208" s="60"/>
      <c r="FZ208" s="60"/>
      <c r="GA208" s="60"/>
      <c r="GB208" s="60"/>
      <c r="GC208" s="60"/>
      <c r="GD208" s="60"/>
      <c r="GE208" s="60"/>
      <c r="GF208" s="60"/>
      <c r="GG208" s="60"/>
      <c r="GH208" s="60"/>
      <c r="GI208" s="60"/>
      <c r="GJ208" s="60"/>
      <c r="GK208" s="60"/>
      <c r="GL208" s="60"/>
      <c r="GM208" s="60"/>
      <c r="GN208" s="60"/>
      <c r="GO208" s="60"/>
      <c r="GP208" s="60"/>
      <c r="GQ208" s="60"/>
      <c r="GR208" s="60"/>
      <c r="GS208" s="60"/>
      <c r="GT208" s="60"/>
      <c r="GU208" s="60"/>
      <c r="GV208" s="60"/>
      <c r="GW208" s="60"/>
      <c r="GX208" s="60"/>
      <c r="GY208" s="60"/>
      <c r="GZ208" s="60"/>
      <c r="HA208" s="60"/>
      <c r="HB208" s="60"/>
      <c r="HC208" s="60"/>
      <c r="HD208" s="60"/>
      <c r="HE208" s="60"/>
      <c r="HF208" s="60"/>
      <c r="HG208" s="60"/>
      <c r="HH208" s="60"/>
      <c r="HI208" s="60"/>
      <c r="HJ208" s="60"/>
      <c r="HK208" s="60"/>
      <c r="HL208" s="60"/>
    </row>
    <row r="209" spans="1:220" s="61" customFormat="1" ht="16.5" customHeight="1" x14ac:dyDescent="0.15">
      <c r="A209" s="99"/>
      <c r="B209" s="91" t="s">
        <v>425</v>
      </c>
      <c r="C209" s="100" t="s">
        <v>586</v>
      </c>
      <c r="D209" s="67" t="s">
        <v>324</v>
      </c>
      <c r="E209" s="53"/>
      <c r="F209" s="53"/>
      <c r="G209" s="88" t="s">
        <v>477</v>
      </c>
      <c r="H209" s="54"/>
      <c r="I209" s="54"/>
      <c r="J209" s="53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0"/>
      <c r="CD209" s="60"/>
      <c r="CE209" s="60"/>
      <c r="CF209" s="60"/>
      <c r="CG209" s="60"/>
      <c r="CH209" s="60"/>
      <c r="CI209" s="60"/>
      <c r="CJ209" s="60"/>
      <c r="CK209" s="60"/>
      <c r="CL209" s="60"/>
      <c r="CM209" s="60"/>
      <c r="CN209" s="60"/>
      <c r="CO209" s="60"/>
      <c r="CP209" s="60"/>
      <c r="CQ209" s="60"/>
      <c r="CR209" s="60"/>
      <c r="CS209" s="60"/>
      <c r="CT209" s="60"/>
      <c r="CU209" s="60"/>
      <c r="CV209" s="60"/>
      <c r="CW209" s="60"/>
      <c r="CX209" s="60"/>
      <c r="CY209" s="60"/>
      <c r="CZ209" s="60"/>
      <c r="DA209" s="60"/>
      <c r="DB209" s="60"/>
      <c r="DC209" s="60"/>
      <c r="DD209" s="60"/>
      <c r="DE209" s="60"/>
      <c r="DF209" s="60"/>
      <c r="DG209" s="60"/>
      <c r="DH209" s="60"/>
      <c r="DI209" s="60"/>
      <c r="DJ209" s="60"/>
      <c r="DK209" s="60"/>
      <c r="DL209" s="60"/>
      <c r="DM209" s="60"/>
      <c r="DN209" s="60"/>
      <c r="DO209" s="60"/>
      <c r="DP209" s="60"/>
      <c r="DQ209" s="60"/>
      <c r="DR209" s="60"/>
      <c r="DS209" s="60"/>
      <c r="DT209" s="60"/>
      <c r="DU209" s="60"/>
      <c r="DV209" s="60"/>
      <c r="DW209" s="60"/>
      <c r="DX209" s="60"/>
      <c r="DY209" s="60"/>
      <c r="DZ209" s="60"/>
      <c r="EA209" s="60"/>
      <c r="EB209" s="60"/>
      <c r="EC209" s="60"/>
      <c r="ED209" s="60"/>
      <c r="EE209" s="60"/>
      <c r="EF209" s="60"/>
      <c r="EG209" s="60"/>
      <c r="EH209" s="60"/>
      <c r="EI209" s="60"/>
      <c r="EJ209" s="60"/>
      <c r="EK209" s="60"/>
      <c r="EL209" s="60"/>
      <c r="EM209" s="60"/>
      <c r="EN209" s="60"/>
      <c r="EO209" s="60"/>
      <c r="EP209" s="60"/>
      <c r="EQ209" s="60"/>
      <c r="ER209" s="60"/>
      <c r="ES209" s="60"/>
      <c r="ET209" s="60"/>
      <c r="EU209" s="60"/>
      <c r="EV209" s="60"/>
      <c r="EW209" s="60"/>
      <c r="EX209" s="60"/>
      <c r="EY209" s="60"/>
      <c r="EZ209" s="60"/>
      <c r="FA209" s="60"/>
      <c r="FB209" s="60"/>
      <c r="FC209" s="60"/>
      <c r="FD209" s="60"/>
      <c r="FE209" s="60"/>
      <c r="FF209" s="60"/>
      <c r="FG209" s="60"/>
      <c r="FH209" s="60"/>
      <c r="FI209" s="60"/>
      <c r="FJ209" s="60"/>
      <c r="FK209" s="60"/>
      <c r="FL209" s="60"/>
      <c r="FM209" s="60"/>
      <c r="FN209" s="60"/>
      <c r="FO209" s="60"/>
      <c r="FP209" s="60"/>
      <c r="FQ209" s="60"/>
      <c r="FR209" s="60"/>
      <c r="FS209" s="60"/>
      <c r="FT209" s="60"/>
      <c r="FU209" s="60"/>
      <c r="FV209" s="60"/>
      <c r="FW209" s="60"/>
      <c r="FX209" s="60"/>
      <c r="FY209" s="60"/>
      <c r="FZ209" s="60"/>
      <c r="GA209" s="60"/>
      <c r="GB209" s="60"/>
      <c r="GC209" s="60"/>
      <c r="GD209" s="60"/>
      <c r="GE209" s="60"/>
      <c r="GF209" s="60"/>
      <c r="GG209" s="60"/>
      <c r="GH209" s="60"/>
      <c r="GI209" s="60"/>
      <c r="GJ209" s="60"/>
      <c r="GK209" s="60"/>
      <c r="GL209" s="60"/>
      <c r="GM209" s="60"/>
      <c r="GN209" s="60"/>
      <c r="GO209" s="60"/>
      <c r="GP209" s="60"/>
      <c r="GQ209" s="60"/>
      <c r="GR209" s="60"/>
      <c r="GS209" s="60"/>
      <c r="GT209" s="60"/>
      <c r="GU209" s="60"/>
      <c r="GV209" s="60"/>
      <c r="GW209" s="60"/>
      <c r="GX209" s="60"/>
      <c r="GY209" s="60"/>
      <c r="GZ209" s="60"/>
      <c r="HA209" s="60"/>
      <c r="HB209" s="60"/>
      <c r="HC209" s="60"/>
      <c r="HD209" s="60"/>
      <c r="HE209" s="60"/>
      <c r="HF209" s="60"/>
      <c r="HG209" s="60"/>
      <c r="HH209" s="60"/>
      <c r="HI209" s="60"/>
      <c r="HJ209" s="60"/>
      <c r="HK209" s="60"/>
      <c r="HL209" s="60"/>
    </row>
    <row r="210" spans="1:220" s="57" customFormat="1" ht="16.5" customHeight="1" x14ac:dyDescent="0.15">
      <c r="A210" s="99"/>
      <c r="B210" s="91" t="s">
        <v>426</v>
      </c>
      <c r="C210" s="101"/>
      <c r="D210" s="67" t="s">
        <v>325</v>
      </c>
      <c r="E210" s="53"/>
      <c r="F210" s="53"/>
      <c r="G210" s="88" t="s">
        <v>477</v>
      </c>
      <c r="H210" s="54"/>
      <c r="I210" s="54"/>
      <c r="J210" s="59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  <c r="BV210" s="56"/>
      <c r="BW210" s="56"/>
      <c r="BX210" s="56"/>
      <c r="BY210" s="56"/>
      <c r="BZ210" s="56"/>
      <c r="CA210" s="56"/>
      <c r="CB210" s="56"/>
      <c r="CC210" s="56"/>
      <c r="CD210" s="56"/>
      <c r="CE210" s="56"/>
      <c r="CF210" s="56"/>
      <c r="CG210" s="56"/>
      <c r="CH210" s="56"/>
      <c r="CI210" s="56"/>
      <c r="CJ210" s="56"/>
      <c r="CK210" s="56"/>
      <c r="CL210" s="56"/>
      <c r="CM210" s="56"/>
      <c r="CN210" s="56"/>
      <c r="CO210" s="56"/>
      <c r="CP210" s="56"/>
      <c r="CQ210" s="56"/>
      <c r="CR210" s="56"/>
      <c r="CS210" s="56"/>
      <c r="CT210" s="56"/>
      <c r="CU210" s="56"/>
      <c r="CV210" s="56"/>
      <c r="CW210" s="56"/>
      <c r="CX210" s="56"/>
      <c r="CY210" s="56"/>
      <c r="CZ210" s="56"/>
      <c r="DA210" s="56"/>
      <c r="DB210" s="56"/>
      <c r="DC210" s="56"/>
      <c r="DD210" s="56"/>
      <c r="DE210" s="56"/>
      <c r="DF210" s="56"/>
      <c r="DG210" s="56"/>
      <c r="DH210" s="56"/>
      <c r="DI210" s="56"/>
      <c r="DJ210" s="56"/>
      <c r="DK210" s="56"/>
      <c r="DL210" s="56"/>
      <c r="DM210" s="56"/>
      <c r="DN210" s="56"/>
      <c r="DO210" s="56"/>
      <c r="DP210" s="56"/>
      <c r="DQ210" s="56"/>
      <c r="DR210" s="56"/>
      <c r="DS210" s="56"/>
      <c r="DT210" s="56"/>
      <c r="DU210" s="56"/>
      <c r="DV210" s="56"/>
      <c r="DW210" s="56"/>
      <c r="DX210" s="56"/>
      <c r="DY210" s="56"/>
      <c r="DZ210" s="56"/>
      <c r="EA210" s="56"/>
      <c r="EB210" s="56"/>
      <c r="EC210" s="56"/>
      <c r="ED210" s="56"/>
      <c r="EE210" s="56"/>
      <c r="EF210" s="56"/>
      <c r="EG210" s="56"/>
      <c r="EH210" s="56"/>
      <c r="EI210" s="56"/>
      <c r="EJ210" s="56"/>
      <c r="EK210" s="56"/>
      <c r="EL210" s="56"/>
      <c r="EM210" s="56"/>
      <c r="EN210" s="56"/>
      <c r="EO210" s="56"/>
      <c r="EP210" s="56"/>
      <c r="EQ210" s="56"/>
      <c r="ER210" s="56"/>
      <c r="ES210" s="56"/>
      <c r="ET210" s="56"/>
      <c r="EU210" s="56"/>
      <c r="EV210" s="56"/>
      <c r="EW210" s="56"/>
      <c r="EX210" s="56"/>
      <c r="EY210" s="56"/>
      <c r="EZ210" s="56"/>
      <c r="FA210" s="56"/>
      <c r="FB210" s="56"/>
      <c r="FC210" s="56"/>
      <c r="FD210" s="56"/>
      <c r="FE210" s="56"/>
      <c r="FF210" s="56"/>
      <c r="FG210" s="56"/>
      <c r="FH210" s="56"/>
      <c r="FI210" s="56"/>
      <c r="FJ210" s="56"/>
      <c r="FK210" s="56"/>
      <c r="FL210" s="56"/>
      <c r="FM210" s="56"/>
      <c r="FN210" s="56"/>
      <c r="FO210" s="56"/>
      <c r="FP210" s="56"/>
      <c r="FQ210" s="56"/>
      <c r="FR210" s="56"/>
      <c r="FS210" s="56"/>
      <c r="FT210" s="56"/>
      <c r="FU210" s="56"/>
      <c r="FV210" s="56"/>
      <c r="FW210" s="56"/>
      <c r="FX210" s="56"/>
      <c r="FY210" s="56"/>
      <c r="FZ210" s="56"/>
      <c r="GA210" s="56"/>
      <c r="GB210" s="56"/>
      <c r="GC210" s="56"/>
      <c r="GD210" s="56"/>
      <c r="GE210" s="56"/>
      <c r="GF210" s="56"/>
      <c r="GG210" s="56"/>
      <c r="GH210" s="56"/>
      <c r="GI210" s="56"/>
      <c r="GJ210" s="56"/>
      <c r="GK210" s="56"/>
      <c r="GL210" s="56"/>
      <c r="GM210" s="56"/>
      <c r="GN210" s="56"/>
      <c r="GO210" s="56"/>
      <c r="GP210" s="56"/>
      <c r="GQ210" s="56"/>
      <c r="GR210" s="56"/>
      <c r="GS210" s="56"/>
      <c r="GT210" s="56"/>
      <c r="GU210" s="56"/>
      <c r="GV210" s="56"/>
      <c r="GW210" s="56"/>
      <c r="GX210" s="56"/>
      <c r="GY210" s="56"/>
      <c r="GZ210" s="56"/>
      <c r="HA210" s="56"/>
      <c r="HB210" s="56"/>
      <c r="HC210" s="56"/>
      <c r="HD210" s="56"/>
      <c r="HE210" s="56"/>
      <c r="HF210" s="56"/>
      <c r="HG210" s="56"/>
      <c r="HH210" s="56"/>
      <c r="HI210" s="56"/>
      <c r="HJ210" s="56"/>
      <c r="HK210" s="56"/>
      <c r="HL210" s="56"/>
    </row>
    <row r="211" spans="1:220" s="53" customFormat="1" ht="16.5" customHeight="1" x14ac:dyDescent="0.15">
      <c r="A211" s="99"/>
      <c r="B211" s="91" t="s">
        <v>455</v>
      </c>
      <c r="C211" s="103"/>
      <c r="D211" s="67" t="s">
        <v>322</v>
      </c>
      <c r="G211" s="88" t="s">
        <v>477</v>
      </c>
      <c r="J211" s="59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0"/>
      <c r="CD211" s="60"/>
      <c r="CE211" s="60"/>
      <c r="CF211" s="60"/>
      <c r="CG211" s="60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60"/>
      <c r="CV211" s="60"/>
      <c r="CW211" s="60"/>
      <c r="CX211" s="60"/>
      <c r="CY211" s="60"/>
      <c r="CZ211" s="60"/>
      <c r="DA211" s="60"/>
      <c r="DB211" s="60"/>
      <c r="DC211" s="60"/>
      <c r="DD211" s="60"/>
      <c r="DE211" s="60"/>
      <c r="DF211" s="60"/>
      <c r="DG211" s="60"/>
      <c r="DH211" s="60"/>
      <c r="DI211" s="60"/>
      <c r="DJ211" s="60"/>
      <c r="DK211" s="60"/>
      <c r="DL211" s="60"/>
      <c r="DM211" s="60"/>
      <c r="DN211" s="60"/>
      <c r="DO211" s="60"/>
      <c r="DP211" s="60"/>
      <c r="DQ211" s="60"/>
      <c r="DR211" s="60"/>
      <c r="DS211" s="60"/>
      <c r="DT211" s="60"/>
      <c r="DU211" s="60"/>
      <c r="DV211" s="60"/>
      <c r="DW211" s="60"/>
      <c r="DX211" s="60"/>
      <c r="DY211" s="60"/>
      <c r="DZ211" s="60"/>
      <c r="EA211" s="60"/>
      <c r="EB211" s="60"/>
      <c r="EC211" s="60"/>
      <c r="ED211" s="60"/>
      <c r="EE211" s="60"/>
      <c r="EF211" s="60"/>
      <c r="EG211" s="60"/>
      <c r="EH211" s="60"/>
      <c r="EI211" s="60"/>
      <c r="EJ211" s="60"/>
      <c r="EK211" s="60"/>
      <c r="EL211" s="60"/>
      <c r="EM211" s="60"/>
      <c r="EN211" s="60"/>
      <c r="EO211" s="60"/>
      <c r="EP211" s="60"/>
      <c r="EQ211" s="60"/>
      <c r="ER211" s="60"/>
      <c r="ES211" s="60"/>
      <c r="ET211" s="60"/>
      <c r="EU211" s="60"/>
      <c r="EV211" s="60"/>
      <c r="EW211" s="60"/>
      <c r="EX211" s="60"/>
      <c r="EY211" s="60"/>
      <c r="EZ211" s="60"/>
      <c r="FA211" s="60"/>
      <c r="FB211" s="60"/>
      <c r="FC211" s="60"/>
      <c r="FD211" s="60"/>
      <c r="FE211" s="60"/>
      <c r="FF211" s="60"/>
      <c r="FG211" s="60"/>
      <c r="FH211" s="60"/>
      <c r="FI211" s="60"/>
      <c r="FJ211" s="60"/>
      <c r="FK211" s="60"/>
      <c r="FL211" s="60"/>
      <c r="FM211" s="60"/>
      <c r="FN211" s="60"/>
      <c r="FO211" s="60"/>
      <c r="FP211" s="60"/>
      <c r="FQ211" s="60"/>
      <c r="FR211" s="60"/>
      <c r="FS211" s="60"/>
      <c r="FT211" s="60"/>
      <c r="FU211" s="60"/>
      <c r="FV211" s="60"/>
      <c r="FW211" s="60"/>
      <c r="FX211" s="60"/>
      <c r="FY211" s="60"/>
      <c r="FZ211" s="60"/>
      <c r="GA211" s="60"/>
      <c r="GB211" s="60"/>
      <c r="GC211" s="60"/>
      <c r="GD211" s="60"/>
      <c r="GE211" s="60"/>
      <c r="GF211" s="60"/>
      <c r="GG211" s="60"/>
      <c r="GH211" s="60"/>
      <c r="GI211" s="60"/>
      <c r="GJ211" s="60"/>
      <c r="GK211" s="60"/>
      <c r="GL211" s="60"/>
      <c r="GM211" s="60"/>
      <c r="GN211" s="60"/>
      <c r="GO211" s="60"/>
      <c r="GP211" s="60"/>
      <c r="GQ211" s="60"/>
      <c r="GR211" s="60"/>
      <c r="GS211" s="60"/>
      <c r="GT211" s="60"/>
      <c r="GU211" s="60"/>
      <c r="GV211" s="60"/>
      <c r="GW211" s="60"/>
      <c r="GX211" s="60"/>
      <c r="GY211" s="60"/>
      <c r="GZ211" s="60"/>
      <c r="HA211" s="60"/>
      <c r="HB211" s="60"/>
      <c r="HC211" s="60"/>
      <c r="HD211" s="60"/>
      <c r="HE211" s="60"/>
      <c r="HF211" s="60"/>
      <c r="HG211" s="60"/>
      <c r="HH211" s="60"/>
      <c r="HI211" s="60"/>
      <c r="HJ211" s="60"/>
      <c r="HK211" s="60"/>
      <c r="HL211" s="60"/>
    </row>
    <row r="212" spans="1:220" s="53" customFormat="1" ht="16.5" customHeight="1" x14ac:dyDescent="0.15">
      <c r="A212" s="99"/>
      <c r="B212" s="91" t="s">
        <v>456</v>
      </c>
      <c r="C212" s="100" t="s">
        <v>587</v>
      </c>
      <c r="D212" s="67" t="s">
        <v>589</v>
      </c>
      <c r="G212" s="88" t="s">
        <v>477</v>
      </c>
      <c r="J212" s="59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0"/>
      <c r="CD212" s="60"/>
      <c r="CE212" s="60"/>
      <c r="CF212" s="60"/>
      <c r="CG212" s="60"/>
      <c r="CH212" s="60"/>
      <c r="CI212" s="60"/>
      <c r="CJ212" s="60"/>
      <c r="CK212" s="60"/>
      <c r="CL212" s="60"/>
      <c r="CM212" s="60"/>
      <c r="CN212" s="60"/>
      <c r="CO212" s="60"/>
      <c r="CP212" s="60"/>
      <c r="CQ212" s="60"/>
      <c r="CR212" s="60"/>
      <c r="CS212" s="60"/>
      <c r="CT212" s="60"/>
      <c r="CU212" s="60"/>
      <c r="CV212" s="60"/>
      <c r="CW212" s="60"/>
      <c r="CX212" s="60"/>
      <c r="CY212" s="60"/>
      <c r="CZ212" s="60"/>
      <c r="DA212" s="60"/>
      <c r="DB212" s="60"/>
      <c r="DC212" s="60"/>
      <c r="DD212" s="60"/>
      <c r="DE212" s="60"/>
      <c r="DF212" s="60"/>
      <c r="DG212" s="60"/>
      <c r="DH212" s="60"/>
      <c r="DI212" s="60"/>
      <c r="DJ212" s="60"/>
      <c r="DK212" s="60"/>
      <c r="DL212" s="60"/>
      <c r="DM212" s="60"/>
      <c r="DN212" s="60"/>
      <c r="DO212" s="60"/>
      <c r="DP212" s="60"/>
      <c r="DQ212" s="60"/>
      <c r="DR212" s="60"/>
      <c r="DS212" s="60"/>
      <c r="DT212" s="60"/>
      <c r="DU212" s="60"/>
      <c r="DV212" s="60"/>
      <c r="DW212" s="60"/>
      <c r="DX212" s="60"/>
      <c r="DY212" s="60"/>
      <c r="DZ212" s="60"/>
      <c r="EA212" s="60"/>
      <c r="EB212" s="60"/>
      <c r="EC212" s="60"/>
      <c r="ED212" s="60"/>
      <c r="EE212" s="60"/>
      <c r="EF212" s="60"/>
      <c r="EG212" s="60"/>
      <c r="EH212" s="60"/>
      <c r="EI212" s="60"/>
      <c r="EJ212" s="60"/>
      <c r="EK212" s="60"/>
      <c r="EL212" s="60"/>
      <c r="EM212" s="60"/>
      <c r="EN212" s="60"/>
      <c r="EO212" s="60"/>
      <c r="EP212" s="60"/>
      <c r="EQ212" s="60"/>
      <c r="ER212" s="60"/>
      <c r="ES212" s="60"/>
      <c r="ET212" s="60"/>
      <c r="EU212" s="60"/>
      <c r="EV212" s="60"/>
      <c r="EW212" s="60"/>
      <c r="EX212" s="60"/>
      <c r="EY212" s="60"/>
      <c r="EZ212" s="60"/>
      <c r="FA212" s="60"/>
      <c r="FB212" s="60"/>
      <c r="FC212" s="60"/>
      <c r="FD212" s="60"/>
      <c r="FE212" s="60"/>
      <c r="FF212" s="60"/>
      <c r="FG212" s="60"/>
      <c r="FH212" s="60"/>
      <c r="FI212" s="60"/>
      <c r="FJ212" s="60"/>
      <c r="FK212" s="60"/>
      <c r="FL212" s="60"/>
      <c r="FM212" s="60"/>
      <c r="FN212" s="60"/>
      <c r="FO212" s="60"/>
      <c r="FP212" s="60"/>
      <c r="FQ212" s="60"/>
      <c r="FR212" s="60"/>
      <c r="FS212" s="60"/>
      <c r="FT212" s="60"/>
      <c r="FU212" s="60"/>
      <c r="FV212" s="60"/>
      <c r="FW212" s="60"/>
      <c r="FX212" s="60"/>
      <c r="FY212" s="60"/>
      <c r="FZ212" s="60"/>
      <c r="GA212" s="60"/>
      <c r="GB212" s="60"/>
      <c r="GC212" s="60"/>
      <c r="GD212" s="60"/>
      <c r="GE212" s="60"/>
      <c r="GF212" s="60"/>
      <c r="GG212" s="60"/>
      <c r="GH212" s="60"/>
      <c r="GI212" s="60"/>
      <c r="GJ212" s="60"/>
      <c r="GK212" s="60"/>
      <c r="GL212" s="60"/>
      <c r="GM212" s="60"/>
      <c r="GN212" s="60"/>
      <c r="GO212" s="60"/>
      <c r="GP212" s="60"/>
      <c r="GQ212" s="60"/>
      <c r="GR212" s="60"/>
      <c r="GS212" s="60"/>
      <c r="GT212" s="60"/>
      <c r="GU212" s="60"/>
      <c r="GV212" s="60"/>
      <c r="GW212" s="60"/>
      <c r="GX212" s="60"/>
      <c r="GY212" s="60"/>
      <c r="GZ212" s="60"/>
      <c r="HA212" s="60"/>
      <c r="HB212" s="60"/>
      <c r="HC212" s="60"/>
      <c r="HD212" s="60"/>
      <c r="HE212" s="60"/>
      <c r="HF212" s="60"/>
      <c r="HG212" s="60"/>
      <c r="HH212" s="60"/>
      <c r="HI212" s="60"/>
      <c r="HJ212" s="60"/>
      <c r="HK212" s="60"/>
      <c r="HL212" s="60"/>
    </row>
    <row r="213" spans="1:220" s="53" customFormat="1" ht="16.5" customHeight="1" x14ac:dyDescent="0.15">
      <c r="A213" s="99"/>
      <c r="B213" s="91" t="s">
        <v>457</v>
      </c>
      <c r="C213" s="101"/>
      <c r="D213" s="67" t="s">
        <v>588</v>
      </c>
      <c r="G213" s="88" t="s">
        <v>477</v>
      </c>
      <c r="J213" s="59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N213" s="60"/>
      <c r="CO213" s="60"/>
      <c r="CP213" s="60"/>
      <c r="CQ213" s="60"/>
      <c r="CR213" s="60"/>
      <c r="CS213" s="60"/>
      <c r="CT213" s="60"/>
      <c r="CU213" s="60"/>
      <c r="CV213" s="60"/>
      <c r="CW213" s="60"/>
      <c r="CX213" s="60"/>
      <c r="CY213" s="60"/>
      <c r="CZ213" s="60"/>
      <c r="DA213" s="60"/>
      <c r="DB213" s="60"/>
      <c r="DC213" s="60"/>
      <c r="DD213" s="60"/>
      <c r="DE213" s="60"/>
      <c r="DF213" s="60"/>
      <c r="DG213" s="60"/>
      <c r="DH213" s="60"/>
      <c r="DI213" s="60"/>
      <c r="DJ213" s="60"/>
      <c r="DK213" s="60"/>
      <c r="DL213" s="60"/>
      <c r="DM213" s="60"/>
      <c r="DN213" s="60"/>
      <c r="DO213" s="60"/>
      <c r="DP213" s="60"/>
      <c r="DQ213" s="60"/>
      <c r="DR213" s="60"/>
      <c r="DS213" s="60"/>
      <c r="DT213" s="60"/>
      <c r="DU213" s="60"/>
      <c r="DV213" s="60"/>
      <c r="DW213" s="60"/>
      <c r="DX213" s="60"/>
      <c r="DY213" s="60"/>
      <c r="DZ213" s="60"/>
      <c r="EA213" s="60"/>
      <c r="EB213" s="60"/>
      <c r="EC213" s="60"/>
      <c r="ED213" s="60"/>
      <c r="EE213" s="60"/>
      <c r="EF213" s="60"/>
      <c r="EG213" s="60"/>
      <c r="EH213" s="60"/>
      <c r="EI213" s="60"/>
      <c r="EJ213" s="60"/>
      <c r="EK213" s="60"/>
      <c r="EL213" s="60"/>
      <c r="EM213" s="60"/>
      <c r="EN213" s="60"/>
      <c r="EO213" s="60"/>
      <c r="EP213" s="60"/>
      <c r="EQ213" s="60"/>
      <c r="ER213" s="60"/>
      <c r="ES213" s="60"/>
      <c r="ET213" s="60"/>
      <c r="EU213" s="60"/>
      <c r="EV213" s="60"/>
      <c r="EW213" s="60"/>
      <c r="EX213" s="60"/>
      <c r="EY213" s="60"/>
      <c r="EZ213" s="60"/>
      <c r="FA213" s="60"/>
      <c r="FB213" s="60"/>
      <c r="FC213" s="60"/>
      <c r="FD213" s="60"/>
      <c r="FE213" s="60"/>
      <c r="FF213" s="60"/>
      <c r="FG213" s="60"/>
      <c r="FH213" s="60"/>
      <c r="FI213" s="60"/>
      <c r="FJ213" s="60"/>
      <c r="FK213" s="60"/>
      <c r="FL213" s="60"/>
      <c r="FM213" s="60"/>
      <c r="FN213" s="60"/>
      <c r="FO213" s="60"/>
      <c r="FP213" s="60"/>
      <c r="FQ213" s="60"/>
      <c r="FR213" s="60"/>
      <c r="FS213" s="60"/>
      <c r="FT213" s="60"/>
      <c r="FU213" s="60"/>
      <c r="FV213" s="60"/>
      <c r="FW213" s="60"/>
      <c r="FX213" s="60"/>
      <c r="FY213" s="60"/>
      <c r="FZ213" s="60"/>
      <c r="GA213" s="60"/>
      <c r="GB213" s="60"/>
      <c r="GC213" s="60"/>
      <c r="GD213" s="60"/>
      <c r="GE213" s="60"/>
      <c r="GF213" s="60"/>
      <c r="GG213" s="60"/>
      <c r="GH213" s="60"/>
      <c r="GI213" s="60"/>
      <c r="GJ213" s="60"/>
      <c r="GK213" s="60"/>
      <c r="GL213" s="60"/>
      <c r="GM213" s="60"/>
      <c r="GN213" s="60"/>
      <c r="GO213" s="60"/>
      <c r="GP213" s="60"/>
      <c r="GQ213" s="60"/>
      <c r="GR213" s="60"/>
      <c r="GS213" s="60"/>
      <c r="GT213" s="60"/>
      <c r="GU213" s="60"/>
      <c r="GV213" s="60"/>
      <c r="GW213" s="60"/>
      <c r="GX213" s="60"/>
      <c r="GY213" s="60"/>
      <c r="GZ213" s="60"/>
      <c r="HA213" s="60"/>
      <c r="HB213" s="60"/>
      <c r="HC213" s="60"/>
      <c r="HD213" s="60"/>
      <c r="HE213" s="60"/>
      <c r="HF213" s="60"/>
      <c r="HG213" s="60"/>
      <c r="HH213" s="60"/>
      <c r="HI213" s="60"/>
      <c r="HJ213" s="60"/>
      <c r="HK213" s="60"/>
      <c r="HL213" s="60"/>
    </row>
    <row r="214" spans="1:220" s="53" customFormat="1" ht="16.5" customHeight="1" x14ac:dyDescent="0.15">
      <c r="A214" s="99"/>
      <c r="B214" s="91" t="s">
        <v>458</v>
      </c>
      <c r="C214" s="103"/>
      <c r="D214" s="67" t="s">
        <v>322</v>
      </c>
      <c r="G214" s="88" t="s">
        <v>477</v>
      </c>
      <c r="J214" s="59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0"/>
      <c r="CD214" s="60"/>
      <c r="CE214" s="60"/>
      <c r="CF214" s="60"/>
      <c r="CG214" s="60"/>
      <c r="CH214" s="60"/>
      <c r="CI214" s="60"/>
      <c r="CJ214" s="60"/>
      <c r="CK214" s="60"/>
      <c r="CL214" s="60"/>
      <c r="CM214" s="60"/>
      <c r="CN214" s="60"/>
      <c r="CO214" s="60"/>
      <c r="CP214" s="60"/>
      <c r="CQ214" s="60"/>
      <c r="CR214" s="60"/>
      <c r="CS214" s="60"/>
      <c r="CT214" s="60"/>
      <c r="CU214" s="60"/>
      <c r="CV214" s="60"/>
      <c r="CW214" s="60"/>
      <c r="CX214" s="60"/>
      <c r="CY214" s="60"/>
      <c r="CZ214" s="60"/>
      <c r="DA214" s="60"/>
      <c r="DB214" s="60"/>
      <c r="DC214" s="60"/>
      <c r="DD214" s="60"/>
      <c r="DE214" s="60"/>
      <c r="DF214" s="60"/>
      <c r="DG214" s="60"/>
      <c r="DH214" s="60"/>
      <c r="DI214" s="60"/>
      <c r="DJ214" s="60"/>
      <c r="DK214" s="60"/>
      <c r="DL214" s="60"/>
      <c r="DM214" s="60"/>
      <c r="DN214" s="60"/>
      <c r="DO214" s="60"/>
      <c r="DP214" s="60"/>
      <c r="DQ214" s="60"/>
      <c r="DR214" s="60"/>
      <c r="DS214" s="60"/>
      <c r="DT214" s="60"/>
      <c r="DU214" s="60"/>
      <c r="DV214" s="60"/>
      <c r="DW214" s="60"/>
      <c r="DX214" s="60"/>
      <c r="DY214" s="60"/>
      <c r="DZ214" s="60"/>
      <c r="EA214" s="60"/>
      <c r="EB214" s="60"/>
      <c r="EC214" s="60"/>
      <c r="ED214" s="60"/>
      <c r="EE214" s="60"/>
      <c r="EF214" s="60"/>
      <c r="EG214" s="60"/>
      <c r="EH214" s="60"/>
      <c r="EI214" s="60"/>
      <c r="EJ214" s="60"/>
      <c r="EK214" s="60"/>
      <c r="EL214" s="60"/>
      <c r="EM214" s="60"/>
      <c r="EN214" s="60"/>
      <c r="EO214" s="60"/>
      <c r="EP214" s="60"/>
      <c r="EQ214" s="60"/>
      <c r="ER214" s="60"/>
      <c r="ES214" s="60"/>
      <c r="ET214" s="60"/>
      <c r="EU214" s="60"/>
      <c r="EV214" s="60"/>
      <c r="EW214" s="60"/>
      <c r="EX214" s="60"/>
      <c r="EY214" s="60"/>
      <c r="EZ214" s="60"/>
      <c r="FA214" s="60"/>
      <c r="FB214" s="60"/>
      <c r="FC214" s="60"/>
      <c r="FD214" s="60"/>
      <c r="FE214" s="60"/>
      <c r="FF214" s="60"/>
      <c r="FG214" s="60"/>
      <c r="FH214" s="60"/>
      <c r="FI214" s="60"/>
      <c r="FJ214" s="60"/>
      <c r="FK214" s="60"/>
      <c r="FL214" s="60"/>
      <c r="FM214" s="60"/>
      <c r="FN214" s="60"/>
      <c r="FO214" s="60"/>
      <c r="FP214" s="60"/>
      <c r="FQ214" s="60"/>
      <c r="FR214" s="60"/>
      <c r="FS214" s="60"/>
      <c r="FT214" s="60"/>
      <c r="FU214" s="60"/>
      <c r="FV214" s="60"/>
      <c r="FW214" s="60"/>
      <c r="FX214" s="60"/>
      <c r="FY214" s="60"/>
      <c r="FZ214" s="60"/>
      <c r="GA214" s="60"/>
      <c r="GB214" s="60"/>
      <c r="GC214" s="60"/>
      <c r="GD214" s="60"/>
      <c r="GE214" s="60"/>
      <c r="GF214" s="60"/>
      <c r="GG214" s="60"/>
      <c r="GH214" s="60"/>
      <c r="GI214" s="60"/>
      <c r="GJ214" s="60"/>
      <c r="GK214" s="60"/>
      <c r="GL214" s="60"/>
      <c r="GM214" s="60"/>
      <c r="GN214" s="60"/>
      <c r="GO214" s="60"/>
      <c r="GP214" s="60"/>
      <c r="GQ214" s="60"/>
      <c r="GR214" s="60"/>
      <c r="GS214" s="60"/>
      <c r="GT214" s="60"/>
      <c r="GU214" s="60"/>
      <c r="GV214" s="60"/>
      <c r="GW214" s="60"/>
      <c r="GX214" s="60"/>
      <c r="GY214" s="60"/>
      <c r="GZ214" s="60"/>
      <c r="HA214" s="60"/>
      <c r="HB214" s="60"/>
      <c r="HC214" s="60"/>
      <c r="HD214" s="60"/>
      <c r="HE214" s="60"/>
      <c r="HF214" s="60"/>
      <c r="HG214" s="60"/>
      <c r="HH214" s="60"/>
      <c r="HI214" s="60"/>
      <c r="HJ214" s="60"/>
      <c r="HK214" s="60"/>
      <c r="HL214" s="60"/>
    </row>
    <row r="215" spans="1:220" s="81" customFormat="1" ht="16.5" customHeight="1" x14ac:dyDescent="0.15">
      <c r="A215" s="99"/>
      <c r="B215" s="91" t="s">
        <v>459</v>
      </c>
      <c r="C215" s="100" t="s">
        <v>590</v>
      </c>
      <c r="D215" s="90" t="s">
        <v>320</v>
      </c>
      <c r="G215" s="88" t="s">
        <v>477</v>
      </c>
      <c r="J215" s="83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  <c r="FU215" s="84"/>
      <c r="FV215" s="84"/>
      <c r="FW215" s="84"/>
      <c r="FX215" s="84"/>
      <c r="FY215" s="84"/>
      <c r="FZ215" s="84"/>
      <c r="GA215" s="84"/>
      <c r="GB215" s="84"/>
      <c r="GC215" s="84"/>
      <c r="GD215" s="84"/>
      <c r="GE215" s="84"/>
      <c r="GF215" s="84"/>
      <c r="GG215" s="84"/>
      <c r="GH215" s="84"/>
      <c r="GI215" s="84"/>
      <c r="GJ215" s="84"/>
      <c r="GK215" s="84"/>
      <c r="GL215" s="84"/>
      <c r="GM215" s="84"/>
      <c r="GN215" s="84"/>
      <c r="GO215" s="84"/>
      <c r="GP215" s="84"/>
      <c r="GQ215" s="84"/>
      <c r="GR215" s="84"/>
      <c r="GS215" s="84"/>
      <c r="GT215" s="84"/>
      <c r="GU215" s="84"/>
      <c r="GV215" s="84"/>
      <c r="GW215" s="84"/>
      <c r="GX215" s="84"/>
      <c r="GY215" s="84"/>
      <c r="GZ215" s="84"/>
      <c r="HA215" s="84"/>
      <c r="HB215" s="84"/>
      <c r="HC215" s="84"/>
      <c r="HD215" s="84"/>
      <c r="HE215" s="84"/>
      <c r="HF215" s="84"/>
      <c r="HG215" s="84"/>
      <c r="HH215" s="84"/>
      <c r="HI215" s="84"/>
      <c r="HJ215" s="84"/>
      <c r="HK215" s="84"/>
      <c r="HL215" s="84"/>
    </row>
    <row r="216" spans="1:220" s="81" customFormat="1" ht="16.5" customHeight="1" x14ac:dyDescent="0.15">
      <c r="A216" s="99"/>
      <c r="B216" s="91" t="s">
        <v>460</v>
      </c>
      <c r="C216" s="101"/>
      <c r="D216" s="90" t="s">
        <v>618</v>
      </c>
      <c r="G216" s="88" t="s">
        <v>477</v>
      </c>
      <c r="J216" s="83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  <c r="FU216" s="84"/>
      <c r="FV216" s="84"/>
      <c r="FW216" s="84"/>
      <c r="FX216" s="84"/>
      <c r="FY216" s="84"/>
      <c r="FZ216" s="84"/>
      <c r="GA216" s="84"/>
      <c r="GB216" s="84"/>
      <c r="GC216" s="84"/>
      <c r="GD216" s="84"/>
      <c r="GE216" s="84"/>
      <c r="GF216" s="84"/>
      <c r="GG216" s="84"/>
      <c r="GH216" s="84"/>
      <c r="GI216" s="84"/>
      <c r="GJ216" s="84"/>
      <c r="GK216" s="84"/>
      <c r="GL216" s="84"/>
      <c r="GM216" s="84"/>
      <c r="GN216" s="84"/>
      <c r="GO216" s="84"/>
      <c r="GP216" s="84"/>
      <c r="GQ216" s="84"/>
      <c r="GR216" s="84"/>
      <c r="GS216" s="84"/>
      <c r="GT216" s="84"/>
      <c r="GU216" s="84"/>
      <c r="GV216" s="84"/>
      <c r="GW216" s="84"/>
      <c r="GX216" s="84"/>
      <c r="GY216" s="84"/>
      <c r="GZ216" s="84"/>
      <c r="HA216" s="84"/>
      <c r="HB216" s="84"/>
      <c r="HC216" s="84"/>
      <c r="HD216" s="84"/>
      <c r="HE216" s="84"/>
      <c r="HF216" s="84"/>
      <c r="HG216" s="84"/>
      <c r="HH216" s="84"/>
      <c r="HI216" s="84"/>
      <c r="HJ216" s="84"/>
      <c r="HK216" s="84"/>
      <c r="HL216" s="84"/>
    </row>
    <row r="217" spans="1:220" s="81" customFormat="1" ht="16.5" customHeight="1" x14ac:dyDescent="0.15">
      <c r="A217" s="99"/>
      <c r="B217" s="91" t="s">
        <v>519</v>
      </c>
      <c r="C217" s="103"/>
      <c r="D217" s="90" t="s">
        <v>322</v>
      </c>
      <c r="G217" s="88" t="s">
        <v>477</v>
      </c>
      <c r="J217" s="83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  <c r="FU217" s="84"/>
      <c r="FV217" s="84"/>
      <c r="FW217" s="84"/>
      <c r="FX217" s="84"/>
      <c r="FY217" s="84"/>
      <c r="FZ217" s="84"/>
      <c r="GA217" s="84"/>
      <c r="GB217" s="84"/>
      <c r="GC217" s="84"/>
      <c r="GD217" s="84"/>
      <c r="GE217" s="84"/>
      <c r="GF217" s="84"/>
      <c r="GG217" s="84"/>
      <c r="GH217" s="84"/>
      <c r="GI217" s="84"/>
      <c r="GJ217" s="84"/>
      <c r="GK217" s="84"/>
      <c r="GL217" s="84"/>
      <c r="GM217" s="84"/>
      <c r="GN217" s="84"/>
      <c r="GO217" s="84"/>
      <c r="GP217" s="84"/>
      <c r="GQ217" s="84"/>
      <c r="GR217" s="84"/>
      <c r="GS217" s="84"/>
      <c r="GT217" s="84"/>
      <c r="GU217" s="84"/>
      <c r="GV217" s="84"/>
      <c r="GW217" s="84"/>
      <c r="GX217" s="84"/>
      <c r="GY217" s="84"/>
      <c r="GZ217" s="84"/>
      <c r="HA217" s="84"/>
      <c r="HB217" s="84"/>
      <c r="HC217" s="84"/>
      <c r="HD217" s="84"/>
      <c r="HE217" s="84"/>
      <c r="HF217" s="84"/>
      <c r="HG217" s="84"/>
      <c r="HH217" s="84"/>
      <c r="HI217" s="84"/>
      <c r="HJ217" s="84"/>
      <c r="HK217" s="84"/>
      <c r="HL217" s="84"/>
    </row>
    <row r="218" spans="1:220" s="81" customFormat="1" ht="16.5" customHeight="1" x14ac:dyDescent="0.15">
      <c r="A218" s="99"/>
      <c r="B218" s="91" t="s">
        <v>461</v>
      </c>
      <c r="C218" s="100" t="s">
        <v>591</v>
      </c>
      <c r="D218" s="90" t="s">
        <v>593</v>
      </c>
      <c r="G218" s="88" t="s">
        <v>477</v>
      </c>
      <c r="J218" s="83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  <c r="FU218" s="84"/>
      <c r="FV218" s="84"/>
      <c r="FW218" s="84"/>
      <c r="FX218" s="84"/>
      <c r="FY218" s="84"/>
      <c r="FZ218" s="84"/>
      <c r="GA218" s="84"/>
      <c r="GB218" s="84"/>
      <c r="GC218" s="84"/>
      <c r="GD218" s="84"/>
      <c r="GE218" s="84"/>
      <c r="GF218" s="84"/>
      <c r="GG218" s="84"/>
      <c r="GH218" s="84"/>
      <c r="GI218" s="84"/>
      <c r="GJ218" s="84"/>
      <c r="GK218" s="84"/>
      <c r="GL218" s="84"/>
      <c r="GM218" s="84"/>
      <c r="GN218" s="84"/>
      <c r="GO218" s="84"/>
      <c r="GP218" s="84"/>
      <c r="GQ218" s="84"/>
      <c r="GR218" s="84"/>
      <c r="GS218" s="84"/>
      <c r="GT218" s="84"/>
      <c r="GU218" s="84"/>
      <c r="GV218" s="84"/>
      <c r="GW218" s="84"/>
      <c r="GX218" s="84"/>
      <c r="GY218" s="84"/>
      <c r="GZ218" s="84"/>
      <c r="HA218" s="84"/>
      <c r="HB218" s="84"/>
      <c r="HC218" s="84"/>
      <c r="HD218" s="84"/>
      <c r="HE218" s="84"/>
      <c r="HF218" s="84"/>
      <c r="HG218" s="84"/>
      <c r="HH218" s="84"/>
      <c r="HI218" s="84"/>
      <c r="HJ218" s="84"/>
      <c r="HK218" s="84"/>
      <c r="HL218" s="84"/>
    </row>
    <row r="219" spans="1:220" s="81" customFormat="1" ht="16.5" customHeight="1" x14ac:dyDescent="0.15">
      <c r="A219" s="99"/>
      <c r="B219" s="91" t="s">
        <v>462</v>
      </c>
      <c r="C219" s="101"/>
      <c r="D219" s="90" t="s">
        <v>325</v>
      </c>
      <c r="G219" s="88" t="s">
        <v>477</v>
      </c>
      <c r="J219" s="83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  <c r="FU219" s="84"/>
      <c r="FV219" s="84"/>
      <c r="FW219" s="84"/>
      <c r="FX219" s="84"/>
      <c r="FY219" s="84"/>
      <c r="FZ219" s="84"/>
      <c r="GA219" s="84"/>
      <c r="GB219" s="84"/>
      <c r="GC219" s="84"/>
      <c r="GD219" s="84"/>
      <c r="GE219" s="84"/>
      <c r="GF219" s="84"/>
      <c r="GG219" s="84"/>
      <c r="GH219" s="84"/>
      <c r="GI219" s="84"/>
      <c r="GJ219" s="84"/>
      <c r="GK219" s="84"/>
      <c r="GL219" s="84"/>
      <c r="GM219" s="84"/>
      <c r="GN219" s="84"/>
      <c r="GO219" s="84"/>
      <c r="GP219" s="84"/>
      <c r="GQ219" s="84"/>
      <c r="GR219" s="84"/>
      <c r="GS219" s="84"/>
      <c r="GT219" s="84"/>
      <c r="GU219" s="84"/>
      <c r="GV219" s="84"/>
      <c r="GW219" s="84"/>
      <c r="GX219" s="84"/>
      <c r="GY219" s="84"/>
      <c r="GZ219" s="84"/>
      <c r="HA219" s="84"/>
      <c r="HB219" s="84"/>
      <c r="HC219" s="84"/>
      <c r="HD219" s="84"/>
      <c r="HE219" s="84"/>
      <c r="HF219" s="84"/>
      <c r="HG219" s="84"/>
      <c r="HH219" s="84"/>
      <c r="HI219" s="84"/>
      <c r="HJ219" s="84"/>
      <c r="HK219" s="84"/>
      <c r="HL219" s="84"/>
    </row>
    <row r="220" spans="1:220" s="81" customFormat="1" ht="16.5" customHeight="1" x14ac:dyDescent="0.15">
      <c r="A220" s="99"/>
      <c r="B220" s="91" t="s">
        <v>463</v>
      </c>
      <c r="C220" s="103"/>
      <c r="D220" s="90" t="s">
        <v>322</v>
      </c>
      <c r="G220" s="88" t="s">
        <v>477</v>
      </c>
      <c r="J220" s="83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  <c r="FU220" s="84"/>
      <c r="FV220" s="84"/>
      <c r="FW220" s="84"/>
      <c r="FX220" s="84"/>
      <c r="FY220" s="84"/>
      <c r="FZ220" s="84"/>
      <c r="GA220" s="84"/>
      <c r="GB220" s="84"/>
      <c r="GC220" s="84"/>
      <c r="GD220" s="84"/>
      <c r="GE220" s="84"/>
      <c r="GF220" s="84"/>
      <c r="GG220" s="84"/>
      <c r="GH220" s="84"/>
      <c r="GI220" s="84"/>
      <c r="GJ220" s="84"/>
      <c r="GK220" s="84"/>
      <c r="GL220" s="84"/>
      <c r="GM220" s="84"/>
      <c r="GN220" s="84"/>
      <c r="GO220" s="84"/>
      <c r="GP220" s="84"/>
      <c r="GQ220" s="84"/>
      <c r="GR220" s="84"/>
      <c r="GS220" s="84"/>
      <c r="GT220" s="84"/>
      <c r="GU220" s="84"/>
      <c r="GV220" s="84"/>
      <c r="GW220" s="84"/>
      <c r="GX220" s="84"/>
      <c r="GY220" s="84"/>
      <c r="GZ220" s="84"/>
      <c r="HA220" s="84"/>
      <c r="HB220" s="84"/>
      <c r="HC220" s="84"/>
      <c r="HD220" s="84"/>
      <c r="HE220" s="84"/>
      <c r="HF220" s="84"/>
      <c r="HG220" s="84"/>
      <c r="HH220" s="84"/>
      <c r="HI220" s="84"/>
      <c r="HJ220" s="84"/>
      <c r="HK220" s="84"/>
      <c r="HL220" s="84"/>
    </row>
    <row r="221" spans="1:220" s="81" customFormat="1" ht="16.5" customHeight="1" x14ac:dyDescent="0.15">
      <c r="A221" s="99"/>
      <c r="B221" s="91" t="s">
        <v>464</v>
      </c>
      <c r="C221" s="100" t="s">
        <v>594</v>
      </c>
      <c r="D221" s="90" t="s">
        <v>592</v>
      </c>
      <c r="G221" s="88" t="s">
        <v>477</v>
      </c>
      <c r="J221" s="83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  <c r="FU221" s="84"/>
      <c r="FV221" s="84"/>
      <c r="FW221" s="84"/>
      <c r="FX221" s="84"/>
      <c r="FY221" s="84"/>
      <c r="FZ221" s="84"/>
      <c r="GA221" s="84"/>
      <c r="GB221" s="84"/>
      <c r="GC221" s="84"/>
      <c r="GD221" s="84"/>
      <c r="GE221" s="84"/>
      <c r="GF221" s="84"/>
      <c r="GG221" s="84"/>
      <c r="GH221" s="84"/>
      <c r="GI221" s="84"/>
      <c r="GJ221" s="84"/>
      <c r="GK221" s="84"/>
      <c r="GL221" s="84"/>
      <c r="GM221" s="84"/>
      <c r="GN221" s="84"/>
      <c r="GO221" s="84"/>
      <c r="GP221" s="84"/>
      <c r="GQ221" s="84"/>
      <c r="GR221" s="84"/>
      <c r="GS221" s="84"/>
      <c r="GT221" s="84"/>
      <c r="GU221" s="84"/>
      <c r="GV221" s="84"/>
      <c r="GW221" s="84"/>
      <c r="GX221" s="84"/>
      <c r="GY221" s="84"/>
      <c r="GZ221" s="84"/>
      <c r="HA221" s="84"/>
      <c r="HB221" s="84"/>
      <c r="HC221" s="84"/>
      <c r="HD221" s="84"/>
      <c r="HE221" s="84"/>
      <c r="HF221" s="84"/>
      <c r="HG221" s="84"/>
      <c r="HH221" s="84"/>
      <c r="HI221" s="84"/>
      <c r="HJ221" s="84"/>
      <c r="HK221" s="84"/>
      <c r="HL221" s="84"/>
    </row>
    <row r="222" spans="1:220" s="81" customFormat="1" ht="16.5" customHeight="1" x14ac:dyDescent="0.15">
      <c r="A222" s="99"/>
      <c r="B222" s="91" t="s">
        <v>465</v>
      </c>
      <c r="C222" s="101"/>
      <c r="D222" s="90" t="s">
        <v>595</v>
      </c>
      <c r="G222" s="88" t="s">
        <v>477</v>
      </c>
      <c r="J222" s="83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  <c r="FU222" s="84"/>
      <c r="FV222" s="84"/>
      <c r="FW222" s="84"/>
      <c r="FX222" s="84"/>
      <c r="FY222" s="84"/>
      <c r="FZ222" s="84"/>
      <c r="GA222" s="84"/>
      <c r="GB222" s="84"/>
      <c r="GC222" s="84"/>
      <c r="GD222" s="84"/>
      <c r="GE222" s="84"/>
      <c r="GF222" s="84"/>
      <c r="GG222" s="84"/>
      <c r="GH222" s="84"/>
      <c r="GI222" s="84"/>
      <c r="GJ222" s="84"/>
      <c r="GK222" s="84"/>
      <c r="GL222" s="84"/>
      <c r="GM222" s="84"/>
      <c r="GN222" s="84"/>
      <c r="GO222" s="84"/>
      <c r="GP222" s="84"/>
      <c r="GQ222" s="84"/>
      <c r="GR222" s="84"/>
      <c r="GS222" s="84"/>
      <c r="GT222" s="84"/>
      <c r="GU222" s="84"/>
      <c r="GV222" s="84"/>
      <c r="GW222" s="84"/>
      <c r="GX222" s="84"/>
      <c r="GY222" s="84"/>
      <c r="GZ222" s="84"/>
      <c r="HA222" s="84"/>
      <c r="HB222" s="84"/>
      <c r="HC222" s="84"/>
      <c r="HD222" s="84"/>
      <c r="HE222" s="84"/>
      <c r="HF222" s="84"/>
      <c r="HG222" s="84"/>
      <c r="HH222" s="84"/>
      <c r="HI222" s="84"/>
      <c r="HJ222" s="84"/>
      <c r="HK222" s="84"/>
      <c r="HL222" s="84"/>
    </row>
    <row r="223" spans="1:220" s="81" customFormat="1" ht="16.5" customHeight="1" x14ac:dyDescent="0.15">
      <c r="A223" s="99"/>
      <c r="B223" s="91" t="s">
        <v>466</v>
      </c>
      <c r="C223" s="103"/>
      <c r="D223" s="90" t="s">
        <v>322</v>
      </c>
      <c r="G223" s="88" t="s">
        <v>477</v>
      </c>
      <c r="J223" s="83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  <c r="FU223" s="84"/>
      <c r="FV223" s="84"/>
      <c r="FW223" s="84"/>
      <c r="FX223" s="84"/>
      <c r="FY223" s="84"/>
      <c r="FZ223" s="84"/>
      <c r="GA223" s="84"/>
      <c r="GB223" s="84"/>
      <c r="GC223" s="84"/>
      <c r="GD223" s="84"/>
      <c r="GE223" s="84"/>
      <c r="GF223" s="84"/>
      <c r="GG223" s="84"/>
      <c r="GH223" s="84"/>
      <c r="GI223" s="84"/>
      <c r="GJ223" s="84"/>
      <c r="GK223" s="84"/>
      <c r="GL223" s="84"/>
      <c r="GM223" s="84"/>
      <c r="GN223" s="84"/>
      <c r="GO223" s="84"/>
      <c r="GP223" s="84"/>
      <c r="GQ223" s="84"/>
      <c r="GR223" s="84"/>
      <c r="GS223" s="84"/>
      <c r="GT223" s="84"/>
      <c r="GU223" s="84"/>
      <c r="GV223" s="84"/>
      <c r="GW223" s="84"/>
      <c r="GX223" s="84"/>
      <c r="GY223" s="84"/>
      <c r="GZ223" s="84"/>
      <c r="HA223" s="84"/>
      <c r="HB223" s="84"/>
      <c r="HC223" s="84"/>
      <c r="HD223" s="84"/>
      <c r="HE223" s="84"/>
      <c r="HF223" s="84"/>
      <c r="HG223" s="84"/>
      <c r="HH223" s="84"/>
      <c r="HI223" s="84"/>
      <c r="HJ223" s="84"/>
      <c r="HK223" s="84"/>
      <c r="HL223" s="84"/>
    </row>
    <row r="224" spans="1:220" s="81" customFormat="1" ht="16.5" customHeight="1" x14ac:dyDescent="0.15">
      <c r="A224" s="99"/>
      <c r="B224" s="91" t="s">
        <v>467</v>
      </c>
      <c r="C224" s="100" t="s">
        <v>597</v>
      </c>
      <c r="D224" s="90" t="s">
        <v>596</v>
      </c>
      <c r="G224" s="88" t="s">
        <v>477</v>
      </c>
      <c r="J224" s="83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  <c r="FU224" s="84"/>
      <c r="FV224" s="84"/>
      <c r="FW224" s="84"/>
      <c r="FX224" s="84"/>
      <c r="FY224" s="84"/>
      <c r="FZ224" s="84"/>
      <c r="GA224" s="84"/>
      <c r="GB224" s="84"/>
      <c r="GC224" s="84"/>
      <c r="GD224" s="84"/>
      <c r="GE224" s="84"/>
      <c r="GF224" s="84"/>
      <c r="GG224" s="84"/>
      <c r="GH224" s="84"/>
      <c r="GI224" s="84"/>
      <c r="GJ224" s="84"/>
      <c r="GK224" s="84"/>
      <c r="GL224" s="84"/>
      <c r="GM224" s="84"/>
      <c r="GN224" s="84"/>
      <c r="GO224" s="84"/>
      <c r="GP224" s="84"/>
      <c r="GQ224" s="84"/>
      <c r="GR224" s="84"/>
      <c r="GS224" s="84"/>
      <c r="GT224" s="84"/>
      <c r="GU224" s="84"/>
      <c r="GV224" s="84"/>
      <c r="GW224" s="84"/>
      <c r="GX224" s="84"/>
      <c r="GY224" s="84"/>
      <c r="GZ224" s="84"/>
      <c r="HA224" s="84"/>
      <c r="HB224" s="84"/>
      <c r="HC224" s="84"/>
      <c r="HD224" s="84"/>
      <c r="HE224" s="84"/>
      <c r="HF224" s="84"/>
      <c r="HG224" s="84"/>
      <c r="HH224" s="84"/>
      <c r="HI224" s="84"/>
      <c r="HJ224" s="84"/>
      <c r="HK224" s="84"/>
      <c r="HL224" s="84"/>
    </row>
    <row r="225" spans="1:220" s="81" customFormat="1" ht="16.5" customHeight="1" x14ac:dyDescent="0.15">
      <c r="A225" s="99"/>
      <c r="B225" s="91" t="s">
        <v>468</v>
      </c>
      <c r="C225" s="101"/>
      <c r="D225" s="90" t="s">
        <v>598</v>
      </c>
      <c r="G225" s="88" t="s">
        <v>477</v>
      </c>
      <c r="J225" s="83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  <c r="FU225" s="84"/>
      <c r="FV225" s="84"/>
      <c r="FW225" s="84"/>
      <c r="FX225" s="84"/>
      <c r="FY225" s="84"/>
      <c r="FZ225" s="84"/>
      <c r="GA225" s="84"/>
      <c r="GB225" s="84"/>
      <c r="GC225" s="84"/>
      <c r="GD225" s="84"/>
      <c r="GE225" s="84"/>
      <c r="GF225" s="84"/>
      <c r="GG225" s="84"/>
      <c r="GH225" s="84"/>
      <c r="GI225" s="84"/>
      <c r="GJ225" s="84"/>
      <c r="GK225" s="84"/>
      <c r="GL225" s="84"/>
      <c r="GM225" s="84"/>
      <c r="GN225" s="84"/>
      <c r="GO225" s="84"/>
      <c r="GP225" s="84"/>
      <c r="GQ225" s="84"/>
      <c r="GR225" s="84"/>
      <c r="GS225" s="84"/>
      <c r="GT225" s="84"/>
      <c r="GU225" s="84"/>
      <c r="GV225" s="84"/>
      <c r="GW225" s="84"/>
      <c r="GX225" s="84"/>
      <c r="GY225" s="84"/>
      <c r="GZ225" s="84"/>
      <c r="HA225" s="84"/>
      <c r="HB225" s="84"/>
      <c r="HC225" s="84"/>
      <c r="HD225" s="84"/>
      <c r="HE225" s="84"/>
      <c r="HF225" s="84"/>
      <c r="HG225" s="84"/>
      <c r="HH225" s="84"/>
      <c r="HI225" s="84"/>
      <c r="HJ225" s="84"/>
      <c r="HK225" s="84"/>
      <c r="HL225" s="84"/>
    </row>
    <row r="226" spans="1:220" s="81" customFormat="1" ht="16.5" customHeight="1" x14ac:dyDescent="0.15">
      <c r="A226" s="99"/>
      <c r="B226" s="91" t="s">
        <v>469</v>
      </c>
      <c r="C226" s="103"/>
      <c r="D226" s="90" t="s">
        <v>322</v>
      </c>
      <c r="G226" s="88" t="s">
        <v>477</v>
      </c>
      <c r="J226" s="83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  <c r="FU226" s="84"/>
      <c r="FV226" s="84"/>
      <c r="FW226" s="84"/>
      <c r="FX226" s="84"/>
      <c r="FY226" s="84"/>
      <c r="FZ226" s="84"/>
      <c r="GA226" s="84"/>
      <c r="GB226" s="84"/>
      <c r="GC226" s="84"/>
      <c r="GD226" s="84"/>
      <c r="GE226" s="84"/>
      <c r="GF226" s="84"/>
      <c r="GG226" s="84"/>
      <c r="GH226" s="84"/>
      <c r="GI226" s="84"/>
      <c r="GJ226" s="84"/>
      <c r="GK226" s="84"/>
      <c r="GL226" s="84"/>
      <c r="GM226" s="84"/>
      <c r="GN226" s="84"/>
      <c r="GO226" s="84"/>
      <c r="GP226" s="84"/>
      <c r="GQ226" s="84"/>
      <c r="GR226" s="84"/>
      <c r="GS226" s="84"/>
      <c r="GT226" s="84"/>
      <c r="GU226" s="84"/>
      <c r="GV226" s="84"/>
      <c r="GW226" s="84"/>
      <c r="GX226" s="84"/>
      <c r="GY226" s="84"/>
      <c r="GZ226" s="84"/>
      <c r="HA226" s="84"/>
      <c r="HB226" s="84"/>
      <c r="HC226" s="84"/>
      <c r="HD226" s="84"/>
      <c r="HE226" s="84"/>
      <c r="HF226" s="84"/>
      <c r="HG226" s="84"/>
      <c r="HH226" s="84"/>
      <c r="HI226" s="84"/>
      <c r="HJ226" s="84"/>
      <c r="HK226" s="84"/>
      <c r="HL226" s="84"/>
    </row>
    <row r="227" spans="1:220" s="81" customFormat="1" ht="16.5" customHeight="1" x14ac:dyDescent="0.15">
      <c r="A227" s="99"/>
      <c r="B227" s="91" t="s">
        <v>470</v>
      </c>
      <c r="C227" s="100" t="s">
        <v>605</v>
      </c>
      <c r="D227" s="90" t="s">
        <v>599</v>
      </c>
      <c r="G227" s="88" t="s">
        <v>477</v>
      </c>
      <c r="J227" s="83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  <c r="FU227" s="84"/>
      <c r="FV227" s="84"/>
      <c r="FW227" s="84"/>
      <c r="FX227" s="84"/>
      <c r="FY227" s="84"/>
      <c r="FZ227" s="84"/>
      <c r="GA227" s="84"/>
      <c r="GB227" s="84"/>
      <c r="GC227" s="84"/>
      <c r="GD227" s="84"/>
      <c r="GE227" s="84"/>
      <c r="GF227" s="84"/>
      <c r="GG227" s="84"/>
      <c r="GH227" s="84"/>
      <c r="GI227" s="84"/>
      <c r="GJ227" s="84"/>
      <c r="GK227" s="84"/>
      <c r="GL227" s="84"/>
      <c r="GM227" s="84"/>
      <c r="GN227" s="84"/>
      <c r="GO227" s="84"/>
      <c r="GP227" s="84"/>
      <c r="GQ227" s="84"/>
      <c r="GR227" s="84"/>
      <c r="GS227" s="84"/>
      <c r="GT227" s="84"/>
      <c r="GU227" s="84"/>
      <c r="GV227" s="84"/>
      <c r="GW227" s="84"/>
      <c r="GX227" s="84"/>
      <c r="GY227" s="84"/>
      <c r="GZ227" s="84"/>
      <c r="HA227" s="84"/>
      <c r="HB227" s="84"/>
      <c r="HC227" s="84"/>
      <c r="HD227" s="84"/>
      <c r="HE227" s="84"/>
      <c r="HF227" s="84"/>
      <c r="HG227" s="84"/>
      <c r="HH227" s="84"/>
      <c r="HI227" s="84"/>
      <c r="HJ227" s="84"/>
      <c r="HK227" s="84"/>
      <c r="HL227" s="84"/>
    </row>
    <row r="228" spans="1:220" s="81" customFormat="1" ht="16.5" customHeight="1" x14ac:dyDescent="0.15">
      <c r="A228" s="99"/>
      <c r="B228" s="91" t="s">
        <v>471</v>
      </c>
      <c r="C228" s="101"/>
      <c r="D228" s="90" t="s">
        <v>601</v>
      </c>
      <c r="G228" s="88" t="s">
        <v>477</v>
      </c>
      <c r="J228" s="83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  <c r="FU228" s="84"/>
      <c r="FV228" s="84"/>
      <c r="FW228" s="84"/>
      <c r="FX228" s="84"/>
      <c r="FY228" s="84"/>
      <c r="FZ228" s="84"/>
      <c r="GA228" s="84"/>
      <c r="GB228" s="84"/>
      <c r="GC228" s="84"/>
      <c r="GD228" s="84"/>
      <c r="GE228" s="84"/>
      <c r="GF228" s="84"/>
      <c r="GG228" s="84"/>
      <c r="GH228" s="84"/>
      <c r="GI228" s="84"/>
      <c r="GJ228" s="84"/>
      <c r="GK228" s="84"/>
      <c r="GL228" s="84"/>
      <c r="GM228" s="84"/>
      <c r="GN228" s="84"/>
      <c r="GO228" s="84"/>
      <c r="GP228" s="84"/>
      <c r="GQ228" s="84"/>
      <c r="GR228" s="84"/>
      <c r="GS228" s="84"/>
      <c r="GT228" s="84"/>
      <c r="GU228" s="84"/>
      <c r="GV228" s="84"/>
      <c r="GW228" s="84"/>
      <c r="GX228" s="84"/>
      <c r="GY228" s="84"/>
      <c r="GZ228" s="84"/>
      <c r="HA228" s="84"/>
      <c r="HB228" s="84"/>
      <c r="HC228" s="84"/>
      <c r="HD228" s="84"/>
      <c r="HE228" s="84"/>
      <c r="HF228" s="84"/>
      <c r="HG228" s="84"/>
      <c r="HH228" s="84"/>
      <c r="HI228" s="84"/>
      <c r="HJ228" s="84"/>
      <c r="HK228" s="84"/>
      <c r="HL228" s="84"/>
    </row>
    <row r="229" spans="1:220" s="81" customFormat="1" ht="16.5" customHeight="1" x14ac:dyDescent="0.15">
      <c r="A229" s="99"/>
      <c r="B229" s="91" t="s">
        <v>472</v>
      </c>
      <c r="C229" s="103"/>
      <c r="D229" s="90" t="s">
        <v>322</v>
      </c>
      <c r="G229" s="88" t="s">
        <v>477</v>
      </c>
      <c r="J229" s="83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  <c r="FU229" s="84"/>
      <c r="FV229" s="84"/>
      <c r="FW229" s="84"/>
      <c r="FX229" s="84"/>
      <c r="FY229" s="84"/>
      <c r="FZ229" s="84"/>
      <c r="GA229" s="84"/>
      <c r="GB229" s="84"/>
      <c r="GC229" s="84"/>
      <c r="GD229" s="84"/>
      <c r="GE229" s="84"/>
      <c r="GF229" s="84"/>
      <c r="GG229" s="84"/>
      <c r="GH229" s="84"/>
      <c r="GI229" s="84"/>
      <c r="GJ229" s="84"/>
      <c r="GK229" s="84"/>
      <c r="GL229" s="84"/>
      <c r="GM229" s="84"/>
      <c r="GN229" s="84"/>
      <c r="GO229" s="84"/>
      <c r="GP229" s="84"/>
      <c r="GQ229" s="84"/>
      <c r="GR229" s="84"/>
      <c r="GS229" s="84"/>
      <c r="GT229" s="84"/>
      <c r="GU229" s="84"/>
      <c r="GV229" s="84"/>
      <c r="GW229" s="84"/>
      <c r="GX229" s="84"/>
      <c r="GY229" s="84"/>
      <c r="GZ229" s="84"/>
      <c r="HA229" s="84"/>
      <c r="HB229" s="84"/>
      <c r="HC229" s="84"/>
      <c r="HD229" s="84"/>
      <c r="HE229" s="84"/>
      <c r="HF229" s="84"/>
      <c r="HG229" s="84"/>
      <c r="HH229" s="84"/>
      <c r="HI229" s="84"/>
      <c r="HJ229" s="84"/>
      <c r="HK229" s="84"/>
      <c r="HL229" s="84"/>
    </row>
    <row r="230" spans="1:220" s="81" customFormat="1" ht="16.5" customHeight="1" x14ac:dyDescent="0.15">
      <c r="A230" s="99"/>
      <c r="B230" s="91" t="s">
        <v>473</v>
      </c>
      <c r="C230" s="100" t="s">
        <v>606</v>
      </c>
      <c r="D230" s="90" t="s">
        <v>600</v>
      </c>
      <c r="G230" s="88" t="s">
        <v>477</v>
      </c>
      <c r="J230" s="83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  <c r="FU230" s="84"/>
      <c r="FV230" s="84"/>
      <c r="FW230" s="84"/>
      <c r="FX230" s="84"/>
      <c r="FY230" s="84"/>
      <c r="FZ230" s="84"/>
      <c r="GA230" s="84"/>
      <c r="GB230" s="84"/>
      <c r="GC230" s="84"/>
      <c r="GD230" s="84"/>
      <c r="GE230" s="84"/>
      <c r="GF230" s="84"/>
      <c r="GG230" s="84"/>
      <c r="GH230" s="84"/>
      <c r="GI230" s="84"/>
      <c r="GJ230" s="84"/>
      <c r="GK230" s="84"/>
      <c r="GL230" s="84"/>
      <c r="GM230" s="84"/>
      <c r="GN230" s="84"/>
      <c r="GO230" s="84"/>
      <c r="GP230" s="84"/>
      <c r="GQ230" s="84"/>
      <c r="GR230" s="84"/>
      <c r="GS230" s="84"/>
      <c r="GT230" s="84"/>
      <c r="GU230" s="84"/>
      <c r="GV230" s="84"/>
      <c r="GW230" s="84"/>
      <c r="GX230" s="84"/>
      <c r="GY230" s="84"/>
      <c r="GZ230" s="84"/>
      <c r="HA230" s="84"/>
      <c r="HB230" s="84"/>
      <c r="HC230" s="84"/>
      <c r="HD230" s="84"/>
      <c r="HE230" s="84"/>
      <c r="HF230" s="84"/>
      <c r="HG230" s="84"/>
      <c r="HH230" s="84"/>
      <c r="HI230" s="84"/>
      <c r="HJ230" s="84"/>
      <c r="HK230" s="84"/>
      <c r="HL230" s="84"/>
    </row>
    <row r="231" spans="1:220" s="81" customFormat="1" ht="16.5" customHeight="1" x14ac:dyDescent="0.15">
      <c r="A231" s="99"/>
      <c r="B231" s="91" t="s">
        <v>474</v>
      </c>
      <c r="C231" s="101"/>
      <c r="D231" s="90" t="s">
        <v>602</v>
      </c>
      <c r="G231" s="88" t="s">
        <v>477</v>
      </c>
      <c r="J231" s="83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  <c r="FU231" s="84"/>
      <c r="FV231" s="84"/>
      <c r="FW231" s="84"/>
      <c r="FX231" s="84"/>
      <c r="FY231" s="84"/>
      <c r="FZ231" s="84"/>
      <c r="GA231" s="84"/>
      <c r="GB231" s="84"/>
      <c r="GC231" s="84"/>
      <c r="GD231" s="84"/>
      <c r="GE231" s="84"/>
      <c r="GF231" s="84"/>
      <c r="GG231" s="84"/>
      <c r="GH231" s="84"/>
      <c r="GI231" s="84"/>
      <c r="GJ231" s="84"/>
      <c r="GK231" s="84"/>
      <c r="GL231" s="84"/>
      <c r="GM231" s="84"/>
      <c r="GN231" s="84"/>
      <c r="GO231" s="84"/>
      <c r="GP231" s="84"/>
      <c r="GQ231" s="84"/>
      <c r="GR231" s="84"/>
      <c r="GS231" s="84"/>
      <c r="GT231" s="84"/>
      <c r="GU231" s="84"/>
      <c r="GV231" s="84"/>
      <c r="GW231" s="84"/>
      <c r="GX231" s="84"/>
      <c r="GY231" s="84"/>
      <c r="GZ231" s="84"/>
      <c r="HA231" s="84"/>
      <c r="HB231" s="84"/>
      <c r="HC231" s="84"/>
      <c r="HD231" s="84"/>
      <c r="HE231" s="84"/>
      <c r="HF231" s="84"/>
      <c r="HG231" s="84"/>
      <c r="HH231" s="84"/>
      <c r="HI231" s="84"/>
      <c r="HJ231" s="84"/>
      <c r="HK231" s="84"/>
      <c r="HL231" s="84"/>
    </row>
    <row r="232" spans="1:220" s="81" customFormat="1" ht="16.5" customHeight="1" x14ac:dyDescent="0.15">
      <c r="A232" s="99"/>
      <c r="B232" s="91" t="s">
        <v>520</v>
      </c>
      <c r="C232" s="103"/>
      <c r="D232" s="90" t="s">
        <v>322</v>
      </c>
      <c r="G232" s="88" t="s">
        <v>477</v>
      </c>
      <c r="J232" s="83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  <c r="FU232" s="84"/>
      <c r="FV232" s="84"/>
      <c r="FW232" s="84"/>
      <c r="FX232" s="84"/>
      <c r="FY232" s="84"/>
      <c r="FZ232" s="84"/>
      <c r="GA232" s="84"/>
      <c r="GB232" s="84"/>
      <c r="GC232" s="84"/>
      <c r="GD232" s="84"/>
      <c r="GE232" s="84"/>
      <c r="GF232" s="84"/>
      <c r="GG232" s="84"/>
      <c r="GH232" s="84"/>
      <c r="GI232" s="84"/>
      <c r="GJ232" s="84"/>
      <c r="GK232" s="84"/>
      <c r="GL232" s="84"/>
      <c r="GM232" s="84"/>
      <c r="GN232" s="84"/>
      <c r="GO232" s="84"/>
      <c r="GP232" s="84"/>
      <c r="GQ232" s="84"/>
      <c r="GR232" s="84"/>
      <c r="GS232" s="84"/>
      <c r="GT232" s="84"/>
      <c r="GU232" s="84"/>
      <c r="GV232" s="84"/>
      <c r="GW232" s="84"/>
      <c r="GX232" s="84"/>
      <c r="GY232" s="84"/>
      <c r="GZ232" s="84"/>
      <c r="HA232" s="84"/>
      <c r="HB232" s="84"/>
      <c r="HC232" s="84"/>
      <c r="HD232" s="84"/>
      <c r="HE232" s="84"/>
      <c r="HF232" s="84"/>
      <c r="HG232" s="84"/>
      <c r="HH232" s="84"/>
      <c r="HI232" s="84"/>
      <c r="HJ232" s="84"/>
      <c r="HK232" s="84"/>
      <c r="HL232" s="84"/>
    </row>
    <row r="233" spans="1:220" s="81" customFormat="1" ht="16.5" customHeight="1" x14ac:dyDescent="0.15">
      <c r="A233" s="99"/>
      <c r="B233" s="91" t="s">
        <v>521</v>
      </c>
      <c r="C233" s="100" t="s">
        <v>607</v>
      </c>
      <c r="D233" s="90" t="s">
        <v>603</v>
      </c>
      <c r="G233" s="88" t="s">
        <v>477</v>
      </c>
      <c r="J233" s="83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  <c r="FU233" s="84"/>
      <c r="FV233" s="84"/>
      <c r="FW233" s="84"/>
      <c r="FX233" s="84"/>
      <c r="FY233" s="84"/>
      <c r="FZ233" s="84"/>
      <c r="GA233" s="84"/>
      <c r="GB233" s="84"/>
      <c r="GC233" s="84"/>
      <c r="GD233" s="84"/>
      <c r="GE233" s="84"/>
      <c r="GF233" s="84"/>
      <c r="GG233" s="84"/>
      <c r="GH233" s="84"/>
      <c r="GI233" s="84"/>
      <c r="GJ233" s="84"/>
      <c r="GK233" s="84"/>
      <c r="GL233" s="84"/>
      <c r="GM233" s="84"/>
      <c r="GN233" s="84"/>
      <c r="GO233" s="84"/>
      <c r="GP233" s="84"/>
      <c r="GQ233" s="84"/>
      <c r="GR233" s="84"/>
      <c r="GS233" s="84"/>
      <c r="GT233" s="84"/>
      <c r="GU233" s="84"/>
      <c r="GV233" s="84"/>
      <c r="GW233" s="84"/>
      <c r="GX233" s="84"/>
      <c r="GY233" s="84"/>
      <c r="GZ233" s="84"/>
      <c r="HA233" s="84"/>
      <c r="HB233" s="84"/>
      <c r="HC233" s="84"/>
      <c r="HD233" s="84"/>
      <c r="HE233" s="84"/>
      <c r="HF233" s="84"/>
      <c r="HG233" s="84"/>
      <c r="HH233" s="84"/>
      <c r="HI233" s="84"/>
      <c r="HJ233" s="84"/>
      <c r="HK233" s="84"/>
      <c r="HL233" s="84"/>
    </row>
    <row r="234" spans="1:220" s="81" customFormat="1" ht="16.5" customHeight="1" x14ac:dyDescent="0.15">
      <c r="A234" s="99"/>
      <c r="B234" s="91" t="s">
        <v>522</v>
      </c>
      <c r="C234" s="101"/>
      <c r="D234" s="90" t="s">
        <v>604</v>
      </c>
      <c r="G234" s="88" t="s">
        <v>477</v>
      </c>
      <c r="J234" s="83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  <c r="FU234" s="84"/>
      <c r="FV234" s="84"/>
      <c r="FW234" s="84"/>
      <c r="FX234" s="84"/>
      <c r="FY234" s="84"/>
      <c r="FZ234" s="84"/>
      <c r="GA234" s="84"/>
      <c r="GB234" s="84"/>
      <c r="GC234" s="84"/>
      <c r="GD234" s="84"/>
      <c r="GE234" s="84"/>
      <c r="GF234" s="84"/>
      <c r="GG234" s="84"/>
      <c r="GH234" s="84"/>
      <c r="GI234" s="84"/>
      <c r="GJ234" s="84"/>
      <c r="GK234" s="84"/>
      <c r="GL234" s="84"/>
      <c r="GM234" s="84"/>
      <c r="GN234" s="84"/>
      <c r="GO234" s="84"/>
      <c r="GP234" s="84"/>
      <c r="GQ234" s="84"/>
      <c r="GR234" s="84"/>
      <c r="GS234" s="84"/>
      <c r="GT234" s="84"/>
      <c r="GU234" s="84"/>
      <c r="GV234" s="84"/>
      <c r="GW234" s="84"/>
      <c r="GX234" s="84"/>
      <c r="GY234" s="84"/>
      <c r="GZ234" s="84"/>
      <c r="HA234" s="84"/>
      <c r="HB234" s="84"/>
      <c r="HC234" s="84"/>
      <c r="HD234" s="84"/>
      <c r="HE234" s="84"/>
      <c r="HF234" s="84"/>
      <c r="HG234" s="84"/>
      <c r="HH234" s="84"/>
      <c r="HI234" s="84"/>
      <c r="HJ234" s="84"/>
      <c r="HK234" s="84"/>
      <c r="HL234" s="84"/>
    </row>
    <row r="235" spans="1:220" s="81" customFormat="1" ht="16.5" customHeight="1" x14ac:dyDescent="0.15">
      <c r="A235" s="99"/>
      <c r="B235" s="91" t="s">
        <v>523</v>
      </c>
      <c r="C235" s="103"/>
      <c r="D235" s="90" t="s">
        <v>322</v>
      </c>
      <c r="G235" s="88" t="s">
        <v>477</v>
      </c>
      <c r="J235" s="83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  <c r="FU235" s="84"/>
      <c r="FV235" s="84"/>
      <c r="FW235" s="84"/>
      <c r="FX235" s="84"/>
      <c r="FY235" s="84"/>
      <c r="FZ235" s="84"/>
      <c r="GA235" s="84"/>
      <c r="GB235" s="84"/>
      <c r="GC235" s="84"/>
      <c r="GD235" s="84"/>
      <c r="GE235" s="84"/>
      <c r="GF235" s="84"/>
      <c r="GG235" s="84"/>
      <c r="GH235" s="84"/>
      <c r="GI235" s="84"/>
      <c r="GJ235" s="84"/>
      <c r="GK235" s="84"/>
      <c r="GL235" s="84"/>
      <c r="GM235" s="84"/>
      <c r="GN235" s="84"/>
      <c r="GO235" s="84"/>
      <c r="GP235" s="84"/>
      <c r="GQ235" s="84"/>
      <c r="GR235" s="84"/>
      <c r="GS235" s="84"/>
      <c r="GT235" s="84"/>
      <c r="GU235" s="84"/>
      <c r="GV235" s="84"/>
      <c r="GW235" s="84"/>
      <c r="GX235" s="84"/>
      <c r="GY235" s="84"/>
      <c r="GZ235" s="84"/>
      <c r="HA235" s="84"/>
      <c r="HB235" s="84"/>
      <c r="HC235" s="84"/>
      <c r="HD235" s="84"/>
      <c r="HE235" s="84"/>
      <c r="HF235" s="84"/>
      <c r="HG235" s="84"/>
      <c r="HH235" s="84"/>
      <c r="HI235" s="84"/>
      <c r="HJ235" s="84"/>
      <c r="HK235" s="84"/>
      <c r="HL235" s="84"/>
    </row>
    <row r="236" spans="1:220" s="81" customFormat="1" ht="16.5" customHeight="1" x14ac:dyDescent="0.15">
      <c r="A236" s="99"/>
      <c r="B236" s="91" t="s">
        <v>524</v>
      </c>
      <c r="C236" s="100" t="s">
        <v>608</v>
      </c>
      <c r="D236" s="90" t="s">
        <v>609</v>
      </c>
      <c r="G236" s="88" t="s">
        <v>477</v>
      </c>
      <c r="J236" s="83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  <c r="FU236" s="84"/>
      <c r="FV236" s="84"/>
      <c r="FW236" s="84"/>
      <c r="FX236" s="84"/>
      <c r="FY236" s="84"/>
      <c r="FZ236" s="84"/>
      <c r="GA236" s="84"/>
      <c r="GB236" s="84"/>
      <c r="GC236" s="84"/>
      <c r="GD236" s="84"/>
      <c r="GE236" s="84"/>
      <c r="GF236" s="84"/>
      <c r="GG236" s="84"/>
      <c r="GH236" s="84"/>
      <c r="GI236" s="84"/>
      <c r="GJ236" s="84"/>
      <c r="GK236" s="84"/>
      <c r="GL236" s="84"/>
      <c r="GM236" s="84"/>
      <c r="GN236" s="84"/>
      <c r="GO236" s="84"/>
      <c r="GP236" s="84"/>
      <c r="GQ236" s="84"/>
      <c r="GR236" s="84"/>
      <c r="GS236" s="84"/>
      <c r="GT236" s="84"/>
      <c r="GU236" s="84"/>
      <c r="GV236" s="84"/>
      <c r="GW236" s="84"/>
      <c r="GX236" s="84"/>
      <c r="GY236" s="84"/>
      <c r="GZ236" s="84"/>
      <c r="HA236" s="84"/>
      <c r="HB236" s="84"/>
      <c r="HC236" s="84"/>
      <c r="HD236" s="84"/>
      <c r="HE236" s="84"/>
      <c r="HF236" s="84"/>
      <c r="HG236" s="84"/>
      <c r="HH236" s="84"/>
      <c r="HI236" s="84"/>
      <c r="HJ236" s="84"/>
      <c r="HK236" s="84"/>
      <c r="HL236" s="84"/>
    </row>
    <row r="237" spans="1:220" s="81" customFormat="1" ht="16.5" customHeight="1" x14ac:dyDescent="0.15">
      <c r="A237" s="99"/>
      <c r="B237" s="91" t="s">
        <v>525</v>
      </c>
      <c r="C237" s="101"/>
      <c r="D237" s="90" t="s">
        <v>610</v>
      </c>
      <c r="G237" s="88" t="s">
        <v>477</v>
      </c>
      <c r="J237" s="83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  <c r="FU237" s="84"/>
      <c r="FV237" s="84"/>
      <c r="FW237" s="84"/>
      <c r="FX237" s="84"/>
      <c r="FY237" s="84"/>
      <c r="FZ237" s="84"/>
      <c r="GA237" s="84"/>
      <c r="GB237" s="84"/>
      <c r="GC237" s="84"/>
      <c r="GD237" s="84"/>
      <c r="GE237" s="84"/>
      <c r="GF237" s="84"/>
      <c r="GG237" s="84"/>
      <c r="GH237" s="84"/>
      <c r="GI237" s="84"/>
      <c r="GJ237" s="84"/>
      <c r="GK237" s="84"/>
      <c r="GL237" s="84"/>
      <c r="GM237" s="84"/>
      <c r="GN237" s="84"/>
      <c r="GO237" s="84"/>
      <c r="GP237" s="84"/>
      <c r="GQ237" s="84"/>
      <c r="GR237" s="84"/>
      <c r="GS237" s="84"/>
      <c r="GT237" s="84"/>
      <c r="GU237" s="84"/>
      <c r="GV237" s="84"/>
      <c r="GW237" s="84"/>
      <c r="GX237" s="84"/>
      <c r="GY237" s="84"/>
      <c r="GZ237" s="84"/>
      <c r="HA237" s="84"/>
      <c r="HB237" s="84"/>
      <c r="HC237" s="84"/>
      <c r="HD237" s="84"/>
      <c r="HE237" s="84"/>
      <c r="HF237" s="84"/>
      <c r="HG237" s="84"/>
      <c r="HH237" s="84"/>
      <c r="HI237" s="84"/>
      <c r="HJ237" s="84"/>
      <c r="HK237" s="84"/>
      <c r="HL237" s="84"/>
    </row>
    <row r="238" spans="1:220" s="81" customFormat="1" ht="16.5" customHeight="1" x14ac:dyDescent="0.15">
      <c r="A238" s="99"/>
      <c r="B238" s="91" t="s">
        <v>526</v>
      </c>
      <c r="C238" s="103"/>
      <c r="D238" s="90" t="s">
        <v>322</v>
      </c>
      <c r="G238" s="88" t="s">
        <v>477</v>
      </c>
      <c r="J238" s="83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  <c r="FU238" s="84"/>
      <c r="FV238" s="84"/>
      <c r="FW238" s="84"/>
      <c r="FX238" s="84"/>
      <c r="FY238" s="84"/>
      <c r="FZ238" s="84"/>
      <c r="GA238" s="84"/>
      <c r="GB238" s="84"/>
      <c r="GC238" s="84"/>
      <c r="GD238" s="84"/>
      <c r="GE238" s="84"/>
      <c r="GF238" s="84"/>
      <c r="GG238" s="84"/>
      <c r="GH238" s="84"/>
      <c r="GI238" s="84"/>
      <c r="GJ238" s="84"/>
      <c r="GK238" s="84"/>
      <c r="GL238" s="84"/>
      <c r="GM238" s="84"/>
      <c r="GN238" s="84"/>
      <c r="GO238" s="84"/>
      <c r="GP238" s="84"/>
      <c r="GQ238" s="84"/>
      <c r="GR238" s="84"/>
      <c r="GS238" s="84"/>
      <c r="GT238" s="84"/>
      <c r="GU238" s="84"/>
      <c r="GV238" s="84"/>
      <c r="GW238" s="84"/>
      <c r="GX238" s="84"/>
      <c r="GY238" s="84"/>
      <c r="GZ238" s="84"/>
      <c r="HA238" s="84"/>
      <c r="HB238" s="84"/>
      <c r="HC238" s="84"/>
      <c r="HD238" s="84"/>
      <c r="HE238" s="84"/>
      <c r="HF238" s="84"/>
      <c r="HG238" s="84"/>
      <c r="HH238" s="84"/>
      <c r="HI238" s="84"/>
      <c r="HJ238" s="84"/>
      <c r="HK238" s="84"/>
      <c r="HL238" s="84"/>
    </row>
    <row r="239" spans="1:220" s="81" customFormat="1" ht="16.5" customHeight="1" x14ac:dyDescent="0.15">
      <c r="A239" s="99"/>
      <c r="B239" s="91" t="s">
        <v>527</v>
      </c>
      <c r="C239" s="100" t="s">
        <v>611</v>
      </c>
      <c r="D239" s="90" t="s">
        <v>612</v>
      </c>
      <c r="G239" s="88" t="s">
        <v>477</v>
      </c>
      <c r="J239" s="83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  <c r="FU239" s="84"/>
      <c r="FV239" s="84"/>
      <c r="FW239" s="84"/>
      <c r="FX239" s="84"/>
      <c r="FY239" s="84"/>
      <c r="FZ239" s="84"/>
      <c r="GA239" s="84"/>
      <c r="GB239" s="84"/>
      <c r="GC239" s="84"/>
      <c r="GD239" s="84"/>
      <c r="GE239" s="84"/>
      <c r="GF239" s="84"/>
      <c r="GG239" s="84"/>
      <c r="GH239" s="84"/>
      <c r="GI239" s="84"/>
      <c r="GJ239" s="84"/>
      <c r="GK239" s="84"/>
      <c r="GL239" s="84"/>
      <c r="GM239" s="84"/>
      <c r="GN239" s="84"/>
      <c r="GO239" s="84"/>
      <c r="GP239" s="84"/>
      <c r="GQ239" s="84"/>
      <c r="GR239" s="84"/>
      <c r="GS239" s="84"/>
      <c r="GT239" s="84"/>
      <c r="GU239" s="84"/>
      <c r="GV239" s="84"/>
      <c r="GW239" s="84"/>
      <c r="GX239" s="84"/>
      <c r="GY239" s="84"/>
      <c r="GZ239" s="84"/>
      <c r="HA239" s="84"/>
      <c r="HB239" s="84"/>
      <c r="HC239" s="84"/>
      <c r="HD239" s="84"/>
      <c r="HE239" s="84"/>
      <c r="HF239" s="84"/>
      <c r="HG239" s="84"/>
      <c r="HH239" s="84"/>
      <c r="HI239" s="84"/>
      <c r="HJ239" s="84"/>
      <c r="HK239" s="84"/>
      <c r="HL239" s="84"/>
    </row>
    <row r="240" spans="1:220" s="81" customFormat="1" ht="16.5" customHeight="1" x14ac:dyDescent="0.15">
      <c r="A240" s="99"/>
      <c r="B240" s="91" t="s">
        <v>528</v>
      </c>
      <c r="C240" s="101"/>
      <c r="D240" s="90" t="s">
        <v>613</v>
      </c>
      <c r="G240" s="88" t="s">
        <v>477</v>
      </c>
      <c r="J240" s="83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  <c r="FU240" s="84"/>
      <c r="FV240" s="84"/>
      <c r="FW240" s="84"/>
      <c r="FX240" s="84"/>
      <c r="FY240" s="84"/>
      <c r="FZ240" s="84"/>
      <c r="GA240" s="84"/>
      <c r="GB240" s="84"/>
      <c r="GC240" s="84"/>
      <c r="GD240" s="84"/>
      <c r="GE240" s="84"/>
      <c r="GF240" s="84"/>
      <c r="GG240" s="84"/>
      <c r="GH240" s="84"/>
      <c r="GI240" s="84"/>
      <c r="GJ240" s="84"/>
      <c r="GK240" s="84"/>
      <c r="GL240" s="84"/>
      <c r="GM240" s="84"/>
      <c r="GN240" s="84"/>
      <c r="GO240" s="84"/>
      <c r="GP240" s="84"/>
      <c r="GQ240" s="84"/>
      <c r="GR240" s="84"/>
      <c r="GS240" s="84"/>
      <c r="GT240" s="84"/>
      <c r="GU240" s="84"/>
      <c r="GV240" s="84"/>
      <c r="GW240" s="84"/>
      <c r="GX240" s="84"/>
      <c r="GY240" s="84"/>
      <c r="GZ240" s="84"/>
      <c r="HA240" s="84"/>
      <c r="HB240" s="84"/>
      <c r="HC240" s="84"/>
      <c r="HD240" s="84"/>
      <c r="HE240" s="84"/>
      <c r="HF240" s="84"/>
      <c r="HG240" s="84"/>
      <c r="HH240" s="84"/>
      <c r="HI240" s="84"/>
      <c r="HJ240" s="84"/>
      <c r="HK240" s="84"/>
      <c r="HL240" s="84"/>
    </row>
    <row r="241" spans="1:220" s="81" customFormat="1" ht="16.5" customHeight="1" x14ac:dyDescent="0.15">
      <c r="A241" s="99"/>
      <c r="B241" s="91" t="s">
        <v>529</v>
      </c>
      <c r="C241" s="103"/>
      <c r="D241" s="90" t="s">
        <v>322</v>
      </c>
      <c r="G241" s="88" t="s">
        <v>477</v>
      </c>
      <c r="J241" s="83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  <c r="FU241" s="84"/>
      <c r="FV241" s="84"/>
      <c r="FW241" s="84"/>
      <c r="FX241" s="84"/>
      <c r="FY241" s="84"/>
      <c r="FZ241" s="84"/>
      <c r="GA241" s="84"/>
      <c r="GB241" s="84"/>
      <c r="GC241" s="84"/>
      <c r="GD241" s="84"/>
      <c r="GE241" s="84"/>
      <c r="GF241" s="84"/>
      <c r="GG241" s="84"/>
      <c r="GH241" s="84"/>
      <c r="GI241" s="84"/>
      <c r="GJ241" s="84"/>
      <c r="GK241" s="84"/>
      <c r="GL241" s="84"/>
      <c r="GM241" s="84"/>
      <c r="GN241" s="84"/>
      <c r="GO241" s="84"/>
      <c r="GP241" s="84"/>
      <c r="GQ241" s="84"/>
      <c r="GR241" s="84"/>
      <c r="GS241" s="84"/>
      <c r="GT241" s="84"/>
      <c r="GU241" s="84"/>
      <c r="GV241" s="84"/>
      <c r="GW241" s="84"/>
      <c r="GX241" s="84"/>
      <c r="GY241" s="84"/>
      <c r="GZ241" s="84"/>
      <c r="HA241" s="84"/>
      <c r="HB241" s="84"/>
      <c r="HC241" s="84"/>
      <c r="HD241" s="84"/>
      <c r="HE241" s="84"/>
      <c r="HF241" s="84"/>
      <c r="HG241" s="84"/>
      <c r="HH241" s="84"/>
      <c r="HI241" s="84"/>
      <c r="HJ241" s="84"/>
      <c r="HK241" s="84"/>
      <c r="HL241" s="84"/>
    </row>
    <row r="242" spans="1:220" s="81" customFormat="1" ht="16.5" customHeight="1" x14ac:dyDescent="0.15">
      <c r="A242" s="99"/>
      <c r="B242" s="91" t="s">
        <v>530</v>
      </c>
      <c r="C242" s="100" t="s">
        <v>614</v>
      </c>
      <c r="D242" s="90" t="s">
        <v>615</v>
      </c>
      <c r="G242" s="88" t="s">
        <v>477</v>
      </c>
      <c r="J242" s="83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  <c r="FU242" s="84"/>
      <c r="FV242" s="84"/>
      <c r="FW242" s="84"/>
      <c r="FX242" s="84"/>
      <c r="FY242" s="84"/>
      <c r="FZ242" s="84"/>
      <c r="GA242" s="84"/>
      <c r="GB242" s="84"/>
      <c r="GC242" s="84"/>
      <c r="GD242" s="84"/>
      <c r="GE242" s="84"/>
      <c r="GF242" s="84"/>
      <c r="GG242" s="84"/>
      <c r="GH242" s="84"/>
      <c r="GI242" s="84"/>
      <c r="GJ242" s="84"/>
      <c r="GK242" s="84"/>
      <c r="GL242" s="84"/>
      <c r="GM242" s="84"/>
      <c r="GN242" s="84"/>
      <c r="GO242" s="84"/>
      <c r="GP242" s="84"/>
      <c r="GQ242" s="84"/>
      <c r="GR242" s="84"/>
      <c r="GS242" s="84"/>
      <c r="GT242" s="84"/>
      <c r="GU242" s="84"/>
      <c r="GV242" s="84"/>
      <c r="GW242" s="84"/>
      <c r="GX242" s="84"/>
      <c r="GY242" s="84"/>
      <c r="GZ242" s="84"/>
      <c r="HA242" s="84"/>
      <c r="HB242" s="84"/>
      <c r="HC242" s="84"/>
      <c r="HD242" s="84"/>
      <c r="HE242" s="84"/>
      <c r="HF242" s="84"/>
      <c r="HG242" s="84"/>
      <c r="HH242" s="84"/>
      <c r="HI242" s="84"/>
      <c r="HJ242" s="84"/>
      <c r="HK242" s="84"/>
      <c r="HL242" s="84"/>
    </row>
    <row r="243" spans="1:220" s="81" customFormat="1" ht="16.5" customHeight="1" x14ac:dyDescent="0.15">
      <c r="A243" s="99"/>
      <c r="B243" s="91" t="s">
        <v>531</v>
      </c>
      <c r="C243" s="101"/>
      <c r="D243" s="90" t="s">
        <v>613</v>
      </c>
      <c r="G243" s="88" t="s">
        <v>477</v>
      </c>
      <c r="J243" s="83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  <c r="FU243" s="84"/>
      <c r="FV243" s="84"/>
      <c r="FW243" s="84"/>
      <c r="FX243" s="84"/>
      <c r="FY243" s="84"/>
      <c r="FZ243" s="84"/>
      <c r="GA243" s="84"/>
      <c r="GB243" s="84"/>
      <c r="GC243" s="84"/>
      <c r="GD243" s="84"/>
      <c r="GE243" s="84"/>
      <c r="GF243" s="84"/>
      <c r="GG243" s="84"/>
      <c r="GH243" s="84"/>
      <c r="GI243" s="84"/>
      <c r="GJ243" s="84"/>
      <c r="GK243" s="84"/>
      <c r="GL243" s="84"/>
      <c r="GM243" s="84"/>
      <c r="GN243" s="84"/>
      <c r="GO243" s="84"/>
      <c r="GP243" s="84"/>
      <c r="GQ243" s="84"/>
      <c r="GR243" s="84"/>
      <c r="GS243" s="84"/>
      <c r="GT243" s="84"/>
      <c r="GU243" s="84"/>
      <c r="GV243" s="84"/>
      <c r="GW243" s="84"/>
      <c r="GX243" s="84"/>
      <c r="GY243" s="84"/>
      <c r="GZ243" s="84"/>
      <c r="HA243" s="84"/>
      <c r="HB243" s="84"/>
      <c r="HC243" s="84"/>
      <c r="HD243" s="84"/>
      <c r="HE243" s="84"/>
      <c r="HF243" s="84"/>
      <c r="HG243" s="84"/>
      <c r="HH243" s="84"/>
      <c r="HI243" s="84"/>
      <c r="HJ243" s="84"/>
      <c r="HK243" s="84"/>
      <c r="HL243" s="84"/>
    </row>
    <row r="244" spans="1:220" s="81" customFormat="1" ht="16.5" customHeight="1" x14ac:dyDescent="0.15">
      <c r="A244" s="99"/>
      <c r="B244" s="91" t="s">
        <v>532</v>
      </c>
      <c r="C244" s="103"/>
      <c r="D244" s="90" t="s">
        <v>322</v>
      </c>
      <c r="G244" s="88" t="s">
        <v>477</v>
      </c>
      <c r="J244" s="83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  <c r="FU244" s="84"/>
      <c r="FV244" s="84"/>
      <c r="FW244" s="84"/>
      <c r="FX244" s="84"/>
      <c r="FY244" s="84"/>
      <c r="FZ244" s="84"/>
      <c r="GA244" s="84"/>
      <c r="GB244" s="84"/>
      <c r="GC244" s="84"/>
      <c r="GD244" s="84"/>
      <c r="GE244" s="84"/>
      <c r="GF244" s="84"/>
      <c r="GG244" s="84"/>
      <c r="GH244" s="84"/>
      <c r="GI244" s="84"/>
      <c r="GJ244" s="84"/>
      <c r="GK244" s="84"/>
      <c r="GL244" s="84"/>
      <c r="GM244" s="84"/>
      <c r="GN244" s="84"/>
      <c r="GO244" s="84"/>
      <c r="GP244" s="84"/>
      <c r="GQ244" s="84"/>
      <c r="GR244" s="84"/>
      <c r="GS244" s="84"/>
      <c r="GT244" s="84"/>
      <c r="GU244" s="84"/>
      <c r="GV244" s="84"/>
      <c r="GW244" s="84"/>
      <c r="GX244" s="84"/>
      <c r="GY244" s="84"/>
      <c r="GZ244" s="84"/>
      <c r="HA244" s="84"/>
      <c r="HB244" s="84"/>
      <c r="HC244" s="84"/>
      <c r="HD244" s="84"/>
      <c r="HE244" s="84"/>
      <c r="HF244" s="84"/>
      <c r="HG244" s="84"/>
      <c r="HH244" s="84"/>
      <c r="HI244" s="84"/>
      <c r="HJ244" s="84"/>
      <c r="HK244" s="84"/>
      <c r="HL244" s="84"/>
    </row>
    <row r="245" spans="1:220" s="81" customFormat="1" ht="16.5" customHeight="1" x14ac:dyDescent="0.15">
      <c r="A245" s="99"/>
      <c r="B245" s="91" t="s">
        <v>559</v>
      </c>
      <c r="C245" s="100" t="s">
        <v>616</v>
      </c>
      <c r="D245" s="90" t="s">
        <v>615</v>
      </c>
      <c r="G245" s="88" t="s">
        <v>477</v>
      </c>
      <c r="J245" s="83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  <c r="FU245" s="84"/>
      <c r="FV245" s="84"/>
      <c r="FW245" s="84"/>
      <c r="FX245" s="84"/>
      <c r="FY245" s="84"/>
      <c r="FZ245" s="84"/>
      <c r="GA245" s="84"/>
      <c r="GB245" s="84"/>
      <c r="GC245" s="84"/>
      <c r="GD245" s="84"/>
      <c r="GE245" s="84"/>
      <c r="GF245" s="84"/>
      <c r="GG245" s="84"/>
      <c r="GH245" s="84"/>
      <c r="GI245" s="84"/>
      <c r="GJ245" s="84"/>
      <c r="GK245" s="84"/>
      <c r="GL245" s="84"/>
      <c r="GM245" s="84"/>
      <c r="GN245" s="84"/>
      <c r="GO245" s="84"/>
      <c r="GP245" s="84"/>
      <c r="GQ245" s="84"/>
      <c r="GR245" s="84"/>
      <c r="GS245" s="84"/>
      <c r="GT245" s="84"/>
      <c r="GU245" s="84"/>
      <c r="GV245" s="84"/>
      <c r="GW245" s="84"/>
      <c r="GX245" s="84"/>
      <c r="GY245" s="84"/>
      <c r="GZ245" s="84"/>
      <c r="HA245" s="84"/>
      <c r="HB245" s="84"/>
      <c r="HC245" s="84"/>
      <c r="HD245" s="84"/>
      <c r="HE245" s="84"/>
      <c r="HF245" s="84"/>
      <c r="HG245" s="84"/>
      <c r="HH245" s="84"/>
      <c r="HI245" s="84"/>
      <c r="HJ245" s="84"/>
      <c r="HK245" s="84"/>
      <c r="HL245" s="84"/>
    </row>
    <row r="246" spans="1:220" s="81" customFormat="1" ht="16.5" customHeight="1" x14ac:dyDescent="0.15">
      <c r="A246" s="99"/>
      <c r="B246" s="91" t="s">
        <v>533</v>
      </c>
      <c r="C246" s="101"/>
      <c r="D246" s="90" t="s">
        <v>617</v>
      </c>
      <c r="G246" s="88" t="s">
        <v>477</v>
      </c>
      <c r="J246" s="83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  <c r="FU246" s="84"/>
      <c r="FV246" s="84"/>
      <c r="FW246" s="84"/>
      <c r="FX246" s="84"/>
      <c r="FY246" s="84"/>
      <c r="FZ246" s="84"/>
      <c r="GA246" s="84"/>
      <c r="GB246" s="84"/>
      <c r="GC246" s="84"/>
      <c r="GD246" s="84"/>
      <c r="GE246" s="84"/>
      <c r="GF246" s="84"/>
      <c r="GG246" s="84"/>
      <c r="GH246" s="84"/>
      <c r="GI246" s="84"/>
      <c r="GJ246" s="84"/>
      <c r="GK246" s="84"/>
      <c r="GL246" s="84"/>
      <c r="GM246" s="84"/>
      <c r="GN246" s="84"/>
      <c r="GO246" s="84"/>
      <c r="GP246" s="84"/>
      <c r="GQ246" s="84"/>
      <c r="GR246" s="84"/>
      <c r="GS246" s="84"/>
      <c r="GT246" s="84"/>
      <c r="GU246" s="84"/>
      <c r="GV246" s="84"/>
      <c r="GW246" s="84"/>
      <c r="GX246" s="84"/>
      <c r="GY246" s="84"/>
      <c r="GZ246" s="84"/>
      <c r="HA246" s="84"/>
      <c r="HB246" s="84"/>
      <c r="HC246" s="84"/>
      <c r="HD246" s="84"/>
      <c r="HE246" s="84"/>
      <c r="HF246" s="84"/>
      <c r="HG246" s="84"/>
      <c r="HH246" s="84"/>
      <c r="HI246" s="84"/>
      <c r="HJ246" s="84"/>
      <c r="HK246" s="84"/>
      <c r="HL246" s="84"/>
    </row>
    <row r="247" spans="1:220" s="81" customFormat="1" ht="16.5" customHeight="1" x14ac:dyDescent="0.15">
      <c r="A247" s="99"/>
      <c r="B247" s="91" t="s">
        <v>534</v>
      </c>
      <c r="C247" s="103"/>
      <c r="D247" s="90" t="s">
        <v>322</v>
      </c>
      <c r="G247" s="88" t="s">
        <v>477</v>
      </c>
      <c r="J247" s="83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  <c r="FU247" s="84"/>
      <c r="FV247" s="84"/>
      <c r="FW247" s="84"/>
      <c r="FX247" s="84"/>
      <c r="FY247" s="84"/>
      <c r="FZ247" s="84"/>
      <c r="GA247" s="84"/>
      <c r="GB247" s="84"/>
      <c r="GC247" s="84"/>
      <c r="GD247" s="84"/>
      <c r="GE247" s="84"/>
      <c r="GF247" s="84"/>
      <c r="GG247" s="84"/>
      <c r="GH247" s="84"/>
      <c r="GI247" s="84"/>
      <c r="GJ247" s="84"/>
      <c r="GK247" s="84"/>
      <c r="GL247" s="84"/>
      <c r="GM247" s="84"/>
      <c r="GN247" s="84"/>
      <c r="GO247" s="84"/>
      <c r="GP247" s="84"/>
      <c r="GQ247" s="84"/>
      <c r="GR247" s="84"/>
      <c r="GS247" s="84"/>
      <c r="GT247" s="84"/>
      <c r="GU247" s="84"/>
      <c r="GV247" s="84"/>
      <c r="GW247" s="84"/>
      <c r="GX247" s="84"/>
      <c r="GY247" s="84"/>
      <c r="GZ247" s="84"/>
      <c r="HA247" s="84"/>
      <c r="HB247" s="84"/>
      <c r="HC247" s="84"/>
      <c r="HD247" s="84"/>
      <c r="HE247" s="84"/>
      <c r="HF247" s="84"/>
      <c r="HG247" s="84"/>
      <c r="HH247" s="84"/>
      <c r="HI247" s="84"/>
      <c r="HJ247" s="84"/>
      <c r="HK247" s="84"/>
      <c r="HL247" s="84"/>
    </row>
    <row r="248" spans="1:220" s="81" customFormat="1" ht="16.5" customHeight="1" x14ac:dyDescent="0.15">
      <c r="A248" s="99"/>
      <c r="B248" s="91" t="s">
        <v>535</v>
      </c>
      <c r="C248" s="100" t="s">
        <v>619</v>
      </c>
      <c r="D248" s="90" t="s">
        <v>620</v>
      </c>
      <c r="G248" s="88" t="s">
        <v>477</v>
      </c>
      <c r="J248" s="83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  <c r="FU248" s="84"/>
      <c r="FV248" s="84"/>
      <c r="FW248" s="84"/>
      <c r="FX248" s="84"/>
      <c r="FY248" s="84"/>
      <c r="FZ248" s="84"/>
      <c r="GA248" s="84"/>
      <c r="GB248" s="84"/>
      <c r="GC248" s="84"/>
      <c r="GD248" s="84"/>
      <c r="GE248" s="84"/>
      <c r="GF248" s="84"/>
      <c r="GG248" s="84"/>
      <c r="GH248" s="84"/>
      <c r="GI248" s="84"/>
      <c r="GJ248" s="84"/>
      <c r="GK248" s="84"/>
      <c r="GL248" s="84"/>
      <c r="GM248" s="84"/>
      <c r="GN248" s="84"/>
      <c r="GO248" s="84"/>
      <c r="GP248" s="84"/>
      <c r="GQ248" s="84"/>
      <c r="GR248" s="84"/>
      <c r="GS248" s="84"/>
      <c r="GT248" s="84"/>
      <c r="GU248" s="84"/>
      <c r="GV248" s="84"/>
      <c r="GW248" s="84"/>
      <c r="GX248" s="84"/>
      <c r="GY248" s="84"/>
      <c r="GZ248" s="84"/>
      <c r="HA248" s="84"/>
      <c r="HB248" s="84"/>
      <c r="HC248" s="84"/>
      <c r="HD248" s="84"/>
      <c r="HE248" s="84"/>
      <c r="HF248" s="84"/>
      <c r="HG248" s="84"/>
      <c r="HH248" s="84"/>
      <c r="HI248" s="84"/>
      <c r="HJ248" s="84"/>
      <c r="HK248" s="84"/>
      <c r="HL248" s="84"/>
    </row>
    <row r="249" spans="1:220" s="81" customFormat="1" ht="16.5" customHeight="1" x14ac:dyDescent="0.15">
      <c r="A249" s="99"/>
      <c r="B249" s="91" t="s">
        <v>536</v>
      </c>
      <c r="C249" s="101"/>
      <c r="D249" s="90" t="s">
        <v>621</v>
      </c>
      <c r="G249" s="88" t="s">
        <v>477</v>
      </c>
      <c r="J249" s="83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  <c r="FU249" s="84"/>
      <c r="FV249" s="84"/>
      <c r="FW249" s="84"/>
      <c r="FX249" s="84"/>
      <c r="FY249" s="84"/>
      <c r="FZ249" s="84"/>
      <c r="GA249" s="84"/>
      <c r="GB249" s="84"/>
      <c r="GC249" s="84"/>
      <c r="GD249" s="84"/>
      <c r="GE249" s="84"/>
      <c r="GF249" s="84"/>
      <c r="GG249" s="84"/>
      <c r="GH249" s="84"/>
      <c r="GI249" s="84"/>
      <c r="GJ249" s="84"/>
      <c r="GK249" s="84"/>
      <c r="GL249" s="84"/>
      <c r="GM249" s="84"/>
      <c r="GN249" s="84"/>
      <c r="GO249" s="84"/>
      <c r="GP249" s="84"/>
      <c r="GQ249" s="84"/>
      <c r="GR249" s="84"/>
      <c r="GS249" s="84"/>
      <c r="GT249" s="84"/>
      <c r="GU249" s="84"/>
      <c r="GV249" s="84"/>
      <c r="GW249" s="84"/>
      <c r="GX249" s="84"/>
      <c r="GY249" s="84"/>
      <c r="GZ249" s="84"/>
      <c r="HA249" s="84"/>
      <c r="HB249" s="84"/>
      <c r="HC249" s="84"/>
      <c r="HD249" s="84"/>
      <c r="HE249" s="84"/>
      <c r="HF249" s="84"/>
      <c r="HG249" s="84"/>
      <c r="HH249" s="84"/>
      <c r="HI249" s="84"/>
      <c r="HJ249" s="84"/>
      <c r="HK249" s="84"/>
      <c r="HL249" s="84"/>
    </row>
    <row r="250" spans="1:220" s="81" customFormat="1" ht="16.5" customHeight="1" x14ac:dyDescent="0.15">
      <c r="A250" s="99"/>
      <c r="B250" s="91" t="s">
        <v>537</v>
      </c>
      <c r="C250" s="103"/>
      <c r="D250" s="90" t="s">
        <v>322</v>
      </c>
      <c r="G250" s="88" t="s">
        <v>477</v>
      </c>
      <c r="J250" s="83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  <c r="FU250" s="84"/>
      <c r="FV250" s="84"/>
      <c r="FW250" s="84"/>
      <c r="FX250" s="84"/>
      <c r="FY250" s="84"/>
      <c r="FZ250" s="84"/>
      <c r="GA250" s="84"/>
      <c r="GB250" s="84"/>
      <c r="GC250" s="84"/>
      <c r="GD250" s="84"/>
      <c r="GE250" s="84"/>
      <c r="GF250" s="84"/>
      <c r="GG250" s="84"/>
      <c r="GH250" s="84"/>
      <c r="GI250" s="84"/>
      <c r="GJ250" s="84"/>
      <c r="GK250" s="84"/>
      <c r="GL250" s="84"/>
      <c r="GM250" s="84"/>
      <c r="GN250" s="84"/>
      <c r="GO250" s="84"/>
      <c r="GP250" s="84"/>
      <c r="GQ250" s="84"/>
      <c r="GR250" s="84"/>
      <c r="GS250" s="84"/>
      <c r="GT250" s="84"/>
      <c r="GU250" s="84"/>
      <c r="GV250" s="84"/>
      <c r="GW250" s="84"/>
      <c r="GX250" s="84"/>
      <c r="GY250" s="84"/>
      <c r="GZ250" s="84"/>
      <c r="HA250" s="84"/>
      <c r="HB250" s="84"/>
      <c r="HC250" s="84"/>
      <c r="HD250" s="84"/>
      <c r="HE250" s="84"/>
      <c r="HF250" s="84"/>
      <c r="HG250" s="84"/>
      <c r="HH250" s="84"/>
      <c r="HI250" s="84"/>
      <c r="HJ250" s="84"/>
      <c r="HK250" s="84"/>
      <c r="HL250" s="84"/>
    </row>
    <row r="251" spans="1:220" s="81" customFormat="1" ht="16.5" customHeight="1" x14ac:dyDescent="0.15">
      <c r="A251" s="99"/>
      <c r="B251" s="91" t="s">
        <v>538</v>
      </c>
      <c r="C251" s="100" t="s">
        <v>622</v>
      </c>
      <c r="D251" s="90" t="s">
        <v>623</v>
      </c>
      <c r="G251" s="88" t="s">
        <v>477</v>
      </c>
      <c r="J251" s="83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  <c r="FU251" s="84"/>
      <c r="FV251" s="84"/>
      <c r="FW251" s="84"/>
      <c r="FX251" s="84"/>
      <c r="FY251" s="84"/>
      <c r="FZ251" s="84"/>
      <c r="GA251" s="84"/>
      <c r="GB251" s="84"/>
      <c r="GC251" s="84"/>
      <c r="GD251" s="84"/>
      <c r="GE251" s="84"/>
      <c r="GF251" s="84"/>
      <c r="GG251" s="84"/>
      <c r="GH251" s="84"/>
      <c r="GI251" s="84"/>
      <c r="GJ251" s="84"/>
      <c r="GK251" s="84"/>
      <c r="GL251" s="84"/>
      <c r="GM251" s="84"/>
      <c r="GN251" s="84"/>
      <c r="GO251" s="84"/>
      <c r="GP251" s="84"/>
      <c r="GQ251" s="84"/>
      <c r="GR251" s="84"/>
      <c r="GS251" s="84"/>
      <c r="GT251" s="84"/>
      <c r="GU251" s="84"/>
      <c r="GV251" s="84"/>
      <c r="GW251" s="84"/>
      <c r="GX251" s="84"/>
      <c r="GY251" s="84"/>
      <c r="GZ251" s="84"/>
      <c r="HA251" s="84"/>
      <c r="HB251" s="84"/>
      <c r="HC251" s="84"/>
      <c r="HD251" s="84"/>
      <c r="HE251" s="84"/>
      <c r="HF251" s="84"/>
      <c r="HG251" s="84"/>
      <c r="HH251" s="84"/>
      <c r="HI251" s="84"/>
      <c r="HJ251" s="84"/>
      <c r="HK251" s="84"/>
      <c r="HL251" s="84"/>
    </row>
    <row r="252" spans="1:220" s="81" customFormat="1" ht="16.5" customHeight="1" x14ac:dyDescent="0.15">
      <c r="A252" s="99"/>
      <c r="B252" s="91" t="s">
        <v>539</v>
      </c>
      <c r="C252" s="101"/>
      <c r="D252" s="90" t="s">
        <v>624</v>
      </c>
      <c r="G252" s="88" t="s">
        <v>477</v>
      </c>
      <c r="J252" s="83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  <c r="FU252" s="84"/>
      <c r="FV252" s="84"/>
      <c r="FW252" s="84"/>
      <c r="FX252" s="84"/>
      <c r="FY252" s="84"/>
      <c r="FZ252" s="84"/>
      <c r="GA252" s="84"/>
      <c r="GB252" s="84"/>
      <c r="GC252" s="84"/>
      <c r="GD252" s="84"/>
      <c r="GE252" s="84"/>
      <c r="GF252" s="84"/>
      <c r="GG252" s="84"/>
      <c r="GH252" s="84"/>
      <c r="GI252" s="84"/>
      <c r="GJ252" s="84"/>
      <c r="GK252" s="84"/>
      <c r="GL252" s="84"/>
      <c r="GM252" s="84"/>
      <c r="GN252" s="84"/>
      <c r="GO252" s="84"/>
      <c r="GP252" s="84"/>
      <c r="GQ252" s="84"/>
      <c r="GR252" s="84"/>
      <c r="GS252" s="84"/>
      <c r="GT252" s="84"/>
      <c r="GU252" s="84"/>
      <c r="GV252" s="84"/>
      <c r="GW252" s="84"/>
      <c r="GX252" s="84"/>
      <c r="GY252" s="84"/>
      <c r="GZ252" s="84"/>
      <c r="HA252" s="84"/>
      <c r="HB252" s="84"/>
      <c r="HC252" s="84"/>
      <c r="HD252" s="84"/>
      <c r="HE252" s="84"/>
      <c r="HF252" s="84"/>
      <c r="HG252" s="84"/>
      <c r="HH252" s="84"/>
      <c r="HI252" s="84"/>
      <c r="HJ252" s="84"/>
      <c r="HK252" s="84"/>
      <c r="HL252" s="84"/>
    </row>
    <row r="253" spans="1:220" s="81" customFormat="1" ht="16.5" customHeight="1" x14ac:dyDescent="0.15">
      <c r="A253" s="99"/>
      <c r="B253" s="91" t="s">
        <v>540</v>
      </c>
      <c r="C253" s="103"/>
      <c r="D253" s="90" t="s">
        <v>322</v>
      </c>
      <c r="G253" s="88" t="s">
        <v>477</v>
      </c>
      <c r="J253" s="83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  <c r="FU253" s="84"/>
      <c r="FV253" s="84"/>
      <c r="FW253" s="84"/>
      <c r="FX253" s="84"/>
      <c r="FY253" s="84"/>
      <c r="FZ253" s="84"/>
      <c r="GA253" s="84"/>
      <c r="GB253" s="84"/>
      <c r="GC253" s="84"/>
      <c r="GD253" s="84"/>
      <c r="GE253" s="84"/>
      <c r="GF253" s="84"/>
      <c r="GG253" s="84"/>
      <c r="GH253" s="84"/>
      <c r="GI253" s="84"/>
      <c r="GJ253" s="84"/>
      <c r="GK253" s="84"/>
      <c r="GL253" s="84"/>
      <c r="GM253" s="84"/>
      <c r="GN253" s="84"/>
      <c r="GO253" s="84"/>
      <c r="GP253" s="84"/>
      <c r="GQ253" s="84"/>
      <c r="GR253" s="84"/>
      <c r="GS253" s="84"/>
      <c r="GT253" s="84"/>
      <c r="GU253" s="84"/>
      <c r="GV253" s="84"/>
      <c r="GW253" s="84"/>
      <c r="GX253" s="84"/>
      <c r="GY253" s="84"/>
      <c r="GZ253" s="84"/>
      <c r="HA253" s="84"/>
      <c r="HB253" s="84"/>
      <c r="HC253" s="84"/>
      <c r="HD253" s="84"/>
      <c r="HE253" s="84"/>
      <c r="HF253" s="84"/>
      <c r="HG253" s="84"/>
      <c r="HH253" s="84"/>
      <c r="HI253" s="84"/>
      <c r="HJ253" s="84"/>
      <c r="HK253" s="84"/>
      <c r="HL253" s="84"/>
    </row>
    <row r="254" spans="1:220" s="81" customFormat="1" ht="16.5" customHeight="1" x14ac:dyDescent="0.15">
      <c r="A254" s="99"/>
      <c r="B254" s="91" t="s">
        <v>541</v>
      </c>
      <c r="C254" s="100" t="s">
        <v>625</v>
      </c>
      <c r="D254" s="90" t="s">
        <v>626</v>
      </c>
      <c r="G254" s="88" t="s">
        <v>477</v>
      </c>
      <c r="J254" s="83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  <c r="FU254" s="84"/>
      <c r="FV254" s="84"/>
      <c r="FW254" s="84"/>
      <c r="FX254" s="84"/>
      <c r="FY254" s="84"/>
      <c r="FZ254" s="84"/>
      <c r="GA254" s="84"/>
      <c r="GB254" s="84"/>
      <c r="GC254" s="84"/>
      <c r="GD254" s="84"/>
      <c r="GE254" s="84"/>
      <c r="GF254" s="84"/>
      <c r="GG254" s="84"/>
      <c r="GH254" s="84"/>
      <c r="GI254" s="84"/>
      <c r="GJ254" s="84"/>
      <c r="GK254" s="84"/>
      <c r="GL254" s="84"/>
      <c r="GM254" s="84"/>
      <c r="GN254" s="84"/>
      <c r="GO254" s="84"/>
      <c r="GP254" s="84"/>
      <c r="GQ254" s="84"/>
      <c r="GR254" s="84"/>
      <c r="GS254" s="84"/>
      <c r="GT254" s="84"/>
      <c r="GU254" s="84"/>
      <c r="GV254" s="84"/>
      <c r="GW254" s="84"/>
      <c r="GX254" s="84"/>
      <c r="GY254" s="84"/>
      <c r="GZ254" s="84"/>
      <c r="HA254" s="84"/>
      <c r="HB254" s="84"/>
      <c r="HC254" s="84"/>
      <c r="HD254" s="84"/>
      <c r="HE254" s="84"/>
      <c r="HF254" s="84"/>
      <c r="HG254" s="84"/>
      <c r="HH254" s="84"/>
      <c r="HI254" s="84"/>
      <c r="HJ254" s="84"/>
      <c r="HK254" s="84"/>
      <c r="HL254" s="84"/>
    </row>
    <row r="255" spans="1:220" s="81" customFormat="1" ht="16.5" customHeight="1" x14ac:dyDescent="0.15">
      <c r="A255" s="99"/>
      <c r="B255" s="91" t="s">
        <v>542</v>
      </c>
      <c r="C255" s="101"/>
      <c r="D255" s="90" t="s">
        <v>627</v>
      </c>
      <c r="G255" s="88" t="s">
        <v>477</v>
      </c>
      <c r="J255" s="83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  <c r="FU255" s="84"/>
      <c r="FV255" s="84"/>
      <c r="FW255" s="84"/>
      <c r="FX255" s="84"/>
      <c r="FY255" s="84"/>
      <c r="FZ255" s="84"/>
      <c r="GA255" s="84"/>
      <c r="GB255" s="84"/>
      <c r="GC255" s="84"/>
      <c r="GD255" s="84"/>
      <c r="GE255" s="84"/>
      <c r="GF255" s="84"/>
      <c r="GG255" s="84"/>
      <c r="GH255" s="84"/>
      <c r="GI255" s="84"/>
      <c r="GJ255" s="84"/>
      <c r="GK255" s="84"/>
      <c r="GL255" s="84"/>
      <c r="GM255" s="84"/>
      <c r="GN255" s="84"/>
      <c r="GO255" s="84"/>
      <c r="GP255" s="84"/>
      <c r="GQ255" s="84"/>
      <c r="GR255" s="84"/>
      <c r="GS255" s="84"/>
      <c r="GT255" s="84"/>
      <c r="GU255" s="84"/>
      <c r="GV255" s="84"/>
      <c r="GW255" s="84"/>
      <c r="GX255" s="84"/>
      <c r="GY255" s="84"/>
      <c r="GZ255" s="84"/>
      <c r="HA255" s="84"/>
      <c r="HB255" s="84"/>
      <c r="HC255" s="84"/>
      <c r="HD255" s="84"/>
      <c r="HE255" s="84"/>
      <c r="HF255" s="84"/>
      <c r="HG255" s="84"/>
      <c r="HH255" s="84"/>
      <c r="HI255" s="84"/>
      <c r="HJ255" s="84"/>
      <c r="HK255" s="84"/>
      <c r="HL255" s="84"/>
    </row>
    <row r="256" spans="1:220" s="81" customFormat="1" ht="16.5" customHeight="1" x14ac:dyDescent="0.15">
      <c r="A256" s="99"/>
      <c r="B256" s="91" t="s">
        <v>543</v>
      </c>
      <c r="C256" s="103"/>
      <c r="D256" s="90" t="s">
        <v>322</v>
      </c>
      <c r="G256" s="88" t="s">
        <v>477</v>
      </c>
      <c r="J256" s="83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  <c r="FU256" s="84"/>
      <c r="FV256" s="84"/>
      <c r="FW256" s="84"/>
      <c r="FX256" s="84"/>
      <c r="FY256" s="84"/>
      <c r="FZ256" s="84"/>
      <c r="GA256" s="84"/>
      <c r="GB256" s="84"/>
      <c r="GC256" s="84"/>
      <c r="GD256" s="84"/>
      <c r="GE256" s="84"/>
      <c r="GF256" s="84"/>
      <c r="GG256" s="84"/>
      <c r="GH256" s="84"/>
      <c r="GI256" s="84"/>
      <c r="GJ256" s="84"/>
      <c r="GK256" s="84"/>
      <c r="GL256" s="84"/>
      <c r="GM256" s="84"/>
      <c r="GN256" s="84"/>
      <c r="GO256" s="84"/>
      <c r="GP256" s="84"/>
      <c r="GQ256" s="84"/>
      <c r="GR256" s="84"/>
      <c r="GS256" s="84"/>
      <c r="GT256" s="84"/>
      <c r="GU256" s="84"/>
      <c r="GV256" s="84"/>
      <c r="GW256" s="84"/>
      <c r="GX256" s="84"/>
      <c r="GY256" s="84"/>
      <c r="GZ256" s="84"/>
      <c r="HA256" s="84"/>
      <c r="HB256" s="84"/>
      <c r="HC256" s="84"/>
      <c r="HD256" s="84"/>
      <c r="HE256" s="84"/>
      <c r="HF256" s="84"/>
      <c r="HG256" s="84"/>
      <c r="HH256" s="84"/>
      <c r="HI256" s="84"/>
      <c r="HJ256" s="84"/>
      <c r="HK256" s="84"/>
      <c r="HL256" s="84"/>
    </row>
    <row r="257" spans="1:220" s="81" customFormat="1" ht="16.5" customHeight="1" x14ac:dyDescent="0.15">
      <c r="A257" s="99"/>
      <c r="B257" s="91" t="s">
        <v>560</v>
      </c>
      <c r="C257" s="100" t="s">
        <v>628</v>
      </c>
      <c r="D257" s="90" t="s">
        <v>626</v>
      </c>
      <c r="G257" s="88" t="s">
        <v>477</v>
      </c>
      <c r="J257" s="83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  <c r="FU257" s="84"/>
      <c r="FV257" s="84"/>
      <c r="FW257" s="84"/>
      <c r="FX257" s="84"/>
      <c r="FY257" s="84"/>
      <c r="FZ257" s="84"/>
      <c r="GA257" s="84"/>
      <c r="GB257" s="84"/>
      <c r="GC257" s="84"/>
      <c r="GD257" s="84"/>
      <c r="GE257" s="84"/>
      <c r="GF257" s="84"/>
      <c r="GG257" s="84"/>
      <c r="GH257" s="84"/>
      <c r="GI257" s="84"/>
      <c r="GJ257" s="84"/>
      <c r="GK257" s="84"/>
      <c r="GL257" s="84"/>
      <c r="GM257" s="84"/>
      <c r="GN257" s="84"/>
      <c r="GO257" s="84"/>
      <c r="GP257" s="84"/>
      <c r="GQ257" s="84"/>
      <c r="GR257" s="84"/>
      <c r="GS257" s="84"/>
      <c r="GT257" s="84"/>
      <c r="GU257" s="84"/>
      <c r="GV257" s="84"/>
      <c r="GW257" s="84"/>
      <c r="GX257" s="84"/>
      <c r="GY257" s="84"/>
      <c r="GZ257" s="84"/>
      <c r="HA257" s="84"/>
      <c r="HB257" s="84"/>
      <c r="HC257" s="84"/>
      <c r="HD257" s="84"/>
      <c r="HE257" s="84"/>
      <c r="HF257" s="84"/>
      <c r="HG257" s="84"/>
      <c r="HH257" s="84"/>
      <c r="HI257" s="84"/>
      <c r="HJ257" s="84"/>
      <c r="HK257" s="84"/>
      <c r="HL257" s="84"/>
    </row>
    <row r="258" spans="1:220" s="81" customFormat="1" ht="16.5" customHeight="1" x14ac:dyDescent="0.15">
      <c r="A258" s="99"/>
      <c r="B258" s="91" t="s">
        <v>544</v>
      </c>
      <c r="C258" s="101"/>
      <c r="D258" s="90" t="s">
        <v>627</v>
      </c>
      <c r="G258" s="88" t="s">
        <v>477</v>
      </c>
      <c r="J258" s="83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  <c r="FU258" s="84"/>
      <c r="FV258" s="84"/>
      <c r="FW258" s="84"/>
      <c r="FX258" s="84"/>
      <c r="FY258" s="84"/>
      <c r="FZ258" s="84"/>
      <c r="GA258" s="84"/>
      <c r="GB258" s="84"/>
      <c r="GC258" s="84"/>
      <c r="GD258" s="84"/>
      <c r="GE258" s="84"/>
      <c r="GF258" s="84"/>
      <c r="GG258" s="84"/>
      <c r="GH258" s="84"/>
      <c r="GI258" s="84"/>
      <c r="GJ258" s="84"/>
      <c r="GK258" s="84"/>
      <c r="GL258" s="84"/>
      <c r="GM258" s="84"/>
      <c r="GN258" s="84"/>
      <c r="GO258" s="84"/>
      <c r="GP258" s="84"/>
      <c r="GQ258" s="84"/>
      <c r="GR258" s="84"/>
      <c r="GS258" s="84"/>
      <c r="GT258" s="84"/>
      <c r="GU258" s="84"/>
      <c r="GV258" s="84"/>
      <c r="GW258" s="84"/>
      <c r="GX258" s="84"/>
      <c r="GY258" s="84"/>
      <c r="GZ258" s="84"/>
      <c r="HA258" s="84"/>
      <c r="HB258" s="84"/>
      <c r="HC258" s="84"/>
      <c r="HD258" s="84"/>
      <c r="HE258" s="84"/>
      <c r="HF258" s="84"/>
      <c r="HG258" s="84"/>
      <c r="HH258" s="84"/>
      <c r="HI258" s="84"/>
      <c r="HJ258" s="84"/>
      <c r="HK258" s="84"/>
      <c r="HL258" s="84"/>
    </row>
    <row r="259" spans="1:220" s="81" customFormat="1" ht="16.5" customHeight="1" x14ac:dyDescent="0.15">
      <c r="A259" s="99"/>
      <c r="B259" s="91" t="s">
        <v>545</v>
      </c>
      <c r="C259" s="103"/>
      <c r="D259" s="90" t="s">
        <v>322</v>
      </c>
      <c r="G259" s="88" t="s">
        <v>477</v>
      </c>
      <c r="J259" s="83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  <c r="FU259" s="84"/>
      <c r="FV259" s="84"/>
      <c r="FW259" s="84"/>
      <c r="FX259" s="84"/>
      <c r="FY259" s="84"/>
      <c r="FZ259" s="84"/>
      <c r="GA259" s="84"/>
      <c r="GB259" s="84"/>
      <c r="GC259" s="84"/>
      <c r="GD259" s="84"/>
      <c r="GE259" s="84"/>
      <c r="GF259" s="84"/>
      <c r="GG259" s="84"/>
      <c r="GH259" s="84"/>
      <c r="GI259" s="84"/>
      <c r="GJ259" s="84"/>
      <c r="GK259" s="84"/>
      <c r="GL259" s="84"/>
      <c r="GM259" s="84"/>
      <c r="GN259" s="84"/>
      <c r="GO259" s="84"/>
      <c r="GP259" s="84"/>
      <c r="GQ259" s="84"/>
      <c r="GR259" s="84"/>
      <c r="GS259" s="84"/>
      <c r="GT259" s="84"/>
      <c r="GU259" s="84"/>
      <c r="GV259" s="84"/>
      <c r="GW259" s="84"/>
      <c r="GX259" s="84"/>
      <c r="GY259" s="84"/>
      <c r="GZ259" s="84"/>
      <c r="HA259" s="84"/>
      <c r="HB259" s="84"/>
      <c r="HC259" s="84"/>
      <c r="HD259" s="84"/>
      <c r="HE259" s="84"/>
      <c r="HF259" s="84"/>
      <c r="HG259" s="84"/>
      <c r="HH259" s="84"/>
      <c r="HI259" s="84"/>
      <c r="HJ259" s="84"/>
      <c r="HK259" s="84"/>
      <c r="HL259" s="84"/>
    </row>
    <row r="260" spans="1:220" s="81" customFormat="1" ht="16.5" customHeight="1" x14ac:dyDescent="0.15">
      <c r="A260" s="99"/>
      <c r="B260" s="91" t="s">
        <v>546</v>
      </c>
      <c r="C260" s="100" t="s">
        <v>629</v>
      </c>
      <c r="D260" s="90" t="s">
        <v>626</v>
      </c>
      <c r="G260" s="88" t="s">
        <v>477</v>
      </c>
      <c r="J260" s="83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  <c r="FU260" s="84"/>
      <c r="FV260" s="84"/>
      <c r="FW260" s="84"/>
      <c r="FX260" s="84"/>
      <c r="FY260" s="84"/>
      <c r="FZ260" s="84"/>
      <c r="GA260" s="84"/>
      <c r="GB260" s="84"/>
      <c r="GC260" s="84"/>
      <c r="GD260" s="84"/>
      <c r="GE260" s="84"/>
      <c r="GF260" s="84"/>
      <c r="GG260" s="84"/>
      <c r="GH260" s="84"/>
      <c r="GI260" s="84"/>
      <c r="GJ260" s="84"/>
      <c r="GK260" s="84"/>
      <c r="GL260" s="84"/>
      <c r="GM260" s="84"/>
      <c r="GN260" s="84"/>
      <c r="GO260" s="84"/>
      <c r="GP260" s="84"/>
      <c r="GQ260" s="84"/>
      <c r="GR260" s="84"/>
      <c r="GS260" s="84"/>
      <c r="GT260" s="84"/>
      <c r="GU260" s="84"/>
      <c r="GV260" s="84"/>
      <c r="GW260" s="84"/>
      <c r="GX260" s="84"/>
      <c r="GY260" s="84"/>
      <c r="GZ260" s="84"/>
      <c r="HA260" s="84"/>
      <c r="HB260" s="84"/>
      <c r="HC260" s="84"/>
      <c r="HD260" s="84"/>
      <c r="HE260" s="84"/>
      <c r="HF260" s="84"/>
      <c r="HG260" s="84"/>
      <c r="HH260" s="84"/>
      <c r="HI260" s="84"/>
      <c r="HJ260" s="84"/>
      <c r="HK260" s="84"/>
      <c r="HL260" s="84"/>
    </row>
    <row r="261" spans="1:220" s="81" customFormat="1" ht="16.5" customHeight="1" x14ac:dyDescent="0.15">
      <c r="A261" s="99"/>
      <c r="B261" s="91" t="s">
        <v>547</v>
      </c>
      <c r="C261" s="101"/>
      <c r="D261" s="90" t="s">
        <v>618</v>
      </c>
      <c r="G261" s="88" t="s">
        <v>477</v>
      </c>
      <c r="J261" s="83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  <c r="FU261" s="84"/>
      <c r="FV261" s="84"/>
      <c r="FW261" s="84"/>
      <c r="FX261" s="84"/>
      <c r="FY261" s="84"/>
      <c r="FZ261" s="84"/>
      <c r="GA261" s="84"/>
      <c r="GB261" s="84"/>
      <c r="GC261" s="84"/>
      <c r="GD261" s="84"/>
      <c r="GE261" s="84"/>
      <c r="GF261" s="84"/>
      <c r="GG261" s="84"/>
      <c r="GH261" s="84"/>
      <c r="GI261" s="84"/>
      <c r="GJ261" s="84"/>
      <c r="GK261" s="84"/>
      <c r="GL261" s="84"/>
      <c r="GM261" s="84"/>
      <c r="GN261" s="84"/>
      <c r="GO261" s="84"/>
      <c r="GP261" s="84"/>
      <c r="GQ261" s="84"/>
      <c r="GR261" s="84"/>
      <c r="GS261" s="84"/>
      <c r="GT261" s="84"/>
      <c r="GU261" s="84"/>
      <c r="GV261" s="84"/>
      <c r="GW261" s="84"/>
      <c r="GX261" s="84"/>
      <c r="GY261" s="84"/>
      <c r="GZ261" s="84"/>
      <c r="HA261" s="84"/>
      <c r="HB261" s="84"/>
      <c r="HC261" s="84"/>
      <c r="HD261" s="84"/>
      <c r="HE261" s="84"/>
      <c r="HF261" s="84"/>
      <c r="HG261" s="84"/>
      <c r="HH261" s="84"/>
      <c r="HI261" s="84"/>
      <c r="HJ261" s="84"/>
      <c r="HK261" s="84"/>
      <c r="HL261" s="84"/>
    </row>
    <row r="262" spans="1:220" s="81" customFormat="1" ht="16.5" customHeight="1" x14ac:dyDescent="0.15">
      <c r="A262" s="99"/>
      <c r="B262" s="91" t="s">
        <v>548</v>
      </c>
      <c r="C262" s="103"/>
      <c r="D262" s="90" t="s">
        <v>322</v>
      </c>
      <c r="G262" s="88" t="s">
        <v>477</v>
      </c>
      <c r="J262" s="83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  <c r="FU262" s="84"/>
      <c r="FV262" s="84"/>
      <c r="FW262" s="84"/>
      <c r="FX262" s="84"/>
      <c r="FY262" s="84"/>
      <c r="FZ262" s="84"/>
      <c r="GA262" s="84"/>
      <c r="GB262" s="84"/>
      <c r="GC262" s="84"/>
      <c r="GD262" s="84"/>
      <c r="GE262" s="84"/>
      <c r="GF262" s="84"/>
      <c r="GG262" s="84"/>
      <c r="GH262" s="84"/>
      <c r="GI262" s="84"/>
      <c r="GJ262" s="84"/>
      <c r="GK262" s="84"/>
      <c r="GL262" s="84"/>
      <c r="GM262" s="84"/>
      <c r="GN262" s="84"/>
      <c r="GO262" s="84"/>
      <c r="GP262" s="84"/>
      <c r="GQ262" s="84"/>
      <c r="GR262" s="84"/>
      <c r="GS262" s="84"/>
      <c r="GT262" s="84"/>
      <c r="GU262" s="84"/>
      <c r="GV262" s="84"/>
      <c r="GW262" s="84"/>
      <c r="GX262" s="84"/>
      <c r="GY262" s="84"/>
      <c r="GZ262" s="84"/>
      <c r="HA262" s="84"/>
      <c r="HB262" s="84"/>
      <c r="HC262" s="84"/>
      <c r="HD262" s="84"/>
      <c r="HE262" s="84"/>
      <c r="HF262" s="84"/>
      <c r="HG262" s="84"/>
      <c r="HH262" s="84"/>
      <c r="HI262" s="84"/>
      <c r="HJ262" s="84"/>
      <c r="HK262" s="84"/>
      <c r="HL262" s="84"/>
    </row>
    <row r="263" spans="1:220" s="81" customFormat="1" ht="16.5" customHeight="1" x14ac:dyDescent="0.15">
      <c r="A263" s="99"/>
      <c r="B263" s="91" t="s">
        <v>549</v>
      </c>
      <c r="C263" s="100" t="s">
        <v>679</v>
      </c>
      <c r="D263" s="90" t="s">
        <v>631</v>
      </c>
      <c r="G263" s="88" t="s">
        <v>477</v>
      </c>
      <c r="J263" s="83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  <c r="FU263" s="84"/>
      <c r="FV263" s="84"/>
      <c r="FW263" s="84"/>
      <c r="FX263" s="84"/>
      <c r="FY263" s="84"/>
      <c r="FZ263" s="84"/>
      <c r="GA263" s="84"/>
      <c r="GB263" s="84"/>
      <c r="GC263" s="84"/>
      <c r="GD263" s="84"/>
      <c r="GE263" s="84"/>
      <c r="GF263" s="84"/>
      <c r="GG263" s="84"/>
      <c r="GH263" s="84"/>
      <c r="GI263" s="84"/>
      <c r="GJ263" s="84"/>
      <c r="GK263" s="84"/>
      <c r="GL263" s="84"/>
      <c r="GM263" s="84"/>
      <c r="GN263" s="84"/>
      <c r="GO263" s="84"/>
      <c r="GP263" s="84"/>
      <c r="GQ263" s="84"/>
      <c r="GR263" s="84"/>
      <c r="GS263" s="84"/>
      <c r="GT263" s="84"/>
      <c r="GU263" s="84"/>
      <c r="GV263" s="84"/>
      <c r="GW263" s="84"/>
      <c r="GX263" s="84"/>
      <c r="GY263" s="84"/>
      <c r="GZ263" s="84"/>
      <c r="HA263" s="84"/>
      <c r="HB263" s="84"/>
      <c r="HC263" s="84"/>
      <c r="HD263" s="84"/>
      <c r="HE263" s="84"/>
      <c r="HF263" s="84"/>
      <c r="HG263" s="84"/>
      <c r="HH263" s="84"/>
      <c r="HI263" s="84"/>
      <c r="HJ263" s="84"/>
      <c r="HK263" s="84"/>
      <c r="HL263" s="84"/>
    </row>
    <row r="264" spans="1:220" s="81" customFormat="1" ht="16.5" customHeight="1" x14ac:dyDescent="0.15">
      <c r="A264" s="99"/>
      <c r="B264" s="91" t="s">
        <v>550</v>
      </c>
      <c r="C264" s="101"/>
      <c r="D264" s="90" t="s">
        <v>630</v>
      </c>
      <c r="G264" s="88" t="s">
        <v>477</v>
      </c>
      <c r="J264" s="83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  <c r="FU264" s="84"/>
      <c r="FV264" s="84"/>
      <c r="FW264" s="84"/>
      <c r="FX264" s="84"/>
      <c r="FY264" s="84"/>
      <c r="FZ264" s="84"/>
      <c r="GA264" s="84"/>
      <c r="GB264" s="84"/>
      <c r="GC264" s="84"/>
      <c r="GD264" s="84"/>
      <c r="GE264" s="84"/>
      <c r="GF264" s="84"/>
      <c r="GG264" s="84"/>
      <c r="GH264" s="84"/>
      <c r="GI264" s="84"/>
      <c r="GJ264" s="84"/>
      <c r="GK264" s="84"/>
      <c r="GL264" s="84"/>
      <c r="GM264" s="84"/>
      <c r="GN264" s="84"/>
      <c r="GO264" s="84"/>
      <c r="GP264" s="84"/>
      <c r="GQ264" s="84"/>
      <c r="GR264" s="84"/>
      <c r="GS264" s="84"/>
      <c r="GT264" s="84"/>
      <c r="GU264" s="84"/>
      <c r="GV264" s="84"/>
      <c r="GW264" s="84"/>
      <c r="GX264" s="84"/>
      <c r="GY264" s="84"/>
      <c r="GZ264" s="84"/>
      <c r="HA264" s="84"/>
      <c r="HB264" s="84"/>
      <c r="HC264" s="84"/>
      <c r="HD264" s="84"/>
      <c r="HE264" s="84"/>
      <c r="HF264" s="84"/>
      <c r="HG264" s="84"/>
      <c r="HH264" s="84"/>
      <c r="HI264" s="84"/>
      <c r="HJ264" s="84"/>
      <c r="HK264" s="84"/>
      <c r="HL264" s="84"/>
    </row>
    <row r="265" spans="1:220" s="81" customFormat="1" ht="16.5" customHeight="1" x14ac:dyDescent="0.15">
      <c r="A265" s="99"/>
      <c r="B265" s="91" t="s">
        <v>551</v>
      </c>
      <c r="C265" s="103"/>
      <c r="D265" s="90" t="s">
        <v>322</v>
      </c>
      <c r="G265" s="88" t="s">
        <v>477</v>
      </c>
      <c r="J265" s="83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  <c r="FU265" s="84"/>
      <c r="FV265" s="84"/>
      <c r="FW265" s="84"/>
      <c r="FX265" s="84"/>
      <c r="FY265" s="84"/>
      <c r="FZ265" s="84"/>
      <c r="GA265" s="84"/>
      <c r="GB265" s="84"/>
      <c r="GC265" s="84"/>
      <c r="GD265" s="84"/>
      <c r="GE265" s="84"/>
      <c r="GF265" s="84"/>
      <c r="GG265" s="84"/>
      <c r="GH265" s="84"/>
      <c r="GI265" s="84"/>
      <c r="GJ265" s="84"/>
      <c r="GK265" s="84"/>
      <c r="GL265" s="84"/>
      <c r="GM265" s="84"/>
      <c r="GN265" s="84"/>
      <c r="GO265" s="84"/>
      <c r="GP265" s="84"/>
      <c r="GQ265" s="84"/>
      <c r="GR265" s="84"/>
      <c r="GS265" s="84"/>
      <c r="GT265" s="84"/>
      <c r="GU265" s="84"/>
      <c r="GV265" s="84"/>
      <c r="GW265" s="84"/>
      <c r="GX265" s="84"/>
      <c r="GY265" s="84"/>
      <c r="GZ265" s="84"/>
      <c r="HA265" s="84"/>
      <c r="HB265" s="84"/>
      <c r="HC265" s="84"/>
      <c r="HD265" s="84"/>
      <c r="HE265" s="84"/>
      <c r="HF265" s="84"/>
      <c r="HG265" s="84"/>
      <c r="HH265" s="84"/>
      <c r="HI265" s="84"/>
      <c r="HJ265" s="84"/>
      <c r="HK265" s="84"/>
      <c r="HL265" s="84"/>
    </row>
    <row r="266" spans="1:220" s="81" customFormat="1" ht="16.5" customHeight="1" x14ac:dyDescent="0.15">
      <c r="A266" s="99"/>
      <c r="B266" s="91" t="s">
        <v>552</v>
      </c>
      <c r="C266" s="100" t="s">
        <v>680</v>
      </c>
      <c r="D266" s="90" t="s">
        <v>626</v>
      </c>
      <c r="G266" s="88" t="s">
        <v>477</v>
      </c>
      <c r="J266" s="83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  <c r="FU266" s="84"/>
      <c r="FV266" s="84"/>
      <c r="FW266" s="84"/>
      <c r="FX266" s="84"/>
      <c r="FY266" s="84"/>
      <c r="FZ266" s="84"/>
      <c r="GA266" s="84"/>
      <c r="GB266" s="84"/>
      <c r="GC266" s="84"/>
      <c r="GD266" s="84"/>
      <c r="GE266" s="84"/>
      <c r="GF266" s="84"/>
      <c r="GG266" s="84"/>
      <c r="GH266" s="84"/>
      <c r="GI266" s="84"/>
      <c r="GJ266" s="84"/>
      <c r="GK266" s="84"/>
      <c r="GL266" s="84"/>
      <c r="GM266" s="84"/>
      <c r="GN266" s="84"/>
      <c r="GO266" s="84"/>
      <c r="GP266" s="84"/>
      <c r="GQ266" s="84"/>
      <c r="GR266" s="84"/>
      <c r="GS266" s="84"/>
      <c r="GT266" s="84"/>
      <c r="GU266" s="84"/>
      <c r="GV266" s="84"/>
      <c r="GW266" s="84"/>
      <c r="GX266" s="84"/>
      <c r="GY266" s="84"/>
      <c r="GZ266" s="84"/>
      <c r="HA266" s="84"/>
      <c r="HB266" s="84"/>
      <c r="HC266" s="84"/>
      <c r="HD266" s="84"/>
      <c r="HE266" s="84"/>
      <c r="HF266" s="84"/>
      <c r="HG266" s="84"/>
      <c r="HH266" s="84"/>
      <c r="HI266" s="84"/>
      <c r="HJ266" s="84"/>
      <c r="HK266" s="84"/>
      <c r="HL266" s="84"/>
    </row>
    <row r="267" spans="1:220" s="81" customFormat="1" ht="16.5" customHeight="1" x14ac:dyDescent="0.15">
      <c r="A267" s="99"/>
      <c r="B267" s="91" t="s">
        <v>553</v>
      </c>
      <c r="C267" s="101"/>
      <c r="D267" s="90" t="s">
        <v>627</v>
      </c>
      <c r="G267" s="88" t="s">
        <v>477</v>
      </c>
      <c r="J267" s="83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  <c r="FU267" s="84"/>
      <c r="FV267" s="84"/>
      <c r="FW267" s="84"/>
      <c r="FX267" s="84"/>
      <c r="FY267" s="84"/>
      <c r="FZ267" s="84"/>
      <c r="GA267" s="84"/>
      <c r="GB267" s="84"/>
      <c r="GC267" s="84"/>
      <c r="GD267" s="84"/>
      <c r="GE267" s="84"/>
      <c r="GF267" s="84"/>
      <c r="GG267" s="84"/>
      <c r="GH267" s="84"/>
      <c r="GI267" s="84"/>
      <c r="GJ267" s="84"/>
      <c r="GK267" s="84"/>
      <c r="GL267" s="84"/>
      <c r="GM267" s="84"/>
      <c r="GN267" s="84"/>
      <c r="GO267" s="84"/>
      <c r="GP267" s="84"/>
      <c r="GQ267" s="84"/>
      <c r="GR267" s="84"/>
      <c r="GS267" s="84"/>
      <c r="GT267" s="84"/>
      <c r="GU267" s="84"/>
      <c r="GV267" s="84"/>
      <c r="GW267" s="84"/>
      <c r="GX267" s="84"/>
      <c r="GY267" s="84"/>
      <c r="GZ267" s="84"/>
      <c r="HA267" s="84"/>
      <c r="HB267" s="84"/>
      <c r="HC267" s="84"/>
      <c r="HD267" s="84"/>
      <c r="HE267" s="84"/>
      <c r="HF267" s="84"/>
      <c r="HG267" s="84"/>
      <c r="HH267" s="84"/>
      <c r="HI267" s="84"/>
      <c r="HJ267" s="84"/>
      <c r="HK267" s="84"/>
      <c r="HL267" s="84"/>
    </row>
    <row r="268" spans="1:220" s="81" customFormat="1" ht="16.5" customHeight="1" x14ac:dyDescent="0.15">
      <c r="A268" s="99"/>
      <c r="B268" s="91" t="s">
        <v>554</v>
      </c>
      <c r="C268" s="103"/>
      <c r="D268" s="90" t="s">
        <v>322</v>
      </c>
      <c r="G268" s="88" t="s">
        <v>477</v>
      </c>
      <c r="J268" s="83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  <c r="FU268" s="84"/>
      <c r="FV268" s="84"/>
      <c r="FW268" s="84"/>
      <c r="FX268" s="84"/>
      <c r="FY268" s="84"/>
      <c r="FZ268" s="84"/>
      <c r="GA268" s="84"/>
      <c r="GB268" s="84"/>
      <c r="GC268" s="84"/>
      <c r="GD268" s="84"/>
      <c r="GE268" s="84"/>
      <c r="GF268" s="84"/>
      <c r="GG268" s="84"/>
      <c r="GH268" s="84"/>
      <c r="GI268" s="84"/>
      <c r="GJ268" s="84"/>
      <c r="GK268" s="84"/>
      <c r="GL268" s="84"/>
      <c r="GM268" s="84"/>
      <c r="GN268" s="84"/>
      <c r="GO268" s="84"/>
      <c r="GP268" s="84"/>
      <c r="GQ268" s="84"/>
      <c r="GR268" s="84"/>
      <c r="GS268" s="84"/>
      <c r="GT268" s="84"/>
      <c r="GU268" s="84"/>
      <c r="GV268" s="84"/>
      <c r="GW268" s="84"/>
      <c r="GX268" s="84"/>
      <c r="GY268" s="84"/>
      <c r="GZ268" s="84"/>
      <c r="HA268" s="84"/>
      <c r="HB268" s="84"/>
      <c r="HC268" s="84"/>
      <c r="HD268" s="84"/>
      <c r="HE268" s="84"/>
      <c r="HF268" s="84"/>
      <c r="HG268" s="84"/>
      <c r="HH268" s="84"/>
      <c r="HI268" s="84"/>
      <c r="HJ268" s="84"/>
      <c r="HK268" s="84"/>
      <c r="HL268" s="84"/>
    </row>
    <row r="269" spans="1:220" s="81" customFormat="1" ht="16.5" customHeight="1" x14ac:dyDescent="0.15">
      <c r="A269" s="99"/>
      <c r="B269" s="91" t="s">
        <v>632</v>
      </c>
      <c r="C269" s="100" t="s">
        <v>681</v>
      </c>
      <c r="D269" s="90" t="s">
        <v>631</v>
      </c>
      <c r="G269" s="88" t="s">
        <v>477</v>
      </c>
      <c r="J269" s="83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  <c r="FU269" s="84"/>
      <c r="FV269" s="84"/>
      <c r="FW269" s="84"/>
      <c r="FX269" s="84"/>
      <c r="FY269" s="84"/>
      <c r="FZ269" s="84"/>
      <c r="GA269" s="84"/>
      <c r="GB269" s="84"/>
      <c r="GC269" s="84"/>
      <c r="GD269" s="84"/>
      <c r="GE269" s="84"/>
      <c r="GF269" s="84"/>
      <c r="GG269" s="84"/>
      <c r="GH269" s="84"/>
      <c r="GI269" s="84"/>
      <c r="GJ269" s="84"/>
      <c r="GK269" s="84"/>
      <c r="GL269" s="84"/>
      <c r="GM269" s="84"/>
      <c r="GN269" s="84"/>
      <c r="GO269" s="84"/>
      <c r="GP269" s="84"/>
      <c r="GQ269" s="84"/>
      <c r="GR269" s="84"/>
      <c r="GS269" s="84"/>
      <c r="GT269" s="84"/>
      <c r="GU269" s="84"/>
      <c r="GV269" s="84"/>
      <c r="GW269" s="84"/>
      <c r="GX269" s="84"/>
      <c r="GY269" s="84"/>
      <c r="GZ269" s="84"/>
      <c r="HA269" s="84"/>
      <c r="HB269" s="84"/>
      <c r="HC269" s="84"/>
      <c r="HD269" s="84"/>
      <c r="HE269" s="84"/>
      <c r="HF269" s="84"/>
      <c r="HG269" s="84"/>
      <c r="HH269" s="84"/>
      <c r="HI269" s="84"/>
      <c r="HJ269" s="84"/>
      <c r="HK269" s="84"/>
      <c r="HL269" s="84"/>
    </row>
    <row r="270" spans="1:220" s="81" customFormat="1" ht="16.5" customHeight="1" x14ac:dyDescent="0.15">
      <c r="A270" s="99"/>
      <c r="B270" s="91" t="s">
        <v>555</v>
      </c>
      <c r="C270" s="101"/>
      <c r="D270" s="90" t="s">
        <v>630</v>
      </c>
      <c r="G270" s="88" t="s">
        <v>477</v>
      </c>
      <c r="J270" s="83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  <c r="FU270" s="84"/>
      <c r="FV270" s="84"/>
      <c r="FW270" s="84"/>
      <c r="FX270" s="84"/>
      <c r="FY270" s="84"/>
      <c r="FZ270" s="84"/>
      <c r="GA270" s="84"/>
      <c r="GB270" s="84"/>
      <c r="GC270" s="84"/>
      <c r="GD270" s="84"/>
      <c r="GE270" s="84"/>
      <c r="GF270" s="84"/>
      <c r="GG270" s="84"/>
      <c r="GH270" s="84"/>
      <c r="GI270" s="84"/>
      <c r="GJ270" s="84"/>
      <c r="GK270" s="84"/>
      <c r="GL270" s="84"/>
      <c r="GM270" s="84"/>
      <c r="GN270" s="84"/>
      <c r="GO270" s="84"/>
      <c r="GP270" s="84"/>
      <c r="GQ270" s="84"/>
      <c r="GR270" s="84"/>
      <c r="GS270" s="84"/>
      <c r="GT270" s="84"/>
      <c r="GU270" s="84"/>
      <c r="GV270" s="84"/>
      <c r="GW270" s="84"/>
      <c r="GX270" s="84"/>
      <c r="GY270" s="84"/>
      <c r="GZ270" s="84"/>
      <c r="HA270" s="84"/>
      <c r="HB270" s="84"/>
      <c r="HC270" s="84"/>
      <c r="HD270" s="84"/>
      <c r="HE270" s="84"/>
      <c r="HF270" s="84"/>
      <c r="HG270" s="84"/>
      <c r="HH270" s="84"/>
      <c r="HI270" s="84"/>
      <c r="HJ270" s="84"/>
      <c r="HK270" s="84"/>
      <c r="HL270" s="84"/>
    </row>
    <row r="271" spans="1:220" s="81" customFormat="1" ht="16.5" customHeight="1" x14ac:dyDescent="0.15">
      <c r="A271" s="99"/>
      <c r="B271" s="91" t="s">
        <v>556</v>
      </c>
      <c r="C271" s="103"/>
      <c r="D271" s="90" t="s">
        <v>322</v>
      </c>
      <c r="G271" s="88" t="s">
        <v>477</v>
      </c>
      <c r="J271" s="83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  <c r="FU271" s="84"/>
      <c r="FV271" s="84"/>
      <c r="FW271" s="84"/>
      <c r="FX271" s="84"/>
      <c r="FY271" s="84"/>
      <c r="FZ271" s="84"/>
      <c r="GA271" s="84"/>
      <c r="GB271" s="84"/>
      <c r="GC271" s="84"/>
      <c r="GD271" s="84"/>
      <c r="GE271" s="84"/>
      <c r="GF271" s="84"/>
      <c r="GG271" s="84"/>
      <c r="GH271" s="84"/>
      <c r="GI271" s="84"/>
      <c r="GJ271" s="84"/>
      <c r="GK271" s="84"/>
      <c r="GL271" s="84"/>
      <c r="GM271" s="84"/>
      <c r="GN271" s="84"/>
      <c r="GO271" s="84"/>
      <c r="GP271" s="84"/>
      <c r="GQ271" s="84"/>
      <c r="GR271" s="84"/>
      <c r="GS271" s="84"/>
      <c r="GT271" s="84"/>
      <c r="GU271" s="84"/>
      <c r="GV271" s="84"/>
      <c r="GW271" s="84"/>
      <c r="GX271" s="84"/>
      <c r="GY271" s="84"/>
      <c r="GZ271" s="84"/>
      <c r="HA271" s="84"/>
      <c r="HB271" s="84"/>
      <c r="HC271" s="84"/>
      <c r="HD271" s="84"/>
      <c r="HE271" s="84"/>
      <c r="HF271" s="84"/>
      <c r="HG271" s="84"/>
      <c r="HH271" s="84"/>
      <c r="HI271" s="84"/>
      <c r="HJ271" s="84"/>
      <c r="HK271" s="84"/>
      <c r="HL271" s="84"/>
    </row>
    <row r="272" spans="1:220" s="81" customFormat="1" ht="16.5" customHeight="1" x14ac:dyDescent="0.15">
      <c r="A272" s="99"/>
      <c r="B272" s="91" t="s">
        <v>561</v>
      </c>
      <c r="C272" s="100" t="s">
        <v>682</v>
      </c>
      <c r="D272" s="90" t="s">
        <v>683</v>
      </c>
      <c r="G272" s="88" t="s">
        <v>477</v>
      </c>
      <c r="J272" s="83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  <c r="FU272" s="84"/>
      <c r="FV272" s="84"/>
      <c r="FW272" s="84"/>
      <c r="FX272" s="84"/>
      <c r="FY272" s="84"/>
      <c r="FZ272" s="84"/>
      <c r="GA272" s="84"/>
      <c r="GB272" s="84"/>
      <c r="GC272" s="84"/>
      <c r="GD272" s="84"/>
      <c r="GE272" s="84"/>
      <c r="GF272" s="84"/>
      <c r="GG272" s="84"/>
      <c r="GH272" s="84"/>
      <c r="GI272" s="84"/>
      <c r="GJ272" s="84"/>
      <c r="GK272" s="84"/>
      <c r="GL272" s="84"/>
      <c r="GM272" s="84"/>
      <c r="GN272" s="84"/>
      <c r="GO272" s="84"/>
      <c r="GP272" s="84"/>
      <c r="GQ272" s="84"/>
      <c r="GR272" s="84"/>
      <c r="GS272" s="84"/>
      <c r="GT272" s="84"/>
      <c r="GU272" s="84"/>
      <c r="GV272" s="84"/>
      <c r="GW272" s="84"/>
      <c r="GX272" s="84"/>
      <c r="GY272" s="84"/>
      <c r="GZ272" s="84"/>
      <c r="HA272" s="84"/>
      <c r="HB272" s="84"/>
      <c r="HC272" s="84"/>
      <c r="HD272" s="84"/>
      <c r="HE272" s="84"/>
      <c r="HF272" s="84"/>
      <c r="HG272" s="84"/>
      <c r="HH272" s="84"/>
      <c r="HI272" s="84"/>
      <c r="HJ272" s="84"/>
      <c r="HK272" s="84"/>
      <c r="HL272" s="84"/>
    </row>
    <row r="273" spans="1:220" s="81" customFormat="1" ht="16.5" customHeight="1" x14ac:dyDescent="0.15">
      <c r="A273" s="99"/>
      <c r="B273" s="91" t="s">
        <v>562</v>
      </c>
      <c r="C273" s="101"/>
      <c r="D273" s="90" t="s">
        <v>630</v>
      </c>
      <c r="G273" s="88" t="s">
        <v>477</v>
      </c>
      <c r="J273" s="83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  <c r="FU273" s="84"/>
      <c r="FV273" s="84"/>
      <c r="FW273" s="84"/>
      <c r="FX273" s="84"/>
      <c r="FY273" s="84"/>
      <c r="FZ273" s="84"/>
      <c r="GA273" s="84"/>
      <c r="GB273" s="84"/>
      <c r="GC273" s="84"/>
      <c r="GD273" s="84"/>
      <c r="GE273" s="84"/>
      <c r="GF273" s="84"/>
      <c r="GG273" s="84"/>
      <c r="GH273" s="84"/>
      <c r="GI273" s="84"/>
      <c r="GJ273" s="84"/>
      <c r="GK273" s="84"/>
      <c r="GL273" s="84"/>
      <c r="GM273" s="84"/>
      <c r="GN273" s="84"/>
      <c r="GO273" s="84"/>
      <c r="GP273" s="84"/>
      <c r="GQ273" s="84"/>
      <c r="GR273" s="84"/>
      <c r="GS273" s="84"/>
      <c r="GT273" s="84"/>
      <c r="GU273" s="84"/>
      <c r="GV273" s="84"/>
      <c r="GW273" s="84"/>
      <c r="GX273" s="84"/>
      <c r="GY273" s="84"/>
      <c r="GZ273" s="84"/>
      <c r="HA273" s="84"/>
      <c r="HB273" s="84"/>
      <c r="HC273" s="84"/>
      <c r="HD273" s="84"/>
      <c r="HE273" s="84"/>
      <c r="HF273" s="84"/>
      <c r="HG273" s="84"/>
      <c r="HH273" s="84"/>
      <c r="HI273" s="84"/>
      <c r="HJ273" s="84"/>
      <c r="HK273" s="84"/>
      <c r="HL273" s="84"/>
    </row>
    <row r="274" spans="1:220" s="81" customFormat="1" ht="16.5" customHeight="1" x14ac:dyDescent="0.15">
      <c r="A274" s="99"/>
      <c r="B274" s="91" t="s">
        <v>563</v>
      </c>
      <c r="C274" s="103"/>
      <c r="D274" s="90" t="s">
        <v>322</v>
      </c>
      <c r="G274" s="88" t="s">
        <v>477</v>
      </c>
      <c r="J274" s="83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  <c r="FU274" s="84"/>
      <c r="FV274" s="84"/>
      <c r="FW274" s="84"/>
      <c r="FX274" s="84"/>
      <c r="FY274" s="84"/>
      <c r="FZ274" s="84"/>
      <c r="GA274" s="84"/>
      <c r="GB274" s="84"/>
      <c r="GC274" s="84"/>
      <c r="GD274" s="84"/>
      <c r="GE274" s="84"/>
      <c r="GF274" s="84"/>
      <c r="GG274" s="84"/>
      <c r="GH274" s="84"/>
      <c r="GI274" s="84"/>
      <c r="GJ274" s="84"/>
      <c r="GK274" s="84"/>
      <c r="GL274" s="84"/>
      <c r="GM274" s="84"/>
      <c r="GN274" s="84"/>
      <c r="GO274" s="84"/>
      <c r="GP274" s="84"/>
      <c r="GQ274" s="84"/>
      <c r="GR274" s="84"/>
      <c r="GS274" s="84"/>
      <c r="GT274" s="84"/>
      <c r="GU274" s="84"/>
      <c r="GV274" s="84"/>
      <c r="GW274" s="84"/>
      <c r="GX274" s="84"/>
      <c r="GY274" s="84"/>
      <c r="GZ274" s="84"/>
      <c r="HA274" s="84"/>
      <c r="HB274" s="84"/>
      <c r="HC274" s="84"/>
      <c r="HD274" s="84"/>
      <c r="HE274" s="84"/>
      <c r="HF274" s="84"/>
      <c r="HG274" s="84"/>
      <c r="HH274" s="84"/>
      <c r="HI274" s="84"/>
      <c r="HJ274" s="84"/>
      <c r="HK274" s="84"/>
      <c r="HL274" s="84"/>
    </row>
    <row r="275" spans="1:220" s="53" customFormat="1" ht="16.5" customHeight="1" x14ac:dyDescent="0.15">
      <c r="A275" s="99"/>
      <c r="B275" s="91" t="s">
        <v>564</v>
      </c>
      <c r="C275" s="100" t="s">
        <v>326</v>
      </c>
      <c r="D275" s="64" t="s">
        <v>328</v>
      </c>
      <c r="G275" s="88" t="s">
        <v>477</v>
      </c>
      <c r="H275" s="54"/>
      <c r="I275" s="54"/>
      <c r="J275" s="59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BY275" s="60"/>
      <c r="BZ275" s="60"/>
      <c r="CA275" s="60"/>
      <c r="CB275" s="60"/>
      <c r="CC275" s="60"/>
      <c r="CD275" s="60"/>
      <c r="CE275" s="60"/>
      <c r="CF275" s="60"/>
      <c r="CG275" s="60"/>
      <c r="CH275" s="60"/>
      <c r="CI275" s="60"/>
      <c r="CJ275" s="60"/>
      <c r="CK275" s="60"/>
      <c r="CL275" s="60"/>
      <c r="CM275" s="60"/>
      <c r="CN275" s="60"/>
      <c r="CO275" s="60"/>
      <c r="CP275" s="60"/>
      <c r="CQ275" s="60"/>
      <c r="CR275" s="60"/>
      <c r="CS275" s="60"/>
      <c r="CT275" s="60"/>
      <c r="CU275" s="60"/>
      <c r="CV275" s="60"/>
      <c r="CW275" s="60"/>
      <c r="CX275" s="60"/>
      <c r="CY275" s="60"/>
      <c r="CZ275" s="60"/>
      <c r="DA275" s="60"/>
      <c r="DB275" s="60"/>
      <c r="DC275" s="60"/>
      <c r="DD275" s="60"/>
      <c r="DE275" s="60"/>
      <c r="DF275" s="60"/>
      <c r="DG275" s="60"/>
      <c r="DH275" s="60"/>
      <c r="DI275" s="60"/>
      <c r="DJ275" s="60"/>
      <c r="DK275" s="60"/>
      <c r="DL275" s="60"/>
      <c r="DM275" s="60"/>
      <c r="DN275" s="60"/>
      <c r="DO275" s="60"/>
      <c r="DP275" s="60"/>
      <c r="DQ275" s="60"/>
      <c r="DR275" s="60"/>
      <c r="DS275" s="60"/>
      <c r="DT275" s="60"/>
      <c r="DU275" s="60"/>
      <c r="DV275" s="60"/>
      <c r="DW275" s="60"/>
      <c r="DX275" s="60"/>
      <c r="DY275" s="60"/>
      <c r="DZ275" s="60"/>
      <c r="EA275" s="60"/>
      <c r="EB275" s="60"/>
      <c r="EC275" s="60"/>
      <c r="ED275" s="60"/>
      <c r="EE275" s="60"/>
      <c r="EF275" s="60"/>
      <c r="EG275" s="60"/>
      <c r="EH275" s="60"/>
      <c r="EI275" s="60"/>
      <c r="EJ275" s="60"/>
      <c r="EK275" s="60"/>
      <c r="EL275" s="60"/>
      <c r="EM275" s="60"/>
      <c r="EN275" s="60"/>
      <c r="EO275" s="60"/>
      <c r="EP275" s="60"/>
      <c r="EQ275" s="60"/>
      <c r="ER275" s="60"/>
      <c r="ES275" s="60"/>
      <c r="ET275" s="60"/>
      <c r="EU275" s="60"/>
      <c r="EV275" s="60"/>
      <c r="EW275" s="60"/>
      <c r="EX275" s="60"/>
      <c r="EY275" s="60"/>
      <c r="EZ275" s="60"/>
      <c r="FA275" s="60"/>
      <c r="FB275" s="60"/>
      <c r="FC275" s="60"/>
      <c r="FD275" s="60"/>
      <c r="FE275" s="60"/>
      <c r="FF275" s="60"/>
      <c r="FG275" s="60"/>
      <c r="FH275" s="60"/>
      <c r="FI275" s="60"/>
      <c r="FJ275" s="60"/>
      <c r="FK275" s="60"/>
      <c r="FL275" s="60"/>
      <c r="FM275" s="60"/>
      <c r="FN275" s="60"/>
      <c r="FO275" s="60"/>
      <c r="FP275" s="60"/>
      <c r="FQ275" s="60"/>
      <c r="FR275" s="60"/>
      <c r="FS275" s="60"/>
      <c r="FT275" s="60"/>
      <c r="FU275" s="60"/>
      <c r="FV275" s="60"/>
      <c r="FW275" s="60"/>
      <c r="FX275" s="60"/>
      <c r="FY275" s="60"/>
      <c r="FZ275" s="60"/>
      <c r="GA275" s="60"/>
      <c r="GB275" s="60"/>
      <c r="GC275" s="60"/>
      <c r="GD275" s="60"/>
      <c r="GE275" s="60"/>
      <c r="GF275" s="60"/>
      <c r="GG275" s="60"/>
      <c r="GH275" s="60"/>
      <c r="GI275" s="60"/>
      <c r="GJ275" s="60"/>
      <c r="GK275" s="60"/>
      <c r="GL275" s="60"/>
      <c r="GM275" s="60"/>
      <c r="GN275" s="60"/>
      <c r="GO275" s="60"/>
      <c r="GP275" s="60"/>
      <c r="GQ275" s="60"/>
      <c r="GR275" s="60"/>
      <c r="GS275" s="60"/>
      <c r="GT275" s="60"/>
      <c r="GU275" s="60"/>
      <c r="GV275" s="60"/>
      <c r="GW275" s="60"/>
      <c r="GX275" s="60"/>
      <c r="GY275" s="60"/>
      <c r="GZ275" s="60"/>
      <c r="HA275" s="60"/>
      <c r="HB275" s="60"/>
      <c r="HC275" s="60"/>
      <c r="HD275" s="60"/>
      <c r="HE275" s="60"/>
      <c r="HF275" s="60"/>
      <c r="HG275" s="60"/>
      <c r="HH275" s="60"/>
      <c r="HI275" s="60"/>
      <c r="HJ275" s="60"/>
      <c r="HK275" s="60"/>
      <c r="HL275" s="60"/>
    </row>
    <row r="276" spans="1:220" s="61" customFormat="1" ht="16.5" customHeight="1" x14ac:dyDescent="0.15">
      <c r="A276" s="99"/>
      <c r="B276" s="91" t="s">
        <v>565</v>
      </c>
      <c r="C276" s="101"/>
      <c r="D276" s="67" t="s">
        <v>330</v>
      </c>
      <c r="E276" s="53"/>
      <c r="F276" s="53"/>
      <c r="G276" s="88" t="s">
        <v>477</v>
      </c>
      <c r="H276" s="54"/>
      <c r="I276" s="54"/>
      <c r="J276" s="59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  <c r="BY276" s="60"/>
      <c r="BZ276" s="60"/>
      <c r="CA276" s="60"/>
      <c r="CB276" s="60"/>
      <c r="CC276" s="60"/>
      <c r="CD276" s="60"/>
      <c r="CE276" s="60"/>
      <c r="CF276" s="60"/>
      <c r="CG276" s="60"/>
      <c r="CH276" s="60"/>
      <c r="CI276" s="60"/>
      <c r="CJ276" s="60"/>
      <c r="CK276" s="60"/>
      <c r="CL276" s="60"/>
      <c r="CM276" s="60"/>
      <c r="CN276" s="60"/>
      <c r="CO276" s="60"/>
      <c r="CP276" s="60"/>
      <c r="CQ276" s="60"/>
      <c r="CR276" s="60"/>
      <c r="CS276" s="60"/>
      <c r="CT276" s="60"/>
      <c r="CU276" s="60"/>
      <c r="CV276" s="60"/>
      <c r="CW276" s="60"/>
      <c r="CX276" s="60"/>
      <c r="CY276" s="60"/>
      <c r="CZ276" s="60"/>
      <c r="DA276" s="60"/>
      <c r="DB276" s="60"/>
      <c r="DC276" s="60"/>
      <c r="DD276" s="60"/>
      <c r="DE276" s="60"/>
      <c r="DF276" s="60"/>
      <c r="DG276" s="60"/>
      <c r="DH276" s="60"/>
      <c r="DI276" s="60"/>
      <c r="DJ276" s="60"/>
      <c r="DK276" s="60"/>
      <c r="DL276" s="60"/>
      <c r="DM276" s="60"/>
      <c r="DN276" s="60"/>
      <c r="DO276" s="60"/>
      <c r="DP276" s="60"/>
      <c r="DQ276" s="60"/>
      <c r="DR276" s="60"/>
      <c r="DS276" s="60"/>
      <c r="DT276" s="60"/>
      <c r="DU276" s="60"/>
      <c r="DV276" s="60"/>
      <c r="DW276" s="60"/>
      <c r="DX276" s="60"/>
      <c r="DY276" s="60"/>
      <c r="DZ276" s="60"/>
      <c r="EA276" s="60"/>
      <c r="EB276" s="60"/>
      <c r="EC276" s="60"/>
      <c r="ED276" s="60"/>
      <c r="EE276" s="60"/>
      <c r="EF276" s="60"/>
      <c r="EG276" s="60"/>
      <c r="EH276" s="60"/>
      <c r="EI276" s="60"/>
      <c r="EJ276" s="60"/>
      <c r="EK276" s="60"/>
      <c r="EL276" s="60"/>
      <c r="EM276" s="60"/>
      <c r="EN276" s="60"/>
      <c r="EO276" s="60"/>
      <c r="EP276" s="60"/>
      <c r="EQ276" s="60"/>
      <c r="ER276" s="60"/>
      <c r="ES276" s="60"/>
      <c r="ET276" s="60"/>
      <c r="EU276" s="60"/>
      <c r="EV276" s="60"/>
      <c r="EW276" s="60"/>
      <c r="EX276" s="60"/>
      <c r="EY276" s="60"/>
      <c r="EZ276" s="60"/>
      <c r="FA276" s="60"/>
      <c r="FB276" s="60"/>
      <c r="FC276" s="60"/>
      <c r="FD276" s="60"/>
      <c r="FE276" s="60"/>
      <c r="FF276" s="60"/>
      <c r="FG276" s="60"/>
      <c r="FH276" s="60"/>
      <c r="FI276" s="60"/>
      <c r="FJ276" s="60"/>
      <c r="FK276" s="60"/>
      <c r="FL276" s="60"/>
      <c r="FM276" s="60"/>
      <c r="FN276" s="60"/>
      <c r="FO276" s="60"/>
      <c r="FP276" s="60"/>
      <c r="FQ276" s="60"/>
      <c r="FR276" s="60"/>
      <c r="FS276" s="60"/>
      <c r="FT276" s="60"/>
      <c r="FU276" s="60"/>
      <c r="FV276" s="60"/>
      <c r="FW276" s="60"/>
      <c r="FX276" s="60"/>
      <c r="FY276" s="60"/>
      <c r="FZ276" s="60"/>
      <c r="GA276" s="60"/>
      <c r="GB276" s="60"/>
      <c r="GC276" s="60"/>
      <c r="GD276" s="60"/>
      <c r="GE276" s="60"/>
      <c r="GF276" s="60"/>
      <c r="GG276" s="60"/>
      <c r="GH276" s="60"/>
      <c r="GI276" s="60"/>
      <c r="GJ276" s="60"/>
      <c r="GK276" s="60"/>
      <c r="GL276" s="60"/>
      <c r="GM276" s="60"/>
      <c r="GN276" s="60"/>
      <c r="GO276" s="60"/>
      <c r="GP276" s="60"/>
      <c r="GQ276" s="60"/>
      <c r="GR276" s="60"/>
      <c r="GS276" s="60"/>
      <c r="GT276" s="60"/>
      <c r="GU276" s="60"/>
      <c r="GV276" s="60"/>
      <c r="GW276" s="60"/>
      <c r="GX276" s="60"/>
      <c r="GY276" s="60"/>
      <c r="GZ276" s="60"/>
      <c r="HA276" s="60"/>
      <c r="HB276" s="60"/>
      <c r="HC276" s="60"/>
      <c r="HD276" s="60"/>
      <c r="HE276" s="60"/>
      <c r="HF276" s="60"/>
      <c r="HG276" s="60"/>
      <c r="HH276" s="60"/>
      <c r="HI276" s="60"/>
      <c r="HJ276" s="60"/>
      <c r="HK276" s="60"/>
      <c r="HL276" s="60"/>
    </row>
    <row r="277" spans="1:220" s="61" customFormat="1" ht="16.5" customHeight="1" x14ac:dyDescent="0.15">
      <c r="A277" s="99"/>
      <c r="B277" s="91" t="s">
        <v>566</v>
      </c>
      <c r="C277" s="101"/>
      <c r="D277" s="67" t="s">
        <v>334</v>
      </c>
      <c r="E277" s="53"/>
      <c r="F277" s="53"/>
      <c r="G277" s="88" t="s">
        <v>477</v>
      </c>
      <c r="H277" s="54"/>
      <c r="I277" s="54"/>
      <c r="J277" s="59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BY277" s="60"/>
      <c r="BZ277" s="60"/>
      <c r="CA277" s="60"/>
      <c r="CB277" s="60"/>
      <c r="CC277" s="60"/>
      <c r="CD277" s="60"/>
      <c r="CE277" s="60"/>
      <c r="CF277" s="60"/>
      <c r="CG277" s="60"/>
      <c r="CH277" s="60"/>
      <c r="CI277" s="60"/>
      <c r="CJ277" s="60"/>
      <c r="CK277" s="60"/>
      <c r="CL277" s="60"/>
      <c r="CM277" s="60"/>
      <c r="CN277" s="60"/>
      <c r="CO277" s="60"/>
      <c r="CP277" s="60"/>
      <c r="CQ277" s="60"/>
      <c r="CR277" s="60"/>
      <c r="CS277" s="60"/>
      <c r="CT277" s="60"/>
      <c r="CU277" s="60"/>
      <c r="CV277" s="60"/>
      <c r="CW277" s="60"/>
      <c r="CX277" s="60"/>
      <c r="CY277" s="60"/>
      <c r="CZ277" s="60"/>
      <c r="DA277" s="60"/>
      <c r="DB277" s="60"/>
      <c r="DC277" s="60"/>
      <c r="DD277" s="60"/>
      <c r="DE277" s="60"/>
      <c r="DF277" s="60"/>
      <c r="DG277" s="60"/>
      <c r="DH277" s="60"/>
      <c r="DI277" s="60"/>
      <c r="DJ277" s="60"/>
      <c r="DK277" s="60"/>
      <c r="DL277" s="60"/>
      <c r="DM277" s="60"/>
      <c r="DN277" s="60"/>
      <c r="DO277" s="60"/>
      <c r="DP277" s="60"/>
      <c r="DQ277" s="60"/>
      <c r="DR277" s="60"/>
      <c r="DS277" s="60"/>
      <c r="DT277" s="60"/>
      <c r="DU277" s="60"/>
      <c r="DV277" s="60"/>
      <c r="DW277" s="60"/>
      <c r="DX277" s="60"/>
      <c r="DY277" s="60"/>
      <c r="DZ277" s="60"/>
      <c r="EA277" s="60"/>
      <c r="EB277" s="60"/>
      <c r="EC277" s="60"/>
      <c r="ED277" s="60"/>
      <c r="EE277" s="60"/>
      <c r="EF277" s="60"/>
      <c r="EG277" s="60"/>
      <c r="EH277" s="60"/>
      <c r="EI277" s="60"/>
      <c r="EJ277" s="60"/>
      <c r="EK277" s="60"/>
      <c r="EL277" s="60"/>
      <c r="EM277" s="60"/>
      <c r="EN277" s="60"/>
      <c r="EO277" s="60"/>
      <c r="EP277" s="60"/>
      <c r="EQ277" s="60"/>
      <c r="ER277" s="60"/>
      <c r="ES277" s="60"/>
      <c r="ET277" s="60"/>
      <c r="EU277" s="60"/>
      <c r="EV277" s="60"/>
      <c r="EW277" s="60"/>
      <c r="EX277" s="60"/>
      <c r="EY277" s="60"/>
      <c r="EZ277" s="60"/>
      <c r="FA277" s="60"/>
      <c r="FB277" s="60"/>
      <c r="FC277" s="60"/>
      <c r="FD277" s="60"/>
      <c r="FE277" s="60"/>
      <c r="FF277" s="60"/>
      <c r="FG277" s="60"/>
      <c r="FH277" s="60"/>
      <c r="FI277" s="60"/>
      <c r="FJ277" s="60"/>
      <c r="FK277" s="60"/>
      <c r="FL277" s="60"/>
      <c r="FM277" s="60"/>
      <c r="FN277" s="60"/>
      <c r="FO277" s="60"/>
      <c r="FP277" s="60"/>
      <c r="FQ277" s="60"/>
      <c r="FR277" s="60"/>
      <c r="FS277" s="60"/>
      <c r="FT277" s="60"/>
      <c r="FU277" s="60"/>
      <c r="FV277" s="60"/>
      <c r="FW277" s="60"/>
      <c r="FX277" s="60"/>
      <c r="FY277" s="60"/>
      <c r="FZ277" s="60"/>
      <c r="GA277" s="60"/>
      <c r="GB277" s="60"/>
      <c r="GC277" s="60"/>
      <c r="GD277" s="60"/>
      <c r="GE277" s="60"/>
      <c r="GF277" s="60"/>
      <c r="GG277" s="60"/>
      <c r="GH277" s="60"/>
      <c r="GI277" s="60"/>
      <c r="GJ277" s="60"/>
      <c r="GK277" s="60"/>
      <c r="GL277" s="60"/>
      <c r="GM277" s="60"/>
      <c r="GN277" s="60"/>
      <c r="GO277" s="60"/>
      <c r="GP277" s="60"/>
      <c r="GQ277" s="60"/>
      <c r="GR277" s="60"/>
      <c r="GS277" s="60"/>
      <c r="GT277" s="60"/>
      <c r="GU277" s="60"/>
      <c r="GV277" s="60"/>
      <c r="GW277" s="60"/>
      <c r="GX277" s="60"/>
      <c r="GY277" s="60"/>
      <c r="GZ277" s="60"/>
      <c r="HA277" s="60"/>
      <c r="HB277" s="60"/>
      <c r="HC277" s="60"/>
      <c r="HD277" s="60"/>
      <c r="HE277" s="60"/>
      <c r="HF277" s="60"/>
      <c r="HG277" s="60"/>
      <c r="HH277" s="60"/>
      <c r="HI277" s="60"/>
      <c r="HJ277" s="60"/>
      <c r="HK277" s="60"/>
      <c r="HL277" s="60"/>
    </row>
    <row r="278" spans="1:220" s="61" customFormat="1" ht="16.5" customHeight="1" x14ac:dyDescent="0.15">
      <c r="A278" s="99"/>
      <c r="B278" s="91" t="s">
        <v>567</v>
      </c>
      <c r="C278" s="101"/>
      <c r="D278" s="67" t="s">
        <v>333</v>
      </c>
      <c r="E278" s="53"/>
      <c r="F278" s="53"/>
      <c r="G278" s="88" t="s">
        <v>477</v>
      </c>
      <c r="H278" s="54"/>
      <c r="I278" s="54"/>
      <c r="J278" s="53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  <c r="BY278" s="60"/>
      <c r="BZ278" s="60"/>
      <c r="CA278" s="60"/>
      <c r="CB278" s="60"/>
      <c r="CC278" s="60"/>
      <c r="CD278" s="60"/>
      <c r="CE278" s="60"/>
      <c r="CF278" s="60"/>
      <c r="CG278" s="60"/>
      <c r="CH278" s="60"/>
      <c r="CI278" s="60"/>
      <c r="CJ278" s="60"/>
      <c r="CK278" s="60"/>
      <c r="CL278" s="60"/>
      <c r="CM278" s="60"/>
      <c r="CN278" s="60"/>
      <c r="CO278" s="60"/>
      <c r="CP278" s="60"/>
      <c r="CQ278" s="60"/>
      <c r="CR278" s="60"/>
      <c r="CS278" s="60"/>
      <c r="CT278" s="60"/>
      <c r="CU278" s="60"/>
      <c r="CV278" s="60"/>
      <c r="CW278" s="60"/>
      <c r="CX278" s="60"/>
      <c r="CY278" s="60"/>
      <c r="CZ278" s="60"/>
      <c r="DA278" s="60"/>
      <c r="DB278" s="60"/>
      <c r="DC278" s="60"/>
      <c r="DD278" s="60"/>
      <c r="DE278" s="60"/>
      <c r="DF278" s="60"/>
      <c r="DG278" s="60"/>
      <c r="DH278" s="60"/>
      <c r="DI278" s="60"/>
      <c r="DJ278" s="60"/>
      <c r="DK278" s="60"/>
      <c r="DL278" s="60"/>
      <c r="DM278" s="60"/>
      <c r="DN278" s="60"/>
      <c r="DO278" s="60"/>
      <c r="DP278" s="60"/>
      <c r="DQ278" s="60"/>
      <c r="DR278" s="60"/>
      <c r="DS278" s="60"/>
      <c r="DT278" s="60"/>
      <c r="DU278" s="60"/>
      <c r="DV278" s="60"/>
      <c r="DW278" s="60"/>
      <c r="DX278" s="60"/>
      <c r="DY278" s="60"/>
      <c r="DZ278" s="60"/>
      <c r="EA278" s="60"/>
      <c r="EB278" s="60"/>
      <c r="EC278" s="60"/>
      <c r="ED278" s="60"/>
      <c r="EE278" s="60"/>
      <c r="EF278" s="60"/>
      <c r="EG278" s="60"/>
      <c r="EH278" s="60"/>
      <c r="EI278" s="60"/>
      <c r="EJ278" s="60"/>
      <c r="EK278" s="60"/>
      <c r="EL278" s="60"/>
      <c r="EM278" s="60"/>
      <c r="EN278" s="60"/>
      <c r="EO278" s="60"/>
      <c r="EP278" s="60"/>
      <c r="EQ278" s="60"/>
      <c r="ER278" s="60"/>
      <c r="ES278" s="60"/>
      <c r="ET278" s="60"/>
      <c r="EU278" s="60"/>
      <c r="EV278" s="60"/>
      <c r="EW278" s="60"/>
      <c r="EX278" s="60"/>
      <c r="EY278" s="60"/>
      <c r="EZ278" s="60"/>
      <c r="FA278" s="60"/>
      <c r="FB278" s="60"/>
      <c r="FC278" s="60"/>
      <c r="FD278" s="60"/>
      <c r="FE278" s="60"/>
      <c r="FF278" s="60"/>
      <c r="FG278" s="60"/>
      <c r="FH278" s="60"/>
      <c r="FI278" s="60"/>
      <c r="FJ278" s="60"/>
      <c r="FK278" s="60"/>
      <c r="FL278" s="60"/>
      <c r="FM278" s="60"/>
      <c r="FN278" s="60"/>
      <c r="FO278" s="60"/>
      <c r="FP278" s="60"/>
      <c r="FQ278" s="60"/>
      <c r="FR278" s="60"/>
      <c r="FS278" s="60"/>
      <c r="FT278" s="60"/>
      <c r="FU278" s="60"/>
      <c r="FV278" s="60"/>
      <c r="FW278" s="60"/>
      <c r="FX278" s="60"/>
      <c r="FY278" s="60"/>
      <c r="FZ278" s="60"/>
      <c r="GA278" s="60"/>
      <c r="GB278" s="60"/>
      <c r="GC278" s="60"/>
      <c r="GD278" s="60"/>
      <c r="GE278" s="60"/>
      <c r="GF278" s="60"/>
      <c r="GG278" s="60"/>
      <c r="GH278" s="60"/>
      <c r="GI278" s="60"/>
      <c r="GJ278" s="60"/>
      <c r="GK278" s="60"/>
      <c r="GL278" s="60"/>
      <c r="GM278" s="60"/>
      <c r="GN278" s="60"/>
      <c r="GO278" s="60"/>
      <c r="GP278" s="60"/>
      <c r="GQ278" s="60"/>
      <c r="GR278" s="60"/>
      <c r="GS278" s="60"/>
      <c r="GT278" s="60"/>
      <c r="GU278" s="60"/>
      <c r="GV278" s="60"/>
      <c r="GW278" s="60"/>
      <c r="GX278" s="60"/>
      <c r="GY278" s="60"/>
      <c r="GZ278" s="60"/>
      <c r="HA278" s="60"/>
      <c r="HB278" s="60"/>
      <c r="HC278" s="60"/>
      <c r="HD278" s="60"/>
      <c r="HE278" s="60"/>
      <c r="HF278" s="60"/>
      <c r="HG278" s="60"/>
      <c r="HH278" s="60"/>
      <c r="HI278" s="60"/>
      <c r="HJ278" s="60"/>
      <c r="HK278" s="60"/>
      <c r="HL278" s="60"/>
    </row>
    <row r="279" spans="1:220" s="57" customFormat="1" ht="16.5" customHeight="1" x14ac:dyDescent="0.15">
      <c r="A279" s="99"/>
      <c r="B279" s="91" t="s">
        <v>568</v>
      </c>
      <c r="C279" s="103"/>
      <c r="D279" s="67" t="s">
        <v>322</v>
      </c>
      <c r="E279" s="53"/>
      <c r="F279" s="53"/>
      <c r="G279" s="88" t="s">
        <v>477</v>
      </c>
      <c r="H279" s="54"/>
      <c r="I279" s="54"/>
      <c r="J279" s="59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6"/>
      <c r="BR279" s="56"/>
      <c r="BS279" s="56"/>
      <c r="BT279" s="56"/>
      <c r="BU279" s="56"/>
      <c r="BV279" s="56"/>
      <c r="BW279" s="56"/>
      <c r="BX279" s="56"/>
      <c r="BY279" s="56"/>
      <c r="BZ279" s="56"/>
      <c r="CA279" s="56"/>
      <c r="CB279" s="56"/>
      <c r="CC279" s="56"/>
      <c r="CD279" s="56"/>
      <c r="CE279" s="56"/>
      <c r="CF279" s="56"/>
      <c r="CG279" s="56"/>
      <c r="CH279" s="56"/>
      <c r="CI279" s="56"/>
      <c r="CJ279" s="56"/>
      <c r="CK279" s="56"/>
      <c r="CL279" s="56"/>
      <c r="CM279" s="56"/>
      <c r="CN279" s="56"/>
      <c r="CO279" s="56"/>
      <c r="CP279" s="56"/>
      <c r="CQ279" s="56"/>
      <c r="CR279" s="56"/>
      <c r="CS279" s="56"/>
      <c r="CT279" s="56"/>
      <c r="CU279" s="56"/>
      <c r="CV279" s="56"/>
      <c r="CW279" s="56"/>
      <c r="CX279" s="56"/>
      <c r="CY279" s="56"/>
      <c r="CZ279" s="56"/>
      <c r="DA279" s="56"/>
      <c r="DB279" s="56"/>
      <c r="DC279" s="56"/>
      <c r="DD279" s="56"/>
      <c r="DE279" s="56"/>
      <c r="DF279" s="56"/>
      <c r="DG279" s="56"/>
      <c r="DH279" s="56"/>
      <c r="DI279" s="56"/>
      <c r="DJ279" s="56"/>
      <c r="DK279" s="56"/>
      <c r="DL279" s="56"/>
      <c r="DM279" s="56"/>
      <c r="DN279" s="56"/>
      <c r="DO279" s="56"/>
      <c r="DP279" s="56"/>
      <c r="DQ279" s="56"/>
      <c r="DR279" s="56"/>
      <c r="DS279" s="56"/>
      <c r="DT279" s="56"/>
      <c r="DU279" s="56"/>
      <c r="DV279" s="56"/>
      <c r="DW279" s="56"/>
      <c r="DX279" s="56"/>
      <c r="DY279" s="56"/>
      <c r="DZ279" s="56"/>
      <c r="EA279" s="56"/>
      <c r="EB279" s="56"/>
      <c r="EC279" s="56"/>
      <c r="ED279" s="56"/>
      <c r="EE279" s="56"/>
      <c r="EF279" s="56"/>
      <c r="EG279" s="56"/>
      <c r="EH279" s="56"/>
      <c r="EI279" s="56"/>
      <c r="EJ279" s="56"/>
      <c r="EK279" s="56"/>
      <c r="EL279" s="56"/>
      <c r="EM279" s="56"/>
      <c r="EN279" s="56"/>
      <c r="EO279" s="56"/>
      <c r="EP279" s="56"/>
      <c r="EQ279" s="56"/>
      <c r="ER279" s="56"/>
      <c r="ES279" s="56"/>
      <c r="ET279" s="56"/>
      <c r="EU279" s="56"/>
      <c r="EV279" s="56"/>
      <c r="EW279" s="56"/>
      <c r="EX279" s="56"/>
      <c r="EY279" s="56"/>
      <c r="EZ279" s="56"/>
      <c r="FA279" s="56"/>
      <c r="FB279" s="56"/>
      <c r="FC279" s="56"/>
      <c r="FD279" s="56"/>
      <c r="FE279" s="56"/>
      <c r="FF279" s="56"/>
      <c r="FG279" s="56"/>
      <c r="FH279" s="56"/>
      <c r="FI279" s="56"/>
      <c r="FJ279" s="56"/>
      <c r="FK279" s="56"/>
      <c r="FL279" s="56"/>
      <c r="FM279" s="56"/>
      <c r="FN279" s="56"/>
      <c r="FO279" s="56"/>
      <c r="FP279" s="56"/>
      <c r="FQ279" s="56"/>
      <c r="FR279" s="56"/>
      <c r="FS279" s="56"/>
      <c r="FT279" s="56"/>
      <c r="FU279" s="56"/>
      <c r="FV279" s="56"/>
      <c r="FW279" s="56"/>
      <c r="FX279" s="56"/>
      <c r="FY279" s="56"/>
      <c r="FZ279" s="56"/>
      <c r="GA279" s="56"/>
      <c r="GB279" s="56"/>
      <c r="GC279" s="56"/>
      <c r="GD279" s="56"/>
      <c r="GE279" s="56"/>
      <c r="GF279" s="56"/>
      <c r="GG279" s="56"/>
      <c r="GH279" s="56"/>
      <c r="GI279" s="56"/>
      <c r="GJ279" s="56"/>
      <c r="GK279" s="56"/>
      <c r="GL279" s="56"/>
      <c r="GM279" s="56"/>
      <c r="GN279" s="56"/>
      <c r="GO279" s="56"/>
      <c r="GP279" s="56"/>
      <c r="GQ279" s="56"/>
      <c r="GR279" s="56"/>
      <c r="GS279" s="56"/>
      <c r="GT279" s="56"/>
      <c r="GU279" s="56"/>
      <c r="GV279" s="56"/>
      <c r="GW279" s="56"/>
      <c r="GX279" s="56"/>
      <c r="GY279" s="56"/>
      <c r="GZ279" s="56"/>
      <c r="HA279" s="56"/>
      <c r="HB279" s="56"/>
      <c r="HC279" s="56"/>
      <c r="HD279" s="56"/>
      <c r="HE279" s="56"/>
      <c r="HF279" s="56"/>
      <c r="HG279" s="56"/>
      <c r="HH279" s="56"/>
      <c r="HI279" s="56"/>
      <c r="HJ279" s="56"/>
      <c r="HK279" s="56"/>
      <c r="HL279" s="56"/>
    </row>
    <row r="280" spans="1:220" s="53" customFormat="1" ht="16.5" customHeight="1" x14ac:dyDescent="0.15">
      <c r="A280" s="99"/>
      <c r="B280" s="91" t="s">
        <v>569</v>
      </c>
      <c r="C280" s="100" t="s">
        <v>327</v>
      </c>
      <c r="D280" s="67" t="s">
        <v>329</v>
      </c>
      <c r="G280" s="88" t="s">
        <v>477</v>
      </c>
      <c r="J280" s="59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  <c r="BY280" s="60"/>
      <c r="BZ280" s="60"/>
      <c r="CA280" s="60"/>
      <c r="CB280" s="60"/>
      <c r="CC280" s="60"/>
      <c r="CD280" s="60"/>
      <c r="CE280" s="60"/>
      <c r="CF280" s="60"/>
      <c r="CG280" s="60"/>
      <c r="CH280" s="60"/>
      <c r="CI280" s="60"/>
      <c r="CJ280" s="60"/>
      <c r="CK280" s="60"/>
      <c r="CL280" s="60"/>
      <c r="CM280" s="60"/>
      <c r="CN280" s="60"/>
      <c r="CO280" s="60"/>
      <c r="CP280" s="60"/>
      <c r="CQ280" s="60"/>
      <c r="CR280" s="60"/>
      <c r="CS280" s="60"/>
      <c r="CT280" s="60"/>
      <c r="CU280" s="60"/>
      <c r="CV280" s="60"/>
      <c r="CW280" s="60"/>
      <c r="CX280" s="60"/>
      <c r="CY280" s="60"/>
      <c r="CZ280" s="60"/>
      <c r="DA280" s="60"/>
      <c r="DB280" s="60"/>
      <c r="DC280" s="60"/>
      <c r="DD280" s="60"/>
      <c r="DE280" s="60"/>
      <c r="DF280" s="60"/>
      <c r="DG280" s="60"/>
      <c r="DH280" s="60"/>
      <c r="DI280" s="60"/>
      <c r="DJ280" s="60"/>
      <c r="DK280" s="60"/>
      <c r="DL280" s="60"/>
      <c r="DM280" s="60"/>
      <c r="DN280" s="60"/>
      <c r="DO280" s="60"/>
      <c r="DP280" s="60"/>
      <c r="DQ280" s="60"/>
      <c r="DR280" s="60"/>
      <c r="DS280" s="60"/>
      <c r="DT280" s="60"/>
      <c r="DU280" s="60"/>
      <c r="DV280" s="60"/>
      <c r="DW280" s="60"/>
      <c r="DX280" s="60"/>
      <c r="DY280" s="60"/>
      <c r="DZ280" s="60"/>
      <c r="EA280" s="60"/>
      <c r="EB280" s="60"/>
      <c r="EC280" s="60"/>
      <c r="ED280" s="60"/>
      <c r="EE280" s="60"/>
      <c r="EF280" s="60"/>
      <c r="EG280" s="60"/>
      <c r="EH280" s="60"/>
      <c r="EI280" s="60"/>
      <c r="EJ280" s="60"/>
      <c r="EK280" s="60"/>
      <c r="EL280" s="60"/>
      <c r="EM280" s="60"/>
      <c r="EN280" s="60"/>
      <c r="EO280" s="60"/>
      <c r="EP280" s="60"/>
      <c r="EQ280" s="60"/>
      <c r="ER280" s="60"/>
      <c r="ES280" s="60"/>
      <c r="ET280" s="60"/>
      <c r="EU280" s="60"/>
      <c r="EV280" s="60"/>
      <c r="EW280" s="60"/>
      <c r="EX280" s="60"/>
      <c r="EY280" s="60"/>
      <c r="EZ280" s="60"/>
      <c r="FA280" s="60"/>
      <c r="FB280" s="60"/>
      <c r="FC280" s="60"/>
      <c r="FD280" s="60"/>
      <c r="FE280" s="60"/>
      <c r="FF280" s="60"/>
      <c r="FG280" s="60"/>
      <c r="FH280" s="60"/>
      <c r="FI280" s="60"/>
      <c r="FJ280" s="60"/>
      <c r="FK280" s="60"/>
      <c r="FL280" s="60"/>
      <c r="FM280" s="60"/>
      <c r="FN280" s="60"/>
      <c r="FO280" s="60"/>
      <c r="FP280" s="60"/>
      <c r="FQ280" s="60"/>
      <c r="FR280" s="60"/>
      <c r="FS280" s="60"/>
      <c r="FT280" s="60"/>
      <c r="FU280" s="60"/>
      <c r="FV280" s="60"/>
      <c r="FW280" s="60"/>
      <c r="FX280" s="60"/>
      <c r="FY280" s="60"/>
      <c r="FZ280" s="60"/>
      <c r="GA280" s="60"/>
      <c r="GB280" s="60"/>
      <c r="GC280" s="60"/>
      <c r="GD280" s="60"/>
      <c r="GE280" s="60"/>
      <c r="GF280" s="60"/>
      <c r="GG280" s="60"/>
      <c r="GH280" s="60"/>
      <c r="GI280" s="60"/>
      <c r="GJ280" s="60"/>
      <c r="GK280" s="60"/>
      <c r="GL280" s="60"/>
      <c r="GM280" s="60"/>
      <c r="GN280" s="60"/>
      <c r="GO280" s="60"/>
      <c r="GP280" s="60"/>
      <c r="GQ280" s="60"/>
      <c r="GR280" s="60"/>
      <c r="GS280" s="60"/>
      <c r="GT280" s="60"/>
      <c r="GU280" s="60"/>
      <c r="GV280" s="60"/>
      <c r="GW280" s="60"/>
      <c r="GX280" s="60"/>
      <c r="GY280" s="60"/>
      <c r="GZ280" s="60"/>
      <c r="HA280" s="60"/>
      <c r="HB280" s="60"/>
      <c r="HC280" s="60"/>
      <c r="HD280" s="60"/>
      <c r="HE280" s="60"/>
      <c r="HF280" s="60"/>
      <c r="HG280" s="60"/>
      <c r="HH280" s="60"/>
      <c r="HI280" s="60"/>
      <c r="HJ280" s="60"/>
      <c r="HK280" s="60"/>
      <c r="HL280" s="60"/>
    </row>
    <row r="281" spans="1:220" s="53" customFormat="1" ht="16.5" customHeight="1" x14ac:dyDescent="0.15">
      <c r="A281" s="99"/>
      <c r="B281" s="91" t="s">
        <v>633</v>
      </c>
      <c r="C281" s="101"/>
      <c r="D281" s="67" t="s">
        <v>332</v>
      </c>
      <c r="G281" s="88" t="s">
        <v>477</v>
      </c>
      <c r="J281" s="59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  <c r="BZ281" s="60"/>
      <c r="CA281" s="60"/>
      <c r="CB281" s="60"/>
      <c r="CC281" s="60"/>
      <c r="CD281" s="60"/>
      <c r="CE281" s="60"/>
      <c r="CF281" s="60"/>
      <c r="CG281" s="60"/>
      <c r="CH281" s="60"/>
      <c r="CI281" s="60"/>
      <c r="CJ281" s="60"/>
      <c r="CK281" s="60"/>
      <c r="CL281" s="60"/>
      <c r="CM281" s="60"/>
      <c r="CN281" s="60"/>
      <c r="CO281" s="60"/>
      <c r="CP281" s="60"/>
      <c r="CQ281" s="60"/>
      <c r="CR281" s="60"/>
      <c r="CS281" s="60"/>
      <c r="CT281" s="60"/>
      <c r="CU281" s="60"/>
      <c r="CV281" s="60"/>
      <c r="CW281" s="60"/>
      <c r="CX281" s="60"/>
      <c r="CY281" s="60"/>
      <c r="CZ281" s="60"/>
      <c r="DA281" s="60"/>
      <c r="DB281" s="60"/>
      <c r="DC281" s="60"/>
      <c r="DD281" s="60"/>
      <c r="DE281" s="60"/>
      <c r="DF281" s="60"/>
      <c r="DG281" s="60"/>
      <c r="DH281" s="60"/>
      <c r="DI281" s="60"/>
      <c r="DJ281" s="60"/>
      <c r="DK281" s="60"/>
      <c r="DL281" s="60"/>
      <c r="DM281" s="60"/>
      <c r="DN281" s="60"/>
      <c r="DO281" s="60"/>
      <c r="DP281" s="60"/>
      <c r="DQ281" s="60"/>
      <c r="DR281" s="60"/>
      <c r="DS281" s="60"/>
      <c r="DT281" s="60"/>
      <c r="DU281" s="60"/>
      <c r="DV281" s="60"/>
      <c r="DW281" s="60"/>
      <c r="DX281" s="60"/>
      <c r="DY281" s="60"/>
      <c r="DZ281" s="60"/>
      <c r="EA281" s="60"/>
      <c r="EB281" s="60"/>
      <c r="EC281" s="60"/>
      <c r="ED281" s="60"/>
      <c r="EE281" s="60"/>
      <c r="EF281" s="60"/>
      <c r="EG281" s="60"/>
      <c r="EH281" s="60"/>
      <c r="EI281" s="60"/>
      <c r="EJ281" s="60"/>
      <c r="EK281" s="60"/>
      <c r="EL281" s="60"/>
      <c r="EM281" s="60"/>
      <c r="EN281" s="60"/>
      <c r="EO281" s="60"/>
      <c r="EP281" s="60"/>
      <c r="EQ281" s="60"/>
      <c r="ER281" s="60"/>
      <c r="ES281" s="60"/>
      <c r="ET281" s="60"/>
      <c r="EU281" s="60"/>
      <c r="EV281" s="60"/>
      <c r="EW281" s="60"/>
      <c r="EX281" s="60"/>
      <c r="EY281" s="60"/>
      <c r="EZ281" s="60"/>
      <c r="FA281" s="60"/>
      <c r="FB281" s="60"/>
      <c r="FC281" s="60"/>
      <c r="FD281" s="60"/>
      <c r="FE281" s="60"/>
      <c r="FF281" s="60"/>
      <c r="FG281" s="60"/>
      <c r="FH281" s="60"/>
      <c r="FI281" s="60"/>
      <c r="FJ281" s="60"/>
      <c r="FK281" s="60"/>
      <c r="FL281" s="60"/>
      <c r="FM281" s="60"/>
      <c r="FN281" s="60"/>
      <c r="FO281" s="60"/>
      <c r="FP281" s="60"/>
      <c r="FQ281" s="60"/>
      <c r="FR281" s="60"/>
      <c r="FS281" s="60"/>
      <c r="FT281" s="60"/>
      <c r="FU281" s="60"/>
      <c r="FV281" s="60"/>
      <c r="FW281" s="60"/>
      <c r="FX281" s="60"/>
      <c r="FY281" s="60"/>
      <c r="FZ281" s="60"/>
      <c r="GA281" s="60"/>
      <c r="GB281" s="60"/>
      <c r="GC281" s="60"/>
      <c r="GD281" s="60"/>
      <c r="GE281" s="60"/>
      <c r="GF281" s="60"/>
      <c r="GG281" s="60"/>
      <c r="GH281" s="60"/>
      <c r="GI281" s="60"/>
      <c r="GJ281" s="60"/>
      <c r="GK281" s="60"/>
      <c r="GL281" s="60"/>
      <c r="GM281" s="60"/>
      <c r="GN281" s="60"/>
      <c r="GO281" s="60"/>
      <c r="GP281" s="60"/>
      <c r="GQ281" s="60"/>
      <c r="GR281" s="60"/>
      <c r="GS281" s="60"/>
      <c r="GT281" s="60"/>
      <c r="GU281" s="60"/>
      <c r="GV281" s="60"/>
      <c r="GW281" s="60"/>
      <c r="GX281" s="60"/>
      <c r="GY281" s="60"/>
      <c r="GZ281" s="60"/>
      <c r="HA281" s="60"/>
      <c r="HB281" s="60"/>
      <c r="HC281" s="60"/>
      <c r="HD281" s="60"/>
      <c r="HE281" s="60"/>
      <c r="HF281" s="60"/>
      <c r="HG281" s="60"/>
      <c r="HH281" s="60"/>
      <c r="HI281" s="60"/>
      <c r="HJ281" s="60"/>
      <c r="HK281" s="60"/>
      <c r="HL281" s="60"/>
    </row>
    <row r="282" spans="1:220" s="53" customFormat="1" ht="16.5" customHeight="1" x14ac:dyDescent="0.15">
      <c r="A282" s="99"/>
      <c r="B282" s="91" t="s">
        <v>570</v>
      </c>
      <c r="C282" s="101"/>
      <c r="D282" s="67" t="s">
        <v>331</v>
      </c>
      <c r="G282" s="88" t="s">
        <v>477</v>
      </c>
      <c r="J282" s="59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BY282" s="60"/>
      <c r="BZ282" s="60"/>
      <c r="CA282" s="60"/>
      <c r="CB282" s="60"/>
      <c r="CC282" s="60"/>
      <c r="CD282" s="60"/>
      <c r="CE282" s="60"/>
      <c r="CF282" s="60"/>
      <c r="CG282" s="60"/>
      <c r="CH282" s="60"/>
      <c r="CI282" s="60"/>
      <c r="CJ282" s="60"/>
      <c r="CK282" s="60"/>
      <c r="CL282" s="60"/>
      <c r="CM282" s="60"/>
      <c r="CN282" s="60"/>
      <c r="CO282" s="60"/>
      <c r="CP282" s="60"/>
      <c r="CQ282" s="60"/>
      <c r="CR282" s="60"/>
      <c r="CS282" s="60"/>
      <c r="CT282" s="60"/>
      <c r="CU282" s="60"/>
      <c r="CV282" s="60"/>
      <c r="CW282" s="60"/>
      <c r="CX282" s="60"/>
      <c r="CY282" s="60"/>
      <c r="CZ282" s="60"/>
      <c r="DA282" s="60"/>
      <c r="DB282" s="60"/>
      <c r="DC282" s="60"/>
      <c r="DD282" s="60"/>
      <c r="DE282" s="60"/>
      <c r="DF282" s="60"/>
      <c r="DG282" s="60"/>
      <c r="DH282" s="60"/>
      <c r="DI282" s="60"/>
      <c r="DJ282" s="60"/>
      <c r="DK282" s="60"/>
      <c r="DL282" s="60"/>
      <c r="DM282" s="60"/>
      <c r="DN282" s="60"/>
      <c r="DO282" s="60"/>
      <c r="DP282" s="60"/>
      <c r="DQ282" s="60"/>
      <c r="DR282" s="60"/>
      <c r="DS282" s="60"/>
      <c r="DT282" s="60"/>
      <c r="DU282" s="60"/>
      <c r="DV282" s="60"/>
      <c r="DW282" s="60"/>
      <c r="DX282" s="60"/>
      <c r="DY282" s="60"/>
      <c r="DZ282" s="60"/>
      <c r="EA282" s="60"/>
      <c r="EB282" s="60"/>
      <c r="EC282" s="60"/>
      <c r="ED282" s="60"/>
      <c r="EE282" s="60"/>
      <c r="EF282" s="60"/>
      <c r="EG282" s="60"/>
      <c r="EH282" s="60"/>
      <c r="EI282" s="60"/>
      <c r="EJ282" s="60"/>
      <c r="EK282" s="60"/>
      <c r="EL282" s="60"/>
      <c r="EM282" s="60"/>
      <c r="EN282" s="60"/>
      <c r="EO282" s="60"/>
      <c r="EP282" s="60"/>
      <c r="EQ282" s="60"/>
      <c r="ER282" s="60"/>
      <c r="ES282" s="60"/>
      <c r="ET282" s="60"/>
      <c r="EU282" s="60"/>
      <c r="EV282" s="60"/>
      <c r="EW282" s="60"/>
      <c r="EX282" s="60"/>
      <c r="EY282" s="60"/>
      <c r="EZ282" s="60"/>
      <c r="FA282" s="60"/>
      <c r="FB282" s="60"/>
      <c r="FC282" s="60"/>
      <c r="FD282" s="60"/>
      <c r="FE282" s="60"/>
      <c r="FF282" s="60"/>
      <c r="FG282" s="60"/>
      <c r="FH282" s="60"/>
      <c r="FI282" s="60"/>
      <c r="FJ282" s="60"/>
      <c r="FK282" s="60"/>
      <c r="FL282" s="60"/>
      <c r="FM282" s="60"/>
      <c r="FN282" s="60"/>
      <c r="FO282" s="60"/>
      <c r="FP282" s="60"/>
      <c r="FQ282" s="60"/>
      <c r="FR282" s="60"/>
      <c r="FS282" s="60"/>
      <c r="FT282" s="60"/>
      <c r="FU282" s="60"/>
      <c r="FV282" s="60"/>
      <c r="FW282" s="60"/>
      <c r="FX282" s="60"/>
      <c r="FY282" s="60"/>
      <c r="FZ282" s="60"/>
      <c r="GA282" s="60"/>
      <c r="GB282" s="60"/>
      <c r="GC282" s="60"/>
      <c r="GD282" s="60"/>
      <c r="GE282" s="60"/>
      <c r="GF282" s="60"/>
      <c r="GG282" s="60"/>
      <c r="GH282" s="60"/>
      <c r="GI282" s="60"/>
      <c r="GJ282" s="60"/>
      <c r="GK282" s="60"/>
      <c r="GL282" s="60"/>
      <c r="GM282" s="60"/>
      <c r="GN282" s="60"/>
      <c r="GO282" s="60"/>
      <c r="GP282" s="60"/>
      <c r="GQ282" s="60"/>
      <c r="GR282" s="60"/>
      <c r="GS282" s="60"/>
      <c r="GT282" s="60"/>
      <c r="GU282" s="60"/>
      <c r="GV282" s="60"/>
      <c r="GW282" s="60"/>
      <c r="GX282" s="60"/>
      <c r="GY282" s="60"/>
      <c r="GZ282" s="60"/>
      <c r="HA282" s="60"/>
      <c r="HB282" s="60"/>
      <c r="HC282" s="60"/>
      <c r="HD282" s="60"/>
      <c r="HE282" s="60"/>
      <c r="HF282" s="60"/>
      <c r="HG282" s="60"/>
      <c r="HH282" s="60"/>
      <c r="HI282" s="60"/>
      <c r="HJ282" s="60"/>
      <c r="HK282" s="60"/>
      <c r="HL282" s="60"/>
    </row>
    <row r="283" spans="1:220" s="53" customFormat="1" ht="16.5" customHeight="1" x14ac:dyDescent="0.15">
      <c r="A283" s="99"/>
      <c r="B283" s="91" t="s">
        <v>571</v>
      </c>
      <c r="C283" s="101"/>
      <c r="D283" s="67" t="s">
        <v>334</v>
      </c>
      <c r="G283" s="88" t="s">
        <v>477</v>
      </c>
      <c r="J283" s="59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  <c r="BZ283" s="60"/>
      <c r="CA283" s="60"/>
      <c r="CB283" s="60"/>
      <c r="CC283" s="60"/>
      <c r="CD283" s="60"/>
      <c r="CE283" s="60"/>
      <c r="CF283" s="60"/>
      <c r="CG283" s="60"/>
      <c r="CH283" s="60"/>
      <c r="CI283" s="60"/>
      <c r="CJ283" s="60"/>
      <c r="CK283" s="60"/>
      <c r="CL283" s="60"/>
      <c r="CM283" s="60"/>
      <c r="CN283" s="60"/>
      <c r="CO283" s="60"/>
      <c r="CP283" s="60"/>
      <c r="CQ283" s="60"/>
      <c r="CR283" s="60"/>
      <c r="CS283" s="60"/>
      <c r="CT283" s="60"/>
      <c r="CU283" s="60"/>
      <c r="CV283" s="60"/>
      <c r="CW283" s="60"/>
      <c r="CX283" s="60"/>
      <c r="CY283" s="60"/>
      <c r="CZ283" s="60"/>
      <c r="DA283" s="60"/>
      <c r="DB283" s="60"/>
      <c r="DC283" s="60"/>
      <c r="DD283" s="60"/>
      <c r="DE283" s="60"/>
      <c r="DF283" s="60"/>
      <c r="DG283" s="60"/>
      <c r="DH283" s="60"/>
      <c r="DI283" s="60"/>
      <c r="DJ283" s="60"/>
      <c r="DK283" s="60"/>
      <c r="DL283" s="60"/>
      <c r="DM283" s="60"/>
      <c r="DN283" s="60"/>
      <c r="DO283" s="60"/>
      <c r="DP283" s="60"/>
      <c r="DQ283" s="60"/>
      <c r="DR283" s="60"/>
      <c r="DS283" s="60"/>
      <c r="DT283" s="60"/>
      <c r="DU283" s="60"/>
      <c r="DV283" s="60"/>
      <c r="DW283" s="60"/>
      <c r="DX283" s="60"/>
      <c r="DY283" s="60"/>
      <c r="DZ283" s="60"/>
      <c r="EA283" s="60"/>
      <c r="EB283" s="60"/>
      <c r="EC283" s="60"/>
      <c r="ED283" s="60"/>
      <c r="EE283" s="60"/>
      <c r="EF283" s="60"/>
      <c r="EG283" s="60"/>
      <c r="EH283" s="60"/>
      <c r="EI283" s="60"/>
      <c r="EJ283" s="60"/>
      <c r="EK283" s="60"/>
      <c r="EL283" s="60"/>
      <c r="EM283" s="60"/>
      <c r="EN283" s="60"/>
      <c r="EO283" s="60"/>
      <c r="EP283" s="60"/>
      <c r="EQ283" s="60"/>
      <c r="ER283" s="60"/>
      <c r="ES283" s="60"/>
      <c r="ET283" s="60"/>
      <c r="EU283" s="60"/>
      <c r="EV283" s="60"/>
      <c r="EW283" s="60"/>
      <c r="EX283" s="60"/>
      <c r="EY283" s="60"/>
      <c r="EZ283" s="60"/>
      <c r="FA283" s="60"/>
      <c r="FB283" s="60"/>
      <c r="FC283" s="60"/>
      <c r="FD283" s="60"/>
      <c r="FE283" s="60"/>
      <c r="FF283" s="60"/>
      <c r="FG283" s="60"/>
      <c r="FH283" s="60"/>
      <c r="FI283" s="60"/>
      <c r="FJ283" s="60"/>
      <c r="FK283" s="60"/>
      <c r="FL283" s="60"/>
      <c r="FM283" s="60"/>
      <c r="FN283" s="60"/>
      <c r="FO283" s="60"/>
      <c r="FP283" s="60"/>
      <c r="FQ283" s="60"/>
      <c r="FR283" s="60"/>
      <c r="FS283" s="60"/>
      <c r="FT283" s="60"/>
      <c r="FU283" s="60"/>
      <c r="FV283" s="60"/>
      <c r="FW283" s="60"/>
      <c r="FX283" s="60"/>
      <c r="FY283" s="60"/>
      <c r="FZ283" s="60"/>
      <c r="GA283" s="60"/>
      <c r="GB283" s="60"/>
      <c r="GC283" s="60"/>
      <c r="GD283" s="60"/>
      <c r="GE283" s="60"/>
      <c r="GF283" s="60"/>
      <c r="GG283" s="60"/>
      <c r="GH283" s="60"/>
      <c r="GI283" s="60"/>
      <c r="GJ283" s="60"/>
      <c r="GK283" s="60"/>
      <c r="GL283" s="60"/>
      <c r="GM283" s="60"/>
      <c r="GN283" s="60"/>
      <c r="GO283" s="60"/>
      <c r="GP283" s="60"/>
      <c r="GQ283" s="60"/>
      <c r="GR283" s="60"/>
      <c r="GS283" s="60"/>
      <c r="GT283" s="60"/>
      <c r="GU283" s="60"/>
      <c r="GV283" s="60"/>
      <c r="GW283" s="60"/>
      <c r="GX283" s="60"/>
      <c r="GY283" s="60"/>
      <c r="GZ283" s="60"/>
      <c r="HA283" s="60"/>
      <c r="HB283" s="60"/>
      <c r="HC283" s="60"/>
      <c r="HD283" s="60"/>
      <c r="HE283" s="60"/>
      <c r="HF283" s="60"/>
      <c r="HG283" s="60"/>
      <c r="HH283" s="60"/>
      <c r="HI283" s="60"/>
      <c r="HJ283" s="60"/>
      <c r="HK283" s="60"/>
      <c r="HL283" s="60"/>
    </row>
    <row r="284" spans="1:220" s="53" customFormat="1" ht="16.5" customHeight="1" x14ac:dyDescent="0.15">
      <c r="A284" s="99"/>
      <c r="B284" s="91" t="s">
        <v>572</v>
      </c>
      <c r="C284" s="103"/>
      <c r="D284" s="67" t="s">
        <v>322</v>
      </c>
      <c r="G284" s="88" t="s">
        <v>477</v>
      </c>
      <c r="J284" s="59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  <c r="BY284" s="60"/>
      <c r="BZ284" s="60"/>
      <c r="CA284" s="60"/>
      <c r="CB284" s="60"/>
      <c r="CC284" s="60"/>
      <c r="CD284" s="60"/>
      <c r="CE284" s="60"/>
      <c r="CF284" s="60"/>
      <c r="CG284" s="60"/>
      <c r="CH284" s="60"/>
      <c r="CI284" s="60"/>
      <c r="CJ284" s="60"/>
      <c r="CK284" s="60"/>
      <c r="CL284" s="60"/>
      <c r="CM284" s="60"/>
      <c r="CN284" s="60"/>
      <c r="CO284" s="60"/>
      <c r="CP284" s="60"/>
      <c r="CQ284" s="60"/>
      <c r="CR284" s="60"/>
      <c r="CS284" s="60"/>
      <c r="CT284" s="60"/>
      <c r="CU284" s="60"/>
      <c r="CV284" s="60"/>
      <c r="CW284" s="60"/>
      <c r="CX284" s="60"/>
      <c r="CY284" s="60"/>
      <c r="CZ284" s="60"/>
      <c r="DA284" s="60"/>
      <c r="DB284" s="60"/>
      <c r="DC284" s="60"/>
      <c r="DD284" s="60"/>
      <c r="DE284" s="60"/>
      <c r="DF284" s="60"/>
      <c r="DG284" s="60"/>
      <c r="DH284" s="60"/>
      <c r="DI284" s="60"/>
      <c r="DJ284" s="60"/>
      <c r="DK284" s="60"/>
      <c r="DL284" s="60"/>
      <c r="DM284" s="60"/>
      <c r="DN284" s="60"/>
      <c r="DO284" s="60"/>
      <c r="DP284" s="60"/>
      <c r="DQ284" s="60"/>
      <c r="DR284" s="60"/>
      <c r="DS284" s="60"/>
      <c r="DT284" s="60"/>
      <c r="DU284" s="60"/>
      <c r="DV284" s="60"/>
      <c r="DW284" s="60"/>
      <c r="DX284" s="60"/>
      <c r="DY284" s="60"/>
      <c r="DZ284" s="60"/>
      <c r="EA284" s="60"/>
      <c r="EB284" s="60"/>
      <c r="EC284" s="60"/>
      <c r="ED284" s="60"/>
      <c r="EE284" s="60"/>
      <c r="EF284" s="60"/>
      <c r="EG284" s="60"/>
      <c r="EH284" s="60"/>
      <c r="EI284" s="60"/>
      <c r="EJ284" s="60"/>
      <c r="EK284" s="60"/>
      <c r="EL284" s="60"/>
      <c r="EM284" s="60"/>
      <c r="EN284" s="60"/>
      <c r="EO284" s="60"/>
      <c r="EP284" s="60"/>
      <c r="EQ284" s="60"/>
      <c r="ER284" s="60"/>
      <c r="ES284" s="60"/>
      <c r="ET284" s="60"/>
      <c r="EU284" s="60"/>
      <c r="EV284" s="60"/>
      <c r="EW284" s="60"/>
      <c r="EX284" s="60"/>
      <c r="EY284" s="60"/>
      <c r="EZ284" s="60"/>
      <c r="FA284" s="60"/>
      <c r="FB284" s="60"/>
      <c r="FC284" s="60"/>
      <c r="FD284" s="60"/>
      <c r="FE284" s="60"/>
      <c r="FF284" s="60"/>
      <c r="FG284" s="60"/>
      <c r="FH284" s="60"/>
      <c r="FI284" s="60"/>
      <c r="FJ284" s="60"/>
      <c r="FK284" s="60"/>
      <c r="FL284" s="60"/>
      <c r="FM284" s="60"/>
      <c r="FN284" s="60"/>
      <c r="FO284" s="60"/>
      <c r="FP284" s="60"/>
      <c r="FQ284" s="60"/>
      <c r="FR284" s="60"/>
      <c r="FS284" s="60"/>
      <c r="FT284" s="60"/>
      <c r="FU284" s="60"/>
      <c r="FV284" s="60"/>
      <c r="FW284" s="60"/>
      <c r="FX284" s="60"/>
      <c r="FY284" s="60"/>
      <c r="FZ284" s="60"/>
      <c r="GA284" s="60"/>
      <c r="GB284" s="60"/>
      <c r="GC284" s="60"/>
      <c r="GD284" s="60"/>
      <c r="GE284" s="60"/>
      <c r="GF284" s="60"/>
      <c r="GG284" s="60"/>
      <c r="GH284" s="60"/>
      <c r="GI284" s="60"/>
      <c r="GJ284" s="60"/>
      <c r="GK284" s="60"/>
      <c r="GL284" s="60"/>
      <c r="GM284" s="60"/>
      <c r="GN284" s="60"/>
      <c r="GO284" s="60"/>
      <c r="GP284" s="60"/>
      <c r="GQ284" s="60"/>
      <c r="GR284" s="60"/>
      <c r="GS284" s="60"/>
      <c r="GT284" s="60"/>
      <c r="GU284" s="60"/>
      <c r="GV284" s="60"/>
      <c r="GW284" s="60"/>
      <c r="GX284" s="60"/>
      <c r="GY284" s="60"/>
      <c r="GZ284" s="60"/>
      <c r="HA284" s="60"/>
      <c r="HB284" s="60"/>
      <c r="HC284" s="60"/>
      <c r="HD284" s="60"/>
      <c r="HE284" s="60"/>
      <c r="HF284" s="60"/>
      <c r="HG284" s="60"/>
      <c r="HH284" s="60"/>
      <c r="HI284" s="60"/>
      <c r="HJ284" s="60"/>
      <c r="HK284" s="60"/>
      <c r="HL284" s="60"/>
    </row>
    <row r="285" spans="1:220" s="85" customFormat="1" ht="16.5" customHeight="1" x14ac:dyDescent="0.15">
      <c r="A285" s="97" t="s">
        <v>557</v>
      </c>
      <c r="B285" s="91" t="s">
        <v>573</v>
      </c>
      <c r="C285" s="100" t="s">
        <v>375</v>
      </c>
      <c r="D285" s="87" t="s">
        <v>376</v>
      </c>
      <c r="E285" s="81"/>
      <c r="F285" s="81"/>
      <c r="G285" s="88" t="s">
        <v>477</v>
      </c>
      <c r="H285" s="82"/>
      <c r="I285" s="82"/>
      <c r="J285" s="81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  <c r="FU285" s="84"/>
      <c r="FV285" s="84"/>
      <c r="FW285" s="84"/>
      <c r="FX285" s="84"/>
      <c r="FY285" s="84"/>
      <c r="FZ285" s="84"/>
      <c r="GA285" s="84"/>
      <c r="GB285" s="84"/>
      <c r="GC285" s="84"/>
      <c r="GD285" s="84"/>
      <c r="GE285" s="84"/>
      <c r="GF285" s="84"/>
      <c r="GG285" s="84"/>
      <c r="GH285" s="84"/>
      <c r="GI285" s="84"/>
      <c r="GJ285" s="84"/>
      <c r="GK285" s="84"/>
      <c r="GL285" s="84"/>
      <c r="GM285" s="84"/>
      <c r="GN285" s="84"/>
      <c r="GO285" s="84"/>
      <c r="GP285" s="84"/>
      <c r="GQ285" s="84"/>
      <c r="GR285" s="84"/>
      <c r="GS285" s="84"/>
      <c r="GT285" s="84"/>
      <c r="GU285" s="84"/>
      <c r="GV285" s="84"/>
      <c r="GW285" s="84"/>
      <c r="GX285" s="84"/>
      <c r="GY285" s="84"/>
      <c r="GZ285" s="84"/>
      <c r="HA285" s="84"/>
      <c r="HB285" s="84"/>
      <c r="HC285" s="84"/>
      <c r="HD285" s="84"/>
      <c r="HE285" s="84"/>
      <c r="HF285" s="84"/>
      <c r="HG285" s="84"/>
      <c r="HH285" s="84"/>
      <c r="HI285" s="84"/>
      <c r="HJ285" s="84"/>
      <c r="HK285" s="84"/>
      <c r="HL285" s="84"/>
    </row>
    <row r="286" spans="1:220" s="57" customFormat="1" ht="16.5" customHeight="1" x14ac:dyDescent="0.15">
      <c r="A286" s="97"/>
      <c r="B286" s="91" t="s">
        <v>574</v>
      </c>
      <c r="C286" s="101"/>
      <c r="D286" s="87" t="s">
        <v>323</v>
      </c>
      <c r="E286" s="81"/>
      <c r="F286" s="81"/>
      <c r="G286" s="88" t="s">
        <v>477</v>
      </c>
      <c r="H286" s="82"/>
      <c r="I286" s="82"/>
      <c r="J286" s="83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6"/>
      <c r="BR286" s="56"/>
      <c r="BS286" s="56"/>
      <c r="BT286" s="56"/>
      <c r="BU286" s="56"/>
      <c r="BV286" s="56"/>
      <c r="BW286" s="56"/>
      <c r="BX286" s="56"/>
      <c r="BY286" s="56"/>
      <c r="BZ286" s="56"/>
      <c r="CA286" s="56"/>
      <c r="CB286" s="56"/>
      <c r="CC286" s="56"/>
      <c r="CD286" s="56"/>
      <c r="CE286" s="56"/>
      <c r="CF286" s="56"/>
      <c r="CG286" s="56"/>
      <c r="CH286" s="56"/>
      <c r="CI286" s="56"/>
      <c r="CJ286" s="56"/>
      <c r="CK286" s="56"/>
      <c r="CL286" s="56"/>
      <c r="CM286" s="56"/>
      <c r="CN286" s="56"/>
      <c r="CO286" s="56"/>
      <c r="CP286" s="56"/>
      <c r="CQ286" s="56"/>
      <c r="CR286" s="56"/>
      <c r="CS286" s="56"/>
      <c r="CT286" s="56"/>
      <c r="CU286" s="56"/>
      <c r="CV286" s="56"/>
      <c r="CW286" s="56"/>
      <c r="CX286" s="56"/>
      <c r="CY286" s="56"/>
      <c r="CZ286" s="56"/>
      <c r="DA286" s="56"/>
      <c r="DB286" s="56"/>
      <c r="DC286" s="56"/>
      <c r="DD286" s="56"/>
      <c r="DE286" s="56"/>
      <c r="DF286" s="56"/>
      <c r="DG286" s="56"/>
      <c r="DH286" s="56"/>
      <c r="DI286" s="56"/>
      <c r="DJ286" s="56"/>
      <c r="DK286" s="56"/>
      <c r="DL286" s="56"/>
      <c r="DM286" s="56"/>
      <c r="DN286" s="56"/>
      <c r="DO286" s="56"/>
      <c r="DP286" s="56"/>
      <c r="DQ286" s="56"/>
      <c r="DR286" s="56"/>
      <c r="DS286" s="56"/>
      <c r="DT286" s="56"/>
      <c r="DU286" s="56"/>
      <c r="DV286" s="56"/>
      <c r="DW286" s="56"/>
      <c r="DX286" s="56"/>
      <c r="DY286" s="56"/>
      <c r="DZ286" s="56"/>
      <c r="EA286" s="56"/>
      <c r="EB286" s="56"/>
      <c r="EC286" s="56"/>
      <c r="ED286" s="56"/>
      <c r="EE286" s="56"/>
      <c r="EF286" s="56"/>
      <c r="EG286" s="56"/>
      <c r="EH286" s="56"/>
      <c r="EI286" s="56"/>
      <c r="EJ286" s="56"/>
      <c r="EK286" s="56"/>
      <c r="EL286" s="56"/>
      <c r="EM286" s="56"/>
      <c r="EN286" s="56"/>
      <c r="EO286" s="56"/>
      <c r="EP286" s="56"/>
      <c r="EQ286" s="56"/>
      <c r="ER286" s="56"/>
      <c r="ES286" s="56"/>
      <c r="ET286" s="56"/>
      <c r="EU286" s="56"/>
      <c r="EV286" s="56"/>
      <c r="EW286" s="56"/>
      <c r="EX286" s="56"/>
      <c r="EY286" s="56"/>
      <c r="EZ286" s="56"/>
      <c r="FA286" s="56"/>
      <c r="FB286" s="56"/>
      <c r="FC286" s="56"/>
      <c r="FD286" s="56"/>
      <c r="FE286" s="56"/>
      <c r="FF286" s="56"/>
      <c r="FG286" s="56"/>
      <c r="FH286" s="56"/>
      <c r="FI286" s="56"/>
      <c r="FJ286" s="56"/>
      <c r="FK286" s="56"/>
      <c r="FL286" s="56"/>
      <c r="FM286" s="56"/>
      <c r="FN286" s="56"/>
      <c r="FO286" s="56"/>
      <c r="FP286" s="56"/>
      <c r="FQ286" s="56"/>
      <c r="FR286" s="56"/>
      <c r="FS286" s="56"/>
      <c r="FT286" s="56"/>
      <c r="FU286" s="56"/>
      <c r="FV286" s="56"/>
      <c r="FW286" s="56"/>
      <c r="FX286" s="56"/>
      <c r="FY286" s="56"/>
      <c r="FZ286" s="56"/>
      <c r="GA286" s="56"/>
      <c r="GB286" s="56"/>
      <c r="GC286" s="56"/>
      <c r="GD286" s="56"/>
      <c r="GE286" s="56"/>
      <c r="GF286" s="56"/>
      <c r="GG286" s="56"/>
      <c r="GH286" s="56"/>
      <c r="GI286" s="56"/>
      <c r="GJ286" s="56"/>
      <c r="GK286" s="56"/>
      <c r="GL286" s="56"/>
      <c r="GM286" s="56"/>
      <c r="GN286" s="56"/>
      <c r="GO286" s="56"/>
      <c r="GP286" s="56"/>
      <c r="GQ286" s="56"/>
      <c r="GR286" s="56"/>
      <c r="GS286" s="56"/>
      <c r="GT286" s="56"/>
      <c r="GU286" s="56"/>
      <c r="GV286" s="56"/>
      <c r="GW286" s="56"/>
      <c r="GX286" s="56"/>
      <c r="GY286" s="56"/>
      <c r="GZ286" s="56"/>
      <c r="HA286" s="56"/>
      <c r="HB286" s="56"/>
      <c r="HC286" s="56"/>
      <c r="HD286" s="56"/>
      <c r="HE286" s="56"/>
      <c r="HF286" s="56"/>
      <c r="HG286" s="56"/>
      <c r="HH286" s="56"/>
      <c r="HI286" s="56"/>
      <c r="HJ286" s="56"/>
      <c r="HK286" s="56"/>
      <c r="HL286" s="56"/>
    </row>
    <row r="287" spans="1:220" s="81" customFormat="1" ht="16.5" customHeight="1" x14ac:dyDescent="0.15">
      <c r="A287" s="97"/>
      <c r="B287" s="91" t="s">
        <v>575</v>
      </c>
      <c r="C287" s="103"/>
      <c r="D287" s="87" t="s">
        <v>322</v>
      </c>
      <c r="G287" s="88" t="s">
        <v>477</v>
      </c>
      <c r="J287" s="83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  <c r="FU287" s="84"/>
      <c r="FV287" s="84"/>
      <c r="FW287" s="84"/>
      <c r="FX287" s="84"/>
      <c r="FY287" s="84"/>
      <c r="FZ287" s="84"/>
      <c r="GA287" s="84"/>
      <c r="GB287" s="84"/>
      <c r="GC287" s="84"/>
      <c r="GD287" s="84"/>
      <c r="GE287" s="84"/>
      <c r="GF287" s="84"/>
      <c r="GG287" s="84"/>
      <c r="GH287" s="84"/>
      <c r="GI287" s="84"/>
      <c r="GJ287" s="84"/>
      <c r="GK287" s="84"/>
      <c r="GL287" s="84"/>
      <c r="GM287" s="84"/>
      <c r="GN287" s="84"/>
      <c r="GO287" s="84"/>
      <c r="GP287" s="84"/>
      <c r="GQ287" s="84"/>
      <c r="GR287" s="84"/>
      <c r="GS287" s="84"/>
      <c r="GT287" s="84"/>
      <c r="GU287" s="84"/>
      <c r="GV287" s="84"/>
      <c r="GW287" s="84"/>
      <c r="GX287" s="84"/>
      <c r="GY287" s="84"/>
      <c r="GZ287" s="84"/>
      <c r="HA287" s="84"/>
      <c r="HB287" s="84"/>
      <c r="HC287" s="84"/>
      <c r="HD287" s="84"/>
      <c r="HE287" s="84"/>
      <c r="HF287" s="84"/>
      <c r="HG287" s="84"/>
      <c r="HH287" s="84"/>
      <c r="HI287" s="84"/>
      <c r="HJ287" s="84"/>
      <c r="HK287" s="84"/>
      <c r="HL287" s="84"/>
    </row>
    <row r="288" spans="1:220" s="81" customFormat="1" ht="16.5" customHeight="1" x14ac:dyDescent="0.15">
      <c r="A288" s="97"/>
      <c r="B288" s="91" t="s">
        <v>576</v>
      </c>
      <c r="C288" s="100" t="s">
        <v>694</v>
      </c>
      <c r="D288" s="87" t="s">
        <v>376</v>
      </c>
      <c r="G288" s="88" t="s">
        <v>477</v>
      </c>
      <c r="J288" s="83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  <c r="FU288" s="84"/>
      <c r="FV288" s="84"/>
      <c r="FW288" s="84"/>
      <c r="FX288" s="84"/>
      <c r="FY288" s="84"/>
      <c r="FZ288" s="84"/>
      <c r="GA288" s="84"/>
      <c r="GB288" s="84"/>
      <c r="GC288" s="84"/>
      <c r="GD288" s="84"/>
      <c r="GE288" s="84"/>
      <c r="GF288" s="84"/>
      <c r="GG288" s="84"/>
      <c r="GH288" s="84"/>
      <c r="GI288" s="84"/>
      <c r="GJ288" s="84"/>
      <c r="GK288" s="84"/>
      <c r="GL288" s="84"/>
      <c r="GM288" s="84"/>
      <c r="GN288" s="84"/>
      <c r="GO288" s="84"/>
      <c r="GP288" s="84"/>
      <c r="GQ288" s="84"/>
      <c r="GR288" s="84"/>
      <c r="GS288" s="84"/>
      <c r="GT288" s="84"/>
      <c r="GU288" s="84"/>
      <c r="GV288" s="84"/>
      <c r="GW288" s="84"/>
      <c r="GX288" s="84"/>
      <c r="GY288" s="84"/>
      <c r="GZ288" s="84"/>
      <c r="HA288" s="84"/>
      <c r="HB288" s="84"/>
      <c r="HC288" s="84"/>
      <c r="HD288" s="84"/>
      <c r="HE288" s="84"/>
      <c r="HF288" s="84"/>
      <c r="HG288" s="84"/>
      <c r="HH288" s="84"/>
      <c r="HI288" s="84"/>
      <c r="HJ288" s="84"/>
      <c r="HK288" s="84"/>
      <c r="HL288" s="84"/>
    </row>
    <row r="289" spans="1:220" s="81" customFormat="1" ht="16.5" customHeight="1" x14ac:dyDescent="0.15">
      <c r="A289" s="97"/>
      <c r="B289" s="91" t="s">
        <v>577</v>
      </c>
      <c r="C289" s="101"/>
      <c r="D289" s="87" t="s">
        <v>323</v>
      </c>
      <c r="G289" s="88" t="s">
        <v>477</v>
      </c>
      <c r="J289" s="83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  <c r="FU289" s="84"/>
      <c r="FV289" s="84"/>
      <c r="FW289" s="84"/>
      <c r="FX289" s="84"/>
      <c r="FY289" s="84"/>
      <c r="FZ289" s="84"/>
      <c r="GA289" s="84"/>
      <c r="GB289" s="84"/>
      <c r="GC289" s="84"/>
      <c r="GD289" s="84"/>
      <c r="GE289" s="84"/>
      <c r="GF289" s="84"/>
      <c r="GG289" s="84"/>
      <c r="GH289" s="84"/>
      <c r="GI289" s="84"/>
      <c r="GJ289" s="84"/>
      <c r="GK289" s="84"/>
      <c r="GL289" s="84"/>
      <c r="GM289" s="84"/>
      <c r="GN289" s="84"/>
      <c r="GO289" s="84"/>
      <c r="GP289" s="84"/>
      <c r="GQ289" s="84"/>
      <c r="GR289" s="84"/>
      <c r="GS289" s="84"/>
      <c r="GT289" s="84"/>
      <c r="GU289" s="84"/>
      <c r="GV289" s="84"/>
      <c r="GW289" s="84"/>
      <c r="GX289" s="84"/>
      <c r="GY289" s="84"/>
      <c r="GZ289" s="84"/>
      <c r="HA289" s="84"/>
      <c r="HB289" s="84"/>
      <c r="HC289" s="84"/>
      <c r="HD289" s="84"/>
      <c r="HE289" s="84"/>
      <c r="HF289" s="84"/>
      <c r="HG289" s="84"/>
      <c r="HH289" s="84"/>
      <c r="HI289" s="84"/>
      <c r="HJ289" s="84"/>
      <c r="HK289" s="84"/>
      <c r="HL289" s="84"/>
    </row>
    <row r="290" spans="1:220" s="81" customFormat="1" ht="16.5" customHeight="1" x14ac:dyDescent="0.15">
      <c r="A290" s="97"/>
      <c r="B290" s="91" t="s">
        <v>578</v>
      </c>
      <c r="C290" s="103"/>
      <c r="D290" s="87" t="s">
        <v>322</v>
      </c>
      <c r="G290" s="88" t="s">
        <v>477</v>
      </c>
      <c r="J290" s="83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  <c r="FU290" s="84"/>
      <c r="FV290" s="84"/>
      <c r="FW290" s="84"/>
      <c r="FX290" s="84"/>
      <c r="FY290" s="84"/>
      <c r="FZ290" s="84"/>
      <c r="GA290" s="84"/>
      <c r="GB290" s="84"/>
      <c r="GC290" s="84"/>
      <c r="GD290" s="84"/>
      <c r="GE290" s="84"/>
      <c r="GF290" s="84"/>
      <c r="GG290" s="84"/>
      <c r="GH290" s="84"/>
      <c r="GI290" s="84"/>
      <c r="GJ290" s="84"/>
      <c r="GK290" s="84"/>
      <c r="GL290" s="84"/>
      <c r="GM290" s="84"/>
      <c r="GN290" s="84"/>
      <c r="GO290" s="84"/>
      <c r="GP290" s="84"/>
      <c r="GQ290" s="84"/>
      <c r="GR290" s="84"/>
      <c r="GS290" s="84"/>
      <c r="GT290" s="84"/>
      <c r="GU290" s="84"/>
      <c r="GV290" s="84"/>
      <c r="GW290" s="84"/>
      <c r="GX290" s="84"/>
      <c r="GY290" s="84"/>
      <c r="GZ290" s="84"/>
      <c r="HA290" s="84"/>
      <c r="HB290" s="84"/>
      <c r="HC290" s="84"/>
      <c r="HD290" s="84"/>
      <c r="HE290" s="84"/>
      <c r="HF290" s="84"/>
      <c r="HG290" s="84"/>
      <c r="HH290" s="84"/>
      <c r="HI290" s="84"/>
      <c r="HJ290" s="84"/>
      <c r="HK290" s="84"/>
      <c r="HL290" s="84"/>
    </row>
    <row r="291" spans="1:220" s="85" customFormat="1" ht="16.5" customHeight="1" x14ac:dyDescent="0.15">
      <c r="A291" s="97"/>
      <c r="B291" s="91" t="s">
        <v>579</v>
      </c>
      <c r="C291" s="100" t="s">
        <v>380</v>
      </c>
      <c r="D291" s="87" t="s">
        <v>376</v>
      </c>
      <c r="E291" s="81"/>
      <c r="F291" s="81"/>
      <c r="G291" s="88" t="s">
        <v>477</v>
      </c>
      <c r="H291" s="82"/>
      <c r="I291" s="82"/>
      <c r="J291" s="81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  <c r="FU291" s="84"/>
      <c r="FV291" s="84"/>
      <c r="FW291" s="84"/>
      <c r="FX291" s="84"/>
      <c r="FY291" s="84"/>
      <c r="FZ291" s="84"/>
      <c r="GA291" s="84"/>
      <c r="GB291" s="84"/>
      <c r="GC291" s="84"/>
      <c r="GD291" s="84"/>
      <c r="GE291" s="84"/>
      <c r="GF291" s="84"/>
      <c r="GG291" s="84"/>
      <c r="GH291" s="84"/>
      <c r="GI291" s="84"/>
      <c r="GJ291" s="84"/>
      <c r="GK291" s="84"/>
      <c r="GL291" s="84"/>
      <c r="GM291" s="84"/>
      <c r="GN291" s="84"/>
      <c r="GO291" s="84"/>
      <c r="GP291" s="84"/>
      <c r="GQ291" s="84"/>
      <c r="GR291" s="84"/>
      <c r="GS291" s="84"/>
      <c r="GT291" s="84"/>
      <c r="GU291" s="84"/>
      <c r="GV291" s="84"/>
      <c r="GW291" s="84"/>
      <c r="GX291" s="84"/>
      <c r="GY291" s="84"/>
      <c r="GZ291" s="84"/>
      <c r="HA291" s="84"/>
      <c r="HB291" s="84"/>
      <c r="HC291" s="84"/>
      <c r="HD291" s="84"/>
      <c r="HE291" s="84"/>
      <c r="HF291" s="84"/>
      <c r="HG291" s="84"/>
      <c r="HH291" s="84"/>
      <c r="HI291" s="84"/>
      <c r="HJ291" s="84"/>
      <c r="HK291" s="84"/>
      <c r="HL291" s="84"/>
    </row>
    <row r="292" spans="1:220" s="57" customFormat="1" ht="16.5" customHeight="1" x14ac:dyDescent="0.15">
      <c r="A292" s="97"/>
      <c r="B292" s="91" t="s">
        <v>580</v>
      </c>
      <c r="C292" s="101"/>
      <c r="D292" s="87" t="s">
        <v>323</v>
      </c>
      <c r="E292" s="81"/>
      <c r="F292" s="81"/>
      <c r="G292" s="88" t="s">
        <v>477</v>
      </c>
      <c r="H292" s="82"/>
      <c r="I292" s="82"/>
      <c r="J292" s="83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6"/>
      <c r="BR292" s="56"/>
      <c r="BS292" s="56"/>
      <c r="BT292" s="56"/>
      <c r="BU292" s="56"/>
      <c r="BV292" s="56"/>
      <c r="BW292" s="56"/>
      <c r="BX292" s="56"/>
      <c r="BY292" s="56"/>
      <c r="BZ292" s="56"/>
      <c r="CA292" s="56"/>
      <c r="CB292" s="56"/>
      <c r="CC292" s="56"/>
      <c r="CD292" s="56"/>
      <c r="CE292" s="56"/>
      <c r="CF292" s="56"/>
      <c r="CG292" s="56"/>
      <c r="CH292" s="56"/>
      <c r="CI292" s="56"/>
      <c r="CJ292" s="56"/>
      <c r="CK292" s="56"/>
      <c r="CL292" s="56"/>
      <c r="CM292" s="56"/>
      <c r="CN292" s="56"/>
      <c r="CO292" s="56"/>
      <c r="CP292" s="56"/>
      <c r="CQ292" s="56"/>
      <c r="CR292" s="56"/>
      <c r="CS292" s="56"/>
      <c r="CT292" s="56"/>
      <c r="CU292" s="56"/>
      <c r="CV292" s="56"/>
      <c r="CW292" s="56"/>
      <c r="CX292" s="56"/>
      <c r="CY292" s="56"/>
      <c r="CZ292" s="56"/>
      <c r="DA292" s="56"/>
      <c r="DB292" s="56"/>
      <c r="DC292" s="56"/>
      <c r="DD292" s="56"/>
      <c r="DE292" s="56"/>
      <c r="DF292" s="56"/>
      <c r="DG292" s="56"/>
      <c r="DH292" s="56"/>
      <c r="DI292" s="56"/>
      <c r="DJ292" s="56"/>
      <c r="DK292" s="56"/>
      <c r="DL292" s="56"/>
      <c r="DM292" s="56"/>
      <c r="DN292" s="56"/>
      <c r="DO292" s="56"/>
      <c r="DP292" s="56"/>
      <c r="DQ292" s="56"/>
      <c r="DR292" s="56"/>
      <c r="DS292" s="56"/>
      <c r="DT292" s="56"/>
      <c r="DU292" s="56"/>
      <c r="DV292" s="56"/>
      <c r="DW292" s="56"/>
      <c r="DX292" s="56"/>
      <c r="DY292" s="56"/>
      <c r="DZ292" s="56"/>
      <c r="EA292" s="56"/>
      <c r="EB292" s="56"/>
      <c r="EC292" s="56"/>
      <c r="ED292" s="56"/>
      <c r="EE292" s="56"/>
      <c r="EF292" s="56"/>
      <c r="EG292" s="56"/>
      <c r="EH292" s="56"/>
      <c r="EI292" s="56"/>
      <c r="EJ292" s="56"/>
      <c r="EK292" s="56"/>
      <c r="EL292" s="56"/>
      <c r="EM292" s="56"/>
      <c r="EN292" s="56"/>
      <c r="EO292" s="56"/>
      <c r="EP292" s="56"/>
      <c r="EQ292" s="56"/>
      <c r="ER292" s="56"/>
      <c r="ES292" s="56"/>
      <c r="ET292" s="56"/>
      <c r="EU292" s="56"/>
      <c r="EV292" s="56"/>
      <c r="EW292" s="56"/>
      <c r="EX292" s="56"/>
      <c r="EY292" s="56"/>
      <c r="EZ292" s="56"/>
      <c r="FA292" s="56"/>
      <c r="FB292" s="56"/>
      <c r="FC292" s="56"/>
      <c r="FD292" s="56"/>
      <c r="FE292" s="56"/>
      <c r="FF292" s="56"/>
      <c r="FG292" s="56"/>
      <c r="FH292" s="56"/>
      <c r="FI292" s="56"/>
      <c r="FJ292" s="56"/>
      <c r="FK292" s="56"/>
      <c r="FL292" s="56"/>
      <c r="FM292" s="56"/>
      <c r="FN292" s="56"/>
      <c r="FO292" s="56"/>
      <c r="FP292" s="56"/>
      <c r="FQ292" s="56"/>
      <c r="FR292" s="56"/>
      <c r="FS292" s="56"/>
      <c r="FT292" s="56"/>
      <c r="FU292" s="56"/>
      <c r="FV292" s="56"/>
      <c r="FW292" s="56"/>
      <c r="FX292" s="56"/>
      <c r="FY292" s="56"/>
      <c r="FZ292" s="56"/>
      <c r="GA292" s="56"/>
      <c r="GB292" s="56"/>
      <c r="GC292" s="56"/>
      <c r="GD292" s="56"/>
      <c r="GE292" s="56"/>
      <c r="GF292" s="56"/>
      <c r="GG292" s="56"/>
      <c r="GH292" s="56"/>
      <c r="GI292" s="56"/>
      <c r="GJ292" s="56"/>
      <c r="GK292" s="56"/>
      <c r="GL292" s="56"/>
      <c r="GM292" s="56"/>
      <c r="GN292" s="56"/>
      <c r="GO292" s="56"/>
      <c r="GP292" s="56"/>
      <c r="GQ292" s="56"/>
      <c r="GR292" s="56"/>
      <c r="GS292" s="56"/>
      <c r="GT292" s="56"/>
      <c r="GU292" s="56"/>
      <c r="GV292" s="56"/>
      <c r="GW292" s="56"/>
      <c r="GX292" s="56"/>
      <c r="GY292" s="56"/>
      <c r="GZ292" s="56"/>
      <c r="HA292" s="56"/>
      <c r="HB292" s="56"/>
      <c r="HC292" s="56"/>
      <c r="HD292" s="56"/>
      <c r="HE292" s="56"/>
      <c r="HF292" s="56"/>
      <c r="HG292" s="56"/>
      <c r="HH292" s="56"/>
      <c r="HI292" s="56"/>
      <c r="HJ292" s="56"/>
      <c r="HK292" s="56"/>
      <c r="HL292" s="56"/>
    </row>
    <row r="293" spans="1:220" s="81" customFormat="1" ht="16.5" customHeight="1" x14ac:dyDescent="0.15">
      <c r="A293" s="97"/>
      <c r="B293" s="91" t="s">
        <v>581</v>
      </c>
      <c r="C293" s="103"/>
      <c r="D293" s="87" t="s">
        <v>322</v>
      </c>
      <c r="G293" s="88" t="s">
        <v>477</v>
      </c>
      <c r="J293" s="83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  <c r="FU293" s="84"/>
      <c r="FV293" s="84"/>
      <c r="FW293" s="84"/>
      <c r="FX293" s="84"/>
      <c r="FY293" s="84"/>
      <c r="FZ293" s="84"/>
      <c r="GA293" s="84"/>
      <c r="GB293" s="84"/>
      <c r="GC293" s="84"/>
      <c r="GD293" s="84"/>
      <c r="GE293" s="84"/>
      <c r="GF293" s="84"/>
      <c r="GG293" s="84"/>
      <c r="GH293" s="84"/>
      <c r="GI293" s="84"/>
      <c r="GJ293" s="84"/>
      <c r="GK293" s="84"/>
      <c r="GL293" s="84"/>
      <c r="GM293" s="84"/>
      <c r="GN293" s="84"/>
      <c r="GO293" s="84"/>
      <c r="GP293" s="84"/>
      <c r="GQ293" s="84"/>
      <c r="GR293" s="84"/>
      <c r="GS293" s="84"/>
      <c r="GT293" s="84"/>
      <c r="GU293" s="84"/>
      <c r="GV293" s="84"/>
      <c r="GW293" s="84"/>
      <c r="GX293" s="84"/>
      <c r="GY293" s="84"/>
      <c r="GZ293" s="84"/>
      <c r="HA293" s="84"/>
      <c r="HB293" s="84"/>
      <c r="HC293" s="84"/>
      <c r="HD293" s="84"/>
      <c r="HE293" s="84"/>
      <c r="HF293" s="84"/>
      <c r="HG293" s="84"/>
      <c r="HH293" s="84"/>
      <c r="HI293" s="84"/>
      <c r="HJ293" s="84"/>
      <c r="HK293" s="84"/>
      <c r="HL293" s="84"/>
    </row>
    <row r="294" spans="1:220" s="81" customFormat="1" ht="16.5" customHeight="1" x14ac:dyDescent="0.15">
      <c r="A294" s="97"/>
      <c r="B294" s="91" t="s">
        <v>582</v>
      </c>
      <c r="C294" s="100" t="s">
        <v>381</v>
      </c>
      <c r="D294" s="87" t="s">
        <v>376</v>
      </c>
      <c r="G294" s="88" t="s">
        <v>477</v>
      </c>
      <c r="J294" s="83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  <c r="FU294" s="84"/>
      <c r="FV294" s="84"/>
      <c r="FW294" s="84"/>
      <c r="FX294" s="84"/>
      <c r="FY294" s="84"/>
      <c r="FZ294" s="84"/>
      <c r="GA294" s="84"/>
      <c r="GB294" s="84"/>
      <c r="GC294" s="84"/>
      <c r="GD294" s="84"/>
      <c r="GE294" s="84"/>
      <c r="GF294" s="84"/>
      <c r="GG294" s="84"/>
      <c r="GH294" s="84"/>
      <c r="GI294" s="84"/>
      <c r="GJ294" s="84"/>
      <c r="GK294" s="84"/>
      <c r="GL294" s="84"/>
      <c r="GM294" s="84"/>
      <c r="GN294" s="84"/>
      <c r="GO294" s="84"/>
      <c r="GP294" s="84"/>
      <c r="GQ294" s="84"/>
      <c r="GR294" s="84"/>
      <c r="GS294" s="84"/>
      <c r="GT294" s="84"/>
      <c r="GU294" s="84"/>
      <c r="GV294" s="84"/>
      <c r="GW294" s="84"/>
      <c r="GX294" s="84"/>
      <c r="GY294" s="84"/>
      <c r="GZ294" s="84"/>
      <c r="HA294" s="84"/>
      <c r="HB294" s="84"/>
      <c r="HC294" s="84"/>
      <c r="HD294" s="84"/>
      <c r="HE294" s="84"/>
      <c r="HF294" s="84"/>
      <c r="HG294" s="84"/>
      <c r="HH294" s="84"/>
      <c r="HI294" s="84"/>
      <c r="HJ294" s="84"/>
      <c r="HK294" s="84"/>
      <c r="HL294" s="84"/>
    </row>
    <row r="295" spans="1:220" s="81" customFormat="1" ht="16.5" customHeight="1" x14ac:dyDescent="0.15">
      <c r="A295" s="97"/>
      <c r="B295" s="91" t="s">
        <v>583</v>
      </c>
      <c r="C295" s="101"/>
      <c r="D295" s="87" t="s">
        <v>323</v>
      </c>
      <c r="G295" s="88" t="s">
        <v>477</v>
      </c>
      <c r="J295" s="83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  <c r="FU295" s="84"/>
      <c r="FV295" s="84"/>
      <c r="FW295" s="84"/>
      <c r="FX295" s="84"/>
      <c r="FY295" s="84"/>
      <c r="FZ295" s="84"/>
      <c r="GA295" s="84"/>
      <c r="GB295" s="84"/>
      <c r="GC295" s="84"/>
      <c r="GD295" s="84"/>
      <c r="GE295" s="84"/>
      <c r="GF295" s="84"/>
      <c r="GG295" s="84"/>
      <c r="GH295" s="84"/>
      <c r="GI295" s="84"/>
      <c r="GJ295" s="84"/>
      <c r="GK295" s="84"/>
      <c r="GL295" s="84"/>
      <c r="GM295" s="84"/>
      <c r="GN295" s="84"/>
      <c r="GO295" s="84"/>
      <c r="GP295" s="84"/>
      <c r="GQ295" s="84"/>
      <c r="GR295" s="84"/>
      <c r="GS295" s="84"/>
      <c r="GT295" s="84"/>
      <c r="GU295" s="84"/>
      <c r="GV295" s="84"/>
      <c r="GW295" s="84"/>
      <c r="GX295" s="84"/>
      <c r="GY295" s="84"/>
      <c r="GZ295" s="84"/>
      <c r="HA295" s="84"/>
      <c r="HB295" s="84"/>
      <c r="HC295" s="84"/>
      <c r="HD295" s="84"/>
      <c r="HE295" s="84"/>
      <c r="HF295" s="84"/>
      <c r="HG295" s="84"/>
      <c r="HH295" s="84"/>
      <c r="HI295" s="84"/>
      <c r="HJ295" s="84"/>
      <c r="HK295" s="84"/>
      <c r="HL295" s="84"/>
    </row>
    <row r="296" spans="1:220" s="81" customFormat="1" ht="16.5" customHeight="1" x14ac:dyDescent="0.15">
      <c r="A296" s="97"/>
      <c r="B296" s="91" t="s">
        <v>634</v>
      </c>
      <c r="C296" s="103"/>
      <c r="D296" s="87" t="s">
        <v>322</v>
      </c>
      <c r="G296" s="88" t="s">
        <v>477</v>
      </c>
      <c r="J296" s="83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  <c r="FU296" s="84"/>
      <c r="FV296" s="84"/>
      <c r="FW296" s="84"/>
      <c r="FX296" s="84"/>
      <c r="FY296" s="84"/>
      <c r="FZ296" s="84"/>
      <c r="GA296" s="84"/>
      <c r="GB296" s="84"/>
      <c r="GC296" s="84"/>
      <c r="GD296" s="84"/>
      <c r="GE296" s="84"/>
      <c r="GF296" s="84"/>
      <c r="GG296" s="84"/>
      <c r="GH296" s="84"/>
      <c r="GI296" s="84"/>
      <c r="GJ296" s="84"/>
      <c r="GK296" s="84"/>
      <c r="GL296" s="84"/>
      <c r="GM296" s="84"/>
      <c r="GN296" s="84"/>
      <c r="GO296" s="84"/>
      <c r="GP296" s="84"/>
      <c r="GQ296" s="84"/>
      <c r="GR296" s="84"/>
      <c r="GS296" s="84"/>
      <c r="GT296" s="84"/>
      <c r="GU296" s="84"/>
      <c r="GV296" s="84"/>
      <c r="GW296" s="84"/>
      <c r="GX296" s="84"/>
      <c r="GY296" s="84"/>
      <c r="GZ296" s="84"/>
      <c r="HA296" s="84"/>
      <c r="HB296" s="84"/>
      <c r="HC296" s="84"/>
      <c r="HD296" s="84"/>
      <c r="HE296" s="84"/>
      <c r="HF296" s="84"/>
      <c r="HG296" s="84"/>
      <c r="HH296" s="84"/>
      <c r="HI296" s="84"/>
      <c r="HJ296" s="84"/>
      <c r="HK296" s="84"/>
      <c r="HL296" s="84"/>
    </row>
    <row r="297" spans="1:220" s="85" customFormat="1" ht="16.5" customHeight="1" x14ac:dyDescent="0.15">
      <c r="A297" s="97"/>
      <c r="B297" s="91" t="s">
        <v>635</v>
      </c>
      <c r="C297" s="100" t="s">
        <v>383</v>
      </c>
      <c r="D297" s="87" t="s">
        <v>376</v>
      </c>
      <c r="E297" s="81"/>
      <c r="F297" s="81"/>
      <c r="G297" s="88" t="s">
        <v>477</v>
      </c>
      <c r="H297" s="82"/>
      <c r="I297" s="82"/>
      <c r="J297" s="81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  <c r="FU297" s="84"/>
      <c r="FV297" s="84"/>
      <c r="FW297" s="84"/>
      <c r="FX297" s="84"/>
      <c r="FY297" s="84"/>
      <c r="FZ297" s="84"/>
      <c r="GA297" s="84"/>
      <c r="GB297" s="84"/>
      <c r="GC297" s="84"/>
      <c r="GD297" s="84"/>
      <c r="GE297" s="84"/>
      <c r="GF297" s="84"/>
      <c r="GG297" s="84"/>
      <c r="GH297" s="84"/>
      <c r="GI297" s="84"/>
      <c r="GJ297" s="84"/>
      <c r="GK297" s="84"/>
      <c r="GL297" s="84"/>
      <c r="GM297" s="84"/>
      <c r="GN297" s="84"/>
      <c r="GO297" s="84"/>
      <c r="GP297" s="84"/>
      <c r="GQ297" s="84"/>
      <c r="GR297" s="84"/>
      <c r="GS297" s="84"/>
      <c r="GT297" s="84"/>
      <c r="GU297" s="84"/>
      <c r="GV297" s="84"/>
      <c r="GW297" s="84"/>
      <c r="GX297" s="84"/>
      <c r="GY297" s="84"/>
      <c r="GZ297" s="84"/>
      <c r="HA297" s="84"/>
      <c r="HB297" s="84"/>
      <c r="HC297" s="84"/>
      <c r="HD297" s="84"/>
      <c r="HE297" s="84"/>
      <c r="HF297" s="84"/>
      <c r="HG297" s="84"/>
      <c r="HH297" s="84"/>
      <c r="HI297" s="84"/>
      <c r="HJ297" s="84"/>
      <c r="HK297" s="84"/>
      <c r="HL297" s="84"/>
    </row>
    <row r="298" spans="1:220" s="57" customFormat="1" ht="16.5" customHeight="1" x14ac:dyDescent="0.15">
      <c r="A298" s="97"/>
      <c r="B298" s="91" t="s">
        <v>636</v>
      </c>
      <c r="C298" s="101"/>
      <c r="D298" s="87" t="s">
        <v>323</v>
      </c>
      <c r="E298" s="81"/>
      <c r="F298" s="81"/>
      <c r="G298" s="88" t="s">
        <v>477</v>
      </c>
      <c r="H298" s="82"/>
      <c r="I298" s="82"/>
      <c r="J298" s="83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6"/>
      <c r="BR298" s="56"/>
      <c r="BS298" s="56"/>
      <c r="BT298" s="56"/>
      <c r="BU298" s="56"/>
      <c r="BV298" s="56"/>
      <c r="BW298" s="56"/>
      <c r="BX298" s="56"/>
      <c r="BY298" s="56"/>
      <c r="BZ298" s="56"/>
      <c r="CA298" s="56"/>
      <c r="CB298" s="56"/>
      <c r="CC298" s="56"/>
      <c r="CD298" s="56"/>
      <c r="CE298" s="56"/>
      <c r="CF298" s="56"/>
      <c r="CG298" s="56"/>
      <c r="CH298" s="56"/>
      <c r="CI298" s="56"/>
      <c r="CJ298" s="56"/>
      <c r="CK298" s="56"/>
      <c r="CL298" s="56"/>
      <c r="CM298" s="56"/>
      <c r="CN298" s="56"/>
      <c r="CO298" s="56"/>
      <c r="CP298" s="56"/>
      <c r="CQ298" s="56"/>
      <c r="CR298" s="56"/>
      <c r="CS298" s="56"/>
      <c r="CT298" s="56"/>
      <c r="CU298" s="56"/>
      <c r="CV298" s="56"/>
      <c r="CW298" s="56"/>
      <c r="CX298" s="56"/>
      <c r="CY298" s="56"/>
      <c r="CZ298" s="56"/>
      <c r="DA298" s="56"/>
      <c r="DB298" s="56"/>
      <c r="DC298" s="56"/>
      <c r="DD298" s="56"/>
      <c r="DE298" s="56"/>
      <c r="DF298" s="56"/>
      <c r="DG298" s="56"/>
      <c r="DH298" s="56"/>
      <c r="DI298" s="56"/>
      <c r="DJ298" s="56"/>
      <c r="DK298" s="56"/>
      <c r="DL298" s="56"/>
      <c r="DM298" s="56"/>
      <c r="DN298" s="56"/>
      <c r="DO298" s="56"/>
      <c r="DP298" s="56"/>
      <c r="DQ298" s="56"/>
      <c r="DR298" s="56"/>
      <c r="DS298" s="56"/>
      <c r="DT298" s="56"/>
      <c r="DU298" s="56"/>
      <c r="DV298" s="56"/>
      <c r="DW298" s="56"/>
      <c r="DX298" s="56"/>
      <c r="DY298" s="56"/>
      <c r="DZ298" s="56"/>
      <c r="EA298" s="56"/>
      <c r="EB298" s="56"/>
      <c r="EC298" s="56"/>
      <c r="ED298" s="56"/>
      <c r="EE298" s="56"/>
      <c r="EF298" s="56"/>
      <c r="EG298" s="56"/>
      <c r="EH298" s="56"/>
      <c r="EI298" s="56"/>
      <c r="EJ298" s="56"/>
      <c r="EK298" s="56"/>
      <c r="EL298" s="56"/>
      <c r="EM298" s="56"/>
      <c r="EN298" s="56"/>
      <c r="EO298" s="56"/>
      <c r="EP298" s="56"/>
      <c r="EQ298" s="56"/>
      <c r="ER298" s="56"/>
      <c r="ES298" s="56"/>
      <c r="ET298" s="56"/>
      <c r="EU298" s="56"/>
      <c r="EV298" s="56"/>
      <c r="EW298" s="56"/>
      <c r="EX298" s="56"/>
      <c r="EY298" s="56"/>
      <c r="EZ298" s="56"/>
      <c r="FA298" s="56"/>
      <c r="FB298" s="56"/>
      <c r="FC298" s="56"/>
      <c r="FD298" s="56"/>
      <c r="FE298" s="56"/>
      <c r="FF298" s="56"/>
      <c r="FG298" s="56"/>
      <c r="FH298" s="56"/>
      <c r="FI298" s="56"/>
      <c r="FJ298" s="56"/>
      <c r="FK298" s="56"/>
      <c r="FL298" s="56"/>
      <c r="FM298" s="56"/>
      <c r="FN298" s="56"/>
      <c r="FO298" s="56"/>
      <c r="FP298" s="56"/>
      <c r="FQ298" s="56"/>
      <c r="FR298" s="56"/>
      <c r="FS298" s="56"/>
      <c r="FT298" s="56"/>
      <c r="FU298" s="56"/>
      <c r="FV298" s="56"/>
      <c r="FW298" s="56"/>
      <c r="FX298" s="56"/>
      <c r="FY298" s="56"/>
      <c r="FZ298" s="56"/>
      <c r="GA298" s="56"/>
      <c r="GB298" s="56"/>
      <c r="GC298" s="56"/>
      <c r="GD298" s="56"/>
      <c r="GE298" s="56"/>
      <c r="GF298" s="56"/>
      <c r="GG298" s="56"/>
      <c r="GH298" s="56"/>
      <c r="GI298" s="56"/>
      <c r="GJ298" s="56"/>
      <c r="GK298" s="56"/>
      <c r="GL298" s="56"/>
      <c r="GM298" s="56"/>
      <c r="GN298" s="56"/>
      <c r="GO298" s="56"/>
      <c r="GP298" s="56"/>
      <c r="GQ298" s="56"/>
      <c r="GR298" s="56"/>
      <c r="GS298" s="56"/>
      <c r="GT298" s="56"/>
      <c r="GU298" s="56"/>
      <c r="GV298" s="56"/>
      <c r="GW298" s="56"/>
      <c r="GX298" s="56"/>
      <c r="GY298" s="56"/>
      <c r="GZ298" s="56"/>
      <c r="HA298" s="56"/>
      <c r="HB298" s="56"/>
      <c r="HC298" s="56"/>
      <c r="HD298" s="56"/>
      <c r="HE298" s="56"/>
      <c r="HF298" s="56"/>
      <c r="HG298" s="56"/>
      <c r="HH298" s="56"/>
      <c r="HI298" s="56"/>
      <c r="HJ298" s="56"/>
      <c r="HK298" s="56"/>
      <c r="HL298" s="56"/>
    </row>
    <row r="299" spans="1:220" s="81" customFormat="1" ht="16.5" customHeight="1" x14ac:dyDescent="0.15">
      <c r="A299" s="97"/>
      <c r="B299" s="91" t="s">
        <v>637</v>
      </c>
      <c r="C299" s="103"/>
      <c r="D299" s="87" t="s">
        <v>322</v>
      </c>
      <c r="G299" s="88" t="s">
        <v>477</v>
      </c>
      <c r="J299" s="83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  <c r="FU299" s="84"/>
      <c r="FV299" s="84"/>
      <c r="FW299" s="84"/>
      <c r="FX299" s="84"/>
      <c r="FY299" s="84"/>
      <c r="FZ299" s="84"/>
      <c r="GA299" s="84"/>
      <c r="GB299" s="84"/>
      <c r="GC299" s="84"/>
      <c r="GD299" s="84"/>
      <c r="GE299" s="84"/>
      <c r="GF299" s="84"/>
      <c r="GG299" s="84"/>
      <c r="GH299" s="84"/>
      <c r="GI299" s="84"/>
      <c r="GJ299" s="84"/>
      <c r="GK299" s="84"/>
      <c r="GL299" s="84"/>
      <c r="GM299" s="84"/>
      <c r="GN299" s="84"/>
      <c r="GO299" s="84"/>
      <c r="GP299" s="84"/>
      <c r="GQ299" s="84"/>
      <c r="GR299" s="84"/>
      <c r="GS299" s="84"/>
      <c r="GT299" s="84"/>
      <c r="GU299" s="84"/>
      <c r="GV299" s="84"/>
      <c r="GW299" s="84"/>
      <c r="GX299" s="84"/>
      <c r="GY299" s="84"/>
      <c r="GZ299" s="84"/>
      <c r="HA299" s="84"/>
      <c r="HB299" s="84"/>
      <c r="HC299" s="84"/>
      <c r="HD299" s="84"/>
      <c r="HE299" s="84"/>
      <c r="HF299" s="84"/>
      <c r="HG299" s="84"/>
      <c r="HH299" s="84"/>
      <c r="HI299" s="84"/>
      <c r="HJ299" s="84"/>
      <c r="HK299" s="84"/>
      <c r="HL299" s="84"/>
    </row>
    <row r="300" spans="1:220" s="81" customFormat="1" ht="16.5" customHeight="1" x14ac:dyDescent="0.15">
      <c r="A300" s="97"/>
      <c r="B300" s="91" t="s">
        <v>638</v>
      </c>
      <c r="C300" s="100" t="s">
        <v>382</v>
      </c>
      <c r="D300" s="87" t="s">
        <v>378</v>
      </c>
      <c r="G300" s="88" t="s">
        <v>477</v>
      </c>
      <c r="J300" s="83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  <c r="FU300" s="84"/>
      <c r="FV300" s="84"/>
      <c r="FW300" s="84"/>
      <c r="FX300" s="84"/>
      <c r="FY300" s="84"/>
      <c r="FZ300" s="84"/>
      <c r="GA300" s="84"/>
      <c r="GB300" s="84"/>
      <c r="GC300" s="84"/>
      <c r="GD300" s="84"/>
      <c r="GE300" s="84"/>
      <c r="GF300" s="84"/>
      <c r="GG300" s="84"/>
      <c r="GH300" s="84"/>
      <c r="GI300" s="84"/>
      <c r="GJ300" s="84"/>
      <c r="GK300" s="84"/>
      <c r="GL300" s="84"/>
      <c r="GM300" s="84"/>
      <c r="GN300" s="84"/>
      <c r="GO300" s="84"/>
      <c r="GP300" s="84"/>
      <c r="GQ300" s="84"/>
      <c r="GR300" s="84"/>
      <c r="GS300" s="84"/>
      <c r="GT300" s="84"/>
      <c r="GU300" s="84"/>
      <c r="GV300" s="84"/>
      <c r="GW300" s="84"/>
      <c r="GX300" s="84"/>
      <c r="GY300" s="84"/>
      <c r="GZ300" s="84"/>
      <c r="HA300" s="84"/>
      <c r="HB300" s="84"/>
      <c r="HC300" s="84"/>
      <c r="HD300" s="84"/>
      <c r="HE300" s="84"/>
      <c r="HF300" s="84"/>
      <c r="HG300" s="84"/>
      <c r="HH300" s="84"/>
      <c r="HI300" s="84"/>
      <c r="HJ300" s="84"/>
      <c r="HK300" s="84"/>
      <c r="HL300" s="84"/>
    </row>
    <row r="301" spans="1:220" s="81" customFormat="1" ht="16.5" customHeight="1" x14ac:dyDescent="0.15">
      <c r="A301" s="97"/>
      <c r="B301" s="91" t="s">
        <v>639</v>
      </c>
      <c r="C301" s="101"/>
      <c r="D301" s="87" t="s">
        <v>379</v>
      </c>
      <c r="G301" s="88" t="s">
        <v>477</v>
      </c>
      <c r="J301" s="83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  <c r="FU301" s="84"/>
      <c r="FV301" s="84"/>
      <c r="FW301" s="84"/>
      <c r="FX301" s="84"/>
      <c r="FY301" s="84"/>
      <c r="FZ301" s="84"/>
      <c r="GA301" s="84"/>
      <c r="GB301" s="84"/>
      <c r="GC301" s="84"/>
      <c r="GD301" s="84"/>
      <c r="GE301" s="84"/>
      <c r="GF301" s="84"/>
      <c r="GG301" s="84"/>
      <c r="GH301" s="84"/>
      <c r="GI301" s="84"/>
      <c r="GJ301" s="84"/>
      <c r="GK301" s="84"/>
      <c r="GL301" s="84"/>
      <c r="GM301" s="84"/>
      <c r="GN301" s="84"/>
      <c r="GO301" s="84"/>
      <c r="GP301" s="84"/>
      <c r="GQ301" s="84"/>
      <c r="GR301" s="84"/>
      <c r="GS301" s="84"/>
      <c r="GT301" s="84"/>
      <c r="GU301" s="84"/>
      <c r="GV301" s="84"/>
      <c r="GW301" s="84"/>
      <c r="GX301" s="84"/>
      <c r="GY301" s="84"/>
      <c r="GZ301" s="84"/>
      <c r="HA301" s="84"/>
      <c r="HB301" s="84"/>
      <c r="HC301" s="84"/>
      <c r="HD301" s="84"/>
      <c r="HE301" s="84"/>
      <c r="HF301" s="84"/>
      <c r="HG301" s="84"/>
      <c r="HH301" s="84"/>
      <c r="HI301" s="84"/>
      <c r="HJ301" s="84"/>
      <c r="HK301" s="84"/>
      <c r="HL301" s="84"/>
    </row>
    <row r="302" spans="1:220" s="81" customFormat="1" ht="16.5" customHeight="1" x14ac:dyDescent="0.15">
      <c r="A302" s="97"/>
      <c r="B302" s="91" t="s">
        <v>640</v>
      </c>
      <c r="C302" s="101"/>
      <c r="D302" s="87" t="s">
        <v>384</v>
      </c>
      <c r="G302" s="88" t="s">
        <v>477</v>
      </c>
      <c r="J302" s="83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  <c r="FU302" s="84"/>
      <c r="FV302" s="84"/>
      <c r="FW302" s="84"/>
      <c r="FX302" s="84"/>
      <c r="FY302" s="84"/>
      <c r="FZ302" s="84"/>
      <c r="GA302" s="84"/>
      <c r="GB302" s="84"/>
      <c r="GC302" s="84"/>
      <c r="GD302" s="84"/>
      <c r="GE302" s="84"/>
      <c r="GF302" s="84"/>
      <c r="GG302" s="84"/>
      <c r="GH302" s="84"/>
      <c r="GI302" s="84"/>
      <c r="GJ302" s="84"/>
      <c r="GK302" s="84"/>
      <c r="GL302" s="84"/>
      <c r="GM302" s="84"/>
      <c r="GN302" s="84"/>
      <c r="GO302" s="84"/>
      <c r="GP302" s="84"/>
      <c r="GQ302" s="84"/>
      <c r="GR302" s="84"/>
      <c r="GS302" s="84"/>
      <c r="GT302" s="84"/>
      <c r="GU302" s="84"/>
      <c r="GV302" s="84"/>
      <c r="GW302" s="84"/>
      <c r="GX302" s="84"/>
      <c r="GY302" s="84"/>
      <c r="GZ302" s="84"/>
      <c r="HA302" s="84"/>
      <c r="HB302" s="84"/>
      <c r="HC302" s="84"/>
      <c r="HD302" s="84"/>
      <c r="HE302" s="84"/>
      <c r="HF302" s="84"/>
      <c r="HG302" s="84"/>
      <c r="HH302" s="84"/>
      <c r="HI302" s="84"/>
      <c r="HJ302" s="84"/>
      <c r="HK302" s="84"/>
      <c r="HL302" s="84"/>
    </row>
    <row r="303" spans="1:220" s="81" customFormat="1" ht="16.5" customHeight="1" x14ac:dyDescent="0.15">
      <c r="A303" s="97"/>
      <c r="B303" s="91" t="s">
        <v>641</v>
      </c>
      <c r="C303" s="103"/>
      <c r="D303" s="87" t="s">
        <v>322</v>
      </c>
      <c r="G303" s="88" t="s">
        <v>477</v>
      </c>
      <c r="J303" s="83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  <c r="FU303" s="84"/>
      <c r="FV303" s="84"/>
      <c r="FW303" s="84"/>
      <c r="FX303" s="84"/>
      <c r="FY303" s="84"/>
      <c r="FZ303" s="84"/>
      <c r="GA303" s="84"/>
      <c r="GB303" s="84"/>
      <c r="GC303" s="84"/>
      <c r="GD303" s="84"/>
      <c r="GE303" s="84"/>
      <c r="GF303" s="84"/>
      <c r="GG303" s="84"/>
      <c r="GH303" s="84"/>
      <c r="GI303" s="84"/>
      <c r="GJ303" s="84"/>
      <c r="GK303" s="84"/>
      <c r="GL303" s="84"/>
      <c r="GM303" s="84"/>
      <c r="GN303" s="84"/>
      <c r="GO303" s="84"/>
      <c r="GP303" s="84"/>
      <c r="GQ303" s="84"/>
      <c r="GR303" s="84"/>
      <c r="GS303" s="84"/>
      <c r="GT303" s="84"/>
      <c r="GU303" s="84"/>
      <c r="GV303" s="84"/>
      <c r="GW303" s="84"/>
      <c r="GX303" s="84"/>
      <c r="GY303" s="84"/>
      <c r="GZ303" s="84"/>
      <c r="HA303" s="84"/>
      <c r="HB303" s="84"/>
      <c r="HC303" s="84"/>
      <c r="HD303" s="84"/>
      <c r="HE303" s="84"/>
      <c r="HF303" s="84"/>
      <c r="HG303" s="84"/>
      <c r="HH303" s="84"/>
      <c r="HI303" s="84"/>
      <c r="HJ303" s="84"/>
      <c r="HK303" s="84"/>
      <c r="HL303" s="84"/>
    </row>
    <row r="304" spans="1:220" s="85" customFormat="1" ht="16.5" customHeight="1" x14ac:dyDescent="0.15">
      <c r="A304" s="97"/>
      <c r="B304" s="91" t="s">
        <v>642</v>
      </c>
      <c r="C304" s="100" t="s">
        <v>385</v>
      </c>
      <c r="D304" s="87" t="s">
        <v>329</v>
      </c>
      <c r="E304" s="81"/>
      <c r="F304" s="81"/>
      <c r="G304" s="88" t="s">
        <v>477</v>
      </c>
      <c r="H304" s="82"/>
      <c r="I304" s="82"/>
      <c r="J304" s="81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  <c r="FU304" s="84"/>
      <c r="FV304" s="84"/>
      <c r="FW304" s="84"/>
      <c r="FX304" s="84"/>
      <c r="FY304" s="84"/>
      <c r="FZ304" s="84"/>
      <c r="GA304" s="84"/>
      <c r="GB304" s="84"/>
      <c r="GC304" s="84"/>
      <c r="GD304" s="84"/>
      <c r="GE304" s="84"/>
      <c r="GF304" s="84"/>
      <c r="GG304" s="84"/>
      <c r="GH304" s="84"/>
      <c r="GI304" s="84"/>
      <c r="GJ304" s="84"/>
      <c r="GK304" s="84"/>
      <c r="GL304" s="84"/>
      <c r="GM304" s="84"/>
      <c r="GN304" s="84"/>
      <c r="GO304" s="84"/>
      <c r="GP304" s="84"/>
      <c r="GQ304" s="84"/>
      <c r="GR304" s="84"/>
      <c r="GS304" s="84"/>
      <c r="GT304" s="84"/>
      <c r="GU304" s="84"/>
      <c r="GV304" s="84"/>
      <c r="GW304" s="84"/>
      <c r="GX304" s="84"/>
      <c r="GY304" s="84"/>
      <c r="GZ304" s="84"/>
      <c r="HA304" s="84"/>
      <c r="HB304" s="84"/>
      <c r="HC304" s="84"/>
      <c r="HD304" s="84"/>
      <c r="HE304" s="84"/>
      <c r="HF304" s="84"/>
      <c r="HG304" s="84"/>
      <c r="HH304" s="84"/>
      <c r="HI304" s="84"/>
      <c r="HJ304" s="84"/>
      <c r="HK304" s="84"/>
      <c r="HL304" s="84"/>
    </row>
    <row r="305" spans="1:220" s="57" customFormat="1" ht="16.5" customHeight="1" x14ac:dyDescent="0.15">
      <c r="A305" s="97"/>
      <c r="B305" s="91" t="s">
        <v>643</v>
      </c>
      <c r="C305" s="101"/>
      <c r="D305" s="87" t="s">
        <v>332</v>
      </c>
      <c r="E305" s="81"/>
      <c r="F305" s="81"/>
      <c r="G305" s="88" t="s">
        <v>477</v>
      </c>
      <c r="H305" s="82"/>
      <c r="I305" s="82"/>
      <c r="J305" s="83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6"/>
      <c r="BR305" s="56"/>
      <c r="BS305" s="56"/>
      <c r="BT305" s="56"/>
      <c r="BU305" s="56"/>
      <c r="BV305" s="56"/>
      <c r="BW305" s="56"/>
      <c r="BX305" s="56"/>
      <c r="BY305" s="56"/>
      <c r="BZ305" s="56"/>
      <c r="CA305" s="56"/>
      <c r="CB305" s="56"/>
      <c r="CC305" s="56"/>
      <c r="CD305" s="56"/>
      <c r="CE305" s="56"/>
      <c r="CF305" s="56"/>
      <c r="CG305" s="56"/>
      <c r="CH305" s="56"/>
      <c r="CI305" s="56"/>
      <c r="CJ305" s="56"/>
      <c r="CK305" s="56"/>
      <c r="CL305" s="56"/>
      <c r="CM305" s="56"/>
      <c r="CN305" s="56"/>
      <c r="CO305" s="56"/>
      <c r="CP305" s="56"/>
      <c r="CQ305" s="56"/>
      <c r="CR305" s="56"/>
      <c r="CS305" s="56"/>
      <c r="CT305" s="56"/>
      <c r="CU305" s="56"/>
      <c r="CV305" s="56"/>
      <c r="CW305" s="56"/>
      <c r="CX305" s="56"/>
      <c r="CY305" s="56"/>
      <c r="CZ305" s="56"/>
      <c r="DA305" s="56"/>
      <c r="DB305" s="56"/>
      <c r="DC305" s="56"/>
      <c r="DD305" s="56"/>
      <c r="DE305" s="56"/>
      <c r="DF305" s="56"/>
      <c r="DG305" s="56"/>
      <c r="DH305" s="56"/>
      <c r="DI305" s="56"/>
      <c r="DJ305" s="56"/>
      <c r="DK305" s="56"/>
      <c r="DL305" s="56"/>
      <c r="DM305" s="56"/>
      <c r="DN305" s="56"/>
      <c r="DO305" s="56"/>
      <c r="DP305" s="56"/>
      <c r="DQ305" s="56"/>
      <c r="DR305" s="56"/>
      <c r="DS305" s="56"/>
      <c r="DT305" s="56"/>
      <c r="DU305" s="56"/>
      <c r="DV305" s="56"/>
      <c r="DW305" s="56"/>
      <c r="DX305" s="56"/>
      <c r="DY305" s="56"/>
      <c r="DZ305" s="56"/>
      <c r="EA305" s="56"/>
      <c r="EB305" s="56"/>
      <c r="EC305" s="56"/>
      <c r="ED305" s="56"/>
      <c r="EE305" s="56"/>
      <c r="EF305" s="56"/>
      <c r="EG305" s="56"/>
      <c r="EH305" s="56"/>
      <c r="EI305" s="56"/>
      <c r="EJ305" s="56"/>
      <c r="EK305" s="56"/>
      <c r="EL305" s="56"/>
      <c r="EM305" s="56"/>
      <c r="EN305" s="56"/>
      <c r="EO305" s="56"/>
      <c r="EP305" s="56"/>
      <c r="EQ305" s="56"/>
      <c r="ER305" s="56"/>
      <c r="ES305" s="56"/>
      <c r="ET305" s="56"/>
      <c r="EU305" s="56"/>
      <c r="EV305" s="56"/>
      <c r="EW305" s="56"/>
      <c r="EX305" s="56"/>
      <c r="EY305" s="56"/>
      <c r="EZ305" s="56"/>
      <c r="FA305" s="56"/>
      <c r="FB305" s="56"/>
      <c r="FC305" s="56"/>
      <c r="FD305" s="56"/>
      <c r="FE305" s="56"/>
      <c r="FF305" s="56"/>
      <c r="FG305" s="56"/>
      <c r="FH305" s="56"/>
      <c r="FI305" s="56"/>
      <c r="FJ305" s="56"/>
      <c r="FK305" s="56"/>
      <c r="FL305" s="56"/>
      <c r="FM305" s="56"/>
      <c r="FN305" s="56"/>
      <c r="FO305" s="56"/>
      <c r="FP305" s="56"/>
      <c r="FQ305" s="56"/>
      <c r="FR305" s="56"/>
      <c r="FS305" s="56"/>
      <c r="FT305" s="56"/>
      <c r="FU305" s="56"/>
      <c r="FV305" s="56"/>
      <c r="FW305" s="56"/>
      <c r="FX305" s="56"/>
      <c r="FY305" s="56"/>
      <c r="FZ305" s="56"/>
      <c r="GA305" s="56"/>
      <c r="GB305" s="56"/>
      <c r="GC305" s="56"/>
      <c r="GD305" s="56"/>
      <c r="GE305" s="56"/>
      <c r="GF305" s="56"/>
      <c r="GG305" s="56"/>
      <c r="GH305" s="56"/>
      <c r="GI305" s="56"/>
      <c r="GJ305" s="56"/>
      <c r="GK305" s="56"/>
      <c r="GL305" s="56"/>
      <c r="GM305" s="56"/>
      <c r="GN305" s="56"/>
      <c r="GO305" s="56"/>
      <c r="GP305" s="56"/>
      <c r="GQ305" s="56"/>
      <c r="GR305" s="56"/>
      <c r="GS305" s="56"/>
      <c r="GT305" s="56"/>
      <c r="GU305" s="56"/>
      <c r="GV305" s="56"/>
      <c r="GW305" s="56"/>
      <c r="GX305" s="56"/>
      <c r="GY305" s="56"/>
      <c r="GZ305" s="56"/>
      <c r="HA305" s="56"/>
      <c r="HB305" s="56"/>
      <c r="HC305" s="56"/>
      <c r="HD305" s="56"/>
      <c r="HE305" s="56"/>
      <c r="HF305" s="56"/>
      <c r="HG305" s="56"/>
      <c r="HH305" s="56"/>
      <c r="HI305" s="56"/>
      <c r="HJ305" s="56"/>
      <c r="HK305" s="56"/>
      <c r="HL305" s="56"/>
    </row>
    <row r="306" spans="1:220" s="81" customFormat="1" ht="16.5" customHeight="1" x14ac:dyDescent="0.15">
      <c r="A306" s="97"/>
      <c r="B306" s="91" t="s">
        <v>644</v>
      </c>
      <c r="C306" s="101"/>
      <c r="D306" s="87" t="s">
        <v>331</v>
      </c>
      <c r="G306" s="88" t="s">
        <v>477</v>
      </c>
      <c r="J306" s="83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  <c r="FU306" s="84"/>
      <c r="FV306" s="84"/>
      <c r="FW306" s="84"/>
      <c r="FX306" s="84"/>
      <c r="FY306" s="84"/>
      <c r="FZ306" s="84"/>
      <c r="GA306" s="84"/>
      <c r="GB306" s="84"/>
      <c r="GC306" s="84"/>
      <c r="GD306" s="84"/>
      <c r="GE306" s="84"/>
      <c r="GF306" s="84"/>
      <c r="GG306" s="84"/>
      <c r="GH306" s="84"/>
      <c r="GI306" s="84"/>
      <c r="GJ306" s="84"/>
      <c r="GK306" s="84"/>
      <c r="GL306" s="84"/>
      <c r="GM306" s="84"/>
      <c r="GN306" s="84"/>
      <c r="GO306" s="84"/>
      <c r="GP306" s="84"/>
      <c r="GQ306" s="84"/>
      <c r="GR306" s="84"/>
      <c r="GS306" s="84"/>
      <c r="GT306" s="84"/>
      <c r="GU306" s="84"/>
      <c r="GV306" s="84"/>
      <c r="GW306" s="84"/>
      <c r="GX306" s="84"/>
      <c r="GY306" s="84"/>
      <c r="GZ306" s="84"/>
      <c r="HA306" s="84"/>
      <c r="HB306" s="84"/>
      <c r="HC306" s="84"/>
      <c r="HD306" s="84"/>
      <c r="HE306" s="84"/>
      <c r="HF306" s="84"/>
      <c r="HG306" s="84"/>
      <c r="HH306" s="84"/>
      <c r="HI306" s="84"/>
      <c r="HJ306" s="84"/>
      <c r="HK306" s="84"/>
      <c r="HL306" s="84"/>
    </row>
    <row r="307" spans="1:220" s="81" customFormat="1" ht="16.5" customHeight="1" x14ac:dyDescent="0.15">
      <c r="A307" s="97"/>
      <c r="B307" s="91" t="s">
        <v>645</v>
      </c>
      <c r="C307" s="101"/>
      <c r="D307" s="87" t="s">
        <v>334</v>
      </c>
      <c r="G307" s="88" t="s">
        <v>477</v>
      </c>
      <c r="J307" s="83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  <c r="FU307" s="84"/>
      <c r="FV307" s="84"/>
      <c r="FW307" s="84"/>
      <c r="FX307" s="84"/>
      <c r="FY307" s="84"/>
      <c r="FZ307" s="84"/>
      <c r="GA307" s="84"/>
      <c r="GB307" s="84"/>
      <c r="GC307" s="84"/>
      <c r="GD307" s="84"/>
      <c r="GE307" s="84"/>
      <c r="GF307" s="84"/>
      <c r="GG307" s="84"/>
      <c r="GH307" s="84"/>
      <c r="GI307" s="84"/>
      <c r="GJ307" s="84"/>
      <c r="GK307" s="84"/>
      <c r="GL307" s="84"/>
      <c r="GM307" s="84"/>
      <c r="GN307" s="84"/>
      <c r="GO307" s="84"/>
      <c r="GP307" s="84"/>
      <c r="GQ307" s="84"/>
      <c r="GR307" s="84"/>
      <c r="GS307" s="84"/>
      <c r="GT307" s="84"/>
      <c r="GU307" s="84"/>
      <c r="GV307" s="84"/>
      <c r="GW307" s="84"/>
      <c r="GX307" s="84"/>
      <c r="GY307" s="84"/>
      <c r="GZ307" s="84"/>
      <c r="HA307" s="84"/>
      <c r="HB307" s="84"/>
      <c r="HC307" s="84"/>
      <c r="HD307" s="84"/>
      <c r="HE307" s="84"/>
      <c r="HF307" s="84"/>
      <c r="HG307" s="84"/>
      <c r="HH307" s="84"/>
      <c r="HI307" s="84"/>
      <c r="HJ307" s="84"/>
      <c r="HK307" s="84"/>
      <c r="HL307" s="84"/>
    </row>
    <row r="308" spans="1:220" s="81" customFormat="1" ht="16.5" customHeight="1" x14ac:dyDescent="0.15">
      <c r="A308" s="97"/>
      <c r="B308" s="91" t="s">
        <v>646</v>
      </c>
      <c r="C308" s="103"/>
      <c r="D308" s="87" t="s">
        <v>322</v>
      </c>
      <c r="G308" s="88" t="s">
        <v>477</v>
      </c>
      <c r="J308" s="83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  <c r="FU308" s="84"/>
      <c r="FV308" s="84"/>
      <c r="FW308" s="84"/>
      <c r="FX308" s="84"/>
      <c r="FY308" s="84"/>
      <c r="FZ308" s="84"/>
      <c r="GA308" s="84"/>
      <c r="GB308" s="84"/>
      <c r="GC308" s="84"/>
      <c r="GD308" s="84"/>
      <c r="GE308" s="84"/>
      <c r="GF308" s="84"/>
      <c r="GG308" s="84"/>
      <c r="GH308" s="84"/>
      <c r="GI308" s="84"/>
      <c r="GJ308" s="84"/>
      <c r="GK308" s="84"/>
      <c r="GL308" s="84"/>
      <c r="GM308" s="84"/>
      <c r="GN308" s="84"/>
      <c r="GO308" s="84"/>
      <c r="GP308" s="84"/>
      <c r="GQ308" s="84"/>
      <c r="GR308" s="84"/>
      <c r="GS308" s="84"/>
      <c r="GT308" s="84"/>
      <c r="GU308" s="84"/>
      <c r="GV308" s="84"/>
      <c r="GW308" s="84"/>
      <c r="GX308" s="84"/>
      <c r="GY308" s="84"/>
      <c r="GZ308" s="84"/>
      <c r="HA308" s="84"/>
      <c r="HB308" s="84"/>
      <c r="HC308" s="84"/>
      <c r="HD308" s="84"/>
      <c r="HE308" s="84"/>
      <c r="HF308" s="84"/>
      <c r="HG308" s="84"/>
      <c r="HH308" s="84"/>
      <c r="HI308" s="84"/>
      <c r="HJ308" s="84"/>
      <c r="HK308" s="84"/>
      <c r="HL308" s="84"/>
    </row>
    <row r="309" spans="1:220" s="61" customFormat="1" ht="16.5" customHeight="1" x14ac:dyDescent="0.15">
      <c r="A309" s="97" t="s">
        <v>558</v>
      </c>
      <c r="B309" s="91" t="s">
        <v>647</v>
      </c>
      <c r="C309" s="100" t="s">
        <v>375</v>
      </c>
      <c r="D309" s="67" t="s">
        <v>376</v>
      </c>
      <c r="E309" s="53"/>
      <c r="F309" s="53"/>
      <c r="G309" s="88" t="s">
        <v>477</v>
      </c>
      <c r="H309" s="54"/>
      <c r="I309" s="54"/>
      <c r="J309" s="53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0"/>
      <c r="CD309" s="60"/>
      <c r="CE309" s="60"/>
      <c r="CF309" s="60"/>
      <c r="CG309" s="60"/>
      <c r="CH309" s="60"/>
      <c r="CI309" s="60"/>
      <c r="CJ309" s="60"/>
      <c r="CK309" s="60"/>
      <c r="CL309" s="60"/>
      <c r="CM309" s="60"/>
      <c r="CN309" s="60"/>
      <c r="CO309" s="60"/>
      <c r="CP309" s="60"/>
      <c r="CQ309" s="60"/>
      <c r="CR309" s="60"/>
      <c r="CS309" s="60"/>
      <c r="CT309" s="60"/>
      <c r="CU309" s="60"/>
      <c r="CV309" s="60"/>
      <c r="CW309" s="60"/>
      <c r="CX309" s="60"/>
      <c r="CY309" s="60"/>
      <c r="CZ309" s="60"/>
      <c r="DA309" s="60"/>
      <c r="DB309" s="60"/>
      <c r="DC309" s="60"/>
      <c r="DD309" s="60"/>
      <c r="DE309" s="60"/>
      <c r="DF309" s="60"/>
      <c r="DG309" s="60"/>
      <c r="DH309" s="60"/>
      <c r="DI309" s="60"/>
      <c r="DJ309" s="60"/>
      <c r="DK309" s="60"/>
      <c r="DL309" s="60"/>
      <c r="DM309" s="60"/>
      <c r="DN309" s="60"/>
      <c r="DO309" s="60"/>
      <c r="DP309" s="60"/>
      <c r="DQ309" s="60"/>
      <c r="DR309" s="60"/>
      <c r="DS309" s="60"/>
      <c r="DT309" s="60"/>
      <c r="DU309" s="60"/>
      <c r="DV309" s="60"/>
      <c r="DW309" s="60"/>
      <c r="DX309" s="60"/>
      <c r="DY309" s="60"/>
      <c r="DZ309" s="60"/>
      <c r="EA309" s="60"/>
      <c r="EB309" s="60"/>
      <c r="EC309" s="60"/>
      <c r="ED309" s="60"/>
      <c r="EE309" s="60"/>
      <c r="EF309" s="60"/>
      <c r="EG309" s="60"/>
      <c r="EH309" s="60"/>
      <c r="EI309" s="60"/>
      <c r="EJ309" s="60"/>
      <c r="EK309" s="60"/>
      <c r="EL309" s="60"/>
      <c r="EM309" s="60"/>
      <c r="EN309" s="60"/>
      <c r="EO309" s="60"/>
      <c r="EP309" s="60"/>
      <c r="EQ309" s="60"/>
      <c r="ER309" s="60"/>
      <c r="ES309" s="60"/>
      <c r="ET309" s="60"/>
      <c r="EU309" s="60"/>
      <c r="EV309" s="60"/>
      <c r="EW309" s="60"/>
      <c r="EX309" s="60"/>
      <c r="EY309" s="60"/>
      <c r="EZ309" s="60"/>
      <c r="FA309" s="60"/>
      <c r="FB309" s="60"/>
      <c r="FC309" s="60"/>
      <c r="FD309" s="60"/>
      <c r="FE309" s="60"/>
      <c r="FF309" s="60"/>
      <c r="FG309" s="60"/>
      <c r="FH309" s="60"/>
      <c r="FI309" s="60"/>
      <c r="FJ309" s="60"/>
      <c r="FK309" s="60"/>
      <c r="FL309" s="60"/>
      <c r="FM309" s="60"/>
      <c r="FN309" s="60"/>
      <c r="FO309" s="60"/>
      <c r="FP309" s="60"/>
      <c r="FQ309" s="60"/>
      <c r="FR309" s="60"/>
      <c r="FS309" s="60"/>
      <c r="FT309" s="60"/>
      <c r="FU309" s="60"/>
      <c r="FV309" s="60"/>
      <c r="FW309" s="60"/>
      <c r="FX309" s="60"/>
      <c r="FY309" s="60"/>
      <c r="FZ309" s="60"/>
      <c r="GA309" s="60"/>
      <c r="GB309" s="60"/>
      <c r="GC309" s="60"/>
      <c r="GD309" s="60"/>
      <c r="GE309" s="60"/>
      <c r="GF309" s="60"/>
      <c r="GG309" s="60"/>
      <c r="GH309" s="60"/>
      <c r="GI309" s="60"/>
      <c r="GJ309" s="60"/>
      <c r="GK309" s="60"/>
      <c r="GL309" s="60"/>
      <c r="GM309" s="60"/>
      <c r="GN309" s="60"/>
      <c r="GO309" s="60"/>
      <c r="GP309" s="60"/>
      <c r="GQ309" s="60"/>
      <c r="GR309" s="60"/>
      <c r="GS309" s="60"/>
      <c r="GT309" s="60"/>
      <c r="GU309" s="60"/>
      <c r="GV309" s="60"/>
      <c r="GW309" s="60"/>
      <c r="GX309" s="60"/>
      <c r="GY309" s="60"/>
      <c r="GZ309" s="60"/>
      <c r="HA309" s="60"/>
      <c r="HB309" s="60"/>
      <c r="HC309" s="60"/>
      <c r="HD309" s="60"/>
      <c r="HE309" s="60"/>
      <c r="HF309" s="60"/>
      <c r="HG309" s="60"/>
      <c r="HH309" s="60"/>
      <c r="HI309" s="60"/>
      <c r="HJ309" s="60"/>
      <c r="HK309" s="60"/>
      <c r="HL309" s="60"/>
    </row>
    <row r="310" spans="1:220" s="57" customFormat="1" ht="16.5" customHeight="1" x14ac:dyDescent="0.15">
      <c r="A310" s="97"/>
      <c r="B310" s="91" t="s">
        <v>648</v>
      </c>
      <c r="C310" s="101"/>
      <c r="D310" s="67" t="s">
        <v>323</v>
      </c>
      <c r="E310" s="53"/>
      <c r="F310" s="53"/>
      <c r="G310" s="88" t="s">
        <v>477</v>
      </c>
      <c r="H310" s="54"/>
      <c r="I310" s="54"/>
      <c r="J310" s="59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6"/>
      <c r="BR310" s="56"/>
      <c r="BS310" s="56"/>
      <c r="BT310" s="56"/>
      <c r="BU310" s="56"/>
      <c r="BV310" s="56"/>
      <c r="BW310" s="56"/>
      <c r="BX310" s="56"/>
      <c r="BY310" s="56"/>
      <c r="BZ310" s="56"/>
      <c r="CA310" s="56"/>
      <c r="CB310" s="56"/>
      <c r="CC310" s="56"/>
      <c r="CD310" s="56"/>
      <c r="CE310" s="56"/>
      <c r="CF310" s="56"/>
      <c r="CG310" s="56"/>
      <c r="CH310" s="56"/>
      <c r="CI310" s="56"/>
      <c r="CJ310" s="56"/>
      <c r="CK310" s="56"/>
      <c r="CL310" s="56"/>
      <c r="CM310" s="56"/>
      <c r="CN310" s="56"/>
      <c r="CO310" s="56"/>
      <c r="CP310" s="56"/>
      <c r="CQ310" s="56"/>
      <c r="CR310" s="56"/>
      <c r="CS310" s="56"/>
      <c r="CT310" s="56"/>
      <c r="CU310" s="56"/>
      <c r="CV310" s="56"/>
      <c r="CW310" s="56"/>
      <c r="CX310" s="56"/>
      <c r="CY310" s="56"/>
      <c r="CZ310" s="56"/>
      <c r="DA310" s="56"/>
      <c r="DB310" s="56"/>
      <c r="DC310" s="56"/>
      <c r="DD310" s="56"/>
      <c r="DE310" s="56"/>
      <c r="DF310" s="56"/>
      <c r="DG310" s="56"/>
      <c r="DH310" s="56"/>
      <c r="DI310" s="56"/>
      <c r="DJ310" s="56"/>
      <c r="DK310" s="56"/>
      <c r="DL310" s="56"/>
      <c r="DM310" s="56"/>
      <c r="DN310" s="56"/>
      <c r="DO310" s="56"/>
      <c r="DP310" s="56"/>
      <c r="DQ310" s="56"/>
      <c r="DR310" s="56"/>
      <c r="DS310" s="56"/>
      <c r="DT310" s="56"/>
      <c r="DU310" s="56"/>
      <c r="DV310" s="56"/>
      <c r="DW310" s="56"/>
      <c r="DX310" s="56"/>
      <c r="DY310" s="56"/>
      <c r="DZ310" s="56"/>
      <c r="EA310" s="56"/>
      <c r="EB310" s="56"/>
      <c r="EC310" s="56"/>
      <c r="ED310" s="56"/>
      <c r="EE310" s="56"/>
      <c r="EF310" s="56"/>
      <c r="EG310" s="56"/>
      <c r="EH310" s="56"/>
      <c r="EI310" s="56"/>
      <c r="EJ310" s="56"/>
      <c r="EK310" s="56"/>
      <c r="EL310" s="56"/>
      <c r="EM310" s="56"/>
      <c r="EN310" s="56"/>
      <c r="EO310" s="56"/>
      <c r="EP310" s="56"/>
      <c r="EQ310" s="56"/>
      <c r="ER310" s="56"/>
      <c r="ES310" s="56"/>
      <c r="ET310" s="56"/>
      <c r="EU310" s="56"/>
      <c r="EV310" s="56"/>
      <c r="EW310" s="56"/>
      <c r="EX310" s="56"/>
      <c r="EY310" s="56"/>
      <c r="EZ310" s="56"/>
      <c r="FA310" s="56"/>
      <c r="FB310" s="56"/>
      <c r="FC310" s="56"/>
      <c r="FD310" s="56"/>
      <c r="FE310" s="56"/>
      <c r="FF310" s="56"/>
      <c r="FG310" s="56"/>
      <c r="FH310" s="56"/>
      <c r="FI310" s="56"/>
      <c r="FJ310" s="56"/>
      <c r="FK310" s="56"/>
      <c r="FL310" s="56"/>
      <c r="FM310" s="56"/>
      <c r="FN310" s="56"/>
      <c r="FO310" s="56"/>
      <c r="FP310" s="56"/>
      <c r="FQ310" s="56"/>
      <c r="FR310" s="56"/>
      <c r="FS310" s="56"/>
      <c r="FT310" s="56"/>
      <c r="FU310" s="56"/>
      <c r="FV310" s="56"/>
      <c r="FW310" s="56"/>
      <c r="FX310" s="56"/>
      <c r="FY310" s="56"/>
      <c r="FZ310" s="56"/>
      <c r="GA310" s="56"/>
      <c r="GB310" s="56"/>
      <c r="GC310" s="56"/>
      <c r="GD310" s="56"/>
      <c r="GE310" s="56"/>
      <c r="GF310" s="56"/>
      <c r="GG310" s="56"/>
      <c r="GH310" s="56"/>
      <c r="GI310" s="56"/>
      <c r="GJ310" s="56"/>
      <c r="GK310" s="56"/>
      <c r="GL310" s="56"/>
      <c r="GM310" s="56"/>
      <c r="GN310" s="56"/>
      <c r="GO310" s="56"/>
      <c r="GP310" s="56"/>
      <c r="GQ310" s="56"/>
      <c r="GR310" s="56"/>
      <c r="GS310" s="56"/>
      <c r="GT310" s="56"/>
      <c r="GU310" s="56"/>
      <c r="GV310" s="56"/>
      <c r="GW310" s="56"/>
      <c r="GX310" s="56"/>
      <c r="GY310" s="56"/>
      <c r="GZ310" s="56"/>
      <c r="HA310" s="56"/>
      <c r="HB310" s="56"/>
      <c r="HC310" s="56"/>
      <c r="HD310" s="56"/>
      <c r="HE310" s="56"/>
      <c r="HF310" s="56"/>
      <c r="HG310" s="56"/>
      <c r="HH310" s="56"/>
      <c r="HI310" s="56"/>
      <c r="HJ310" s="56"/>
      <c r="HK310" s="56"/>
      <c r="HL310" s="56"/>
    </row>
    <row r="311" spans="1:220" s="53" customFormat="1" ht="16.5" customHeight="1" x14ac:dyDescent="0.15">
      <c r="A311" s="97"/>
      <c r="B311" s="91" t="s">
        <v>649</v>
      </c>
      <c r="C311" s="103"/>
      <c r="D311" s="67" t="s">
        <v>322</v>
      </c>
      <c r="G311" s="88" t="s">
        <v>477</v>
      </c>
      <c r="J311" s="59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0"/>
      <c r="CD311" s="60"/>
      <c r="CE311" s="60"/>
      <c r="CF311" s="60"/>
      <c r="CG311" s="60"/>
      <c r="CH311" s="60"/>
      <c r="CI311" s="60"/>
      <c r="CJ311" s="60"/>
      <c r="CK311" s="60"/>
      <c r="CL311" s="60"/>
      <c r="CM311" s="60"/>
      <c r="CN311" s="60"/>
      <c r="CO311" s="60"/>
      <c r="CP311" s="60"/>
      <c r="CQ311" s="60"/>
      <c r="CR311" s="60"/>
      <c r="CS311" s="60"/>
      <c r="CT311" s="60"/>
      <c r="CU311" s="60"/>
      <c r="CV311" s="60"/>
      <c r="CW311" s="60"/>
      <c r="CX311" s="60"/>
      <c r="CY311" s="60"/>
      <c r="CZ311" s="60"/>
      <c r="DA311" s="60"/>
      <c r="DB311" s="60"/>
      <c r="DC311" s="60"/>
      <c r="DD311" s="60"/>
      <c r="DE311" s="60"/>
      <c r="DF311" s="60"/>
      <c r="DG311" s="60"/>
      <c r="DH311" s="60"/>
      <c r="DI311" s="60"/>
      <c r="DJ311" s="60"/>
      <c r="DK311" s="60"/>
      <c r="DL311" s="60"/>
      <c r="DM311" s="60"/>
      <c r="DN311" s="60"/>
      <c r="DO311" s="60"/>
      <c r="DP311" s="60"/>
      <c r="DQ311" s="60"/>
      <c r="DR311" s="60"/>
      <c r="DS311" s="60"/>
      <c r="DT311" s="60"/>
      <c r="DU311" s="60"/>
      <c r="DV311" s="60"/>
      <c r="DW311" s="60"/>
      <c r="DX311" s="60"/>
      <c r="DY311" s="60"/>
      <c r="DZ311" s="60"/>
      <c r="EA311" s="60"/>
      <c r="EB311" s="60"/>
      <c r="EC311" s="60"/>
      <c r="ED311" s="60"/>
      <c r="EE311" s="60"/>
      <c r="EF311" s="60"/>
      <c r="EG311" s="60"/>
      <c r="EH311" s="60"/>
      <c r="EI311" s="60"/>
      <c r="EJ311" s="60"/>
      <c r="EK311" s="60"/>
      <c r="EL311" s="60"/>
      <c r="EM311" s="60"/>
      <c r="EN311" s="60"/>
      <c r="EO311" s="60"/>
      <c r="EP311" s="60"/>
      <c r="EQ311" s="60"/>
      <c r="ER311" s="60"/>
      <c r="ES311" s="60"/>
      <c r="ET311" s="60"/>
      <c r="EU311" s="60"/>
      <c r="EV311" s="60"/>
      <c r="EW311" s="60"/>
      <c r="EX311" s="60"/>
      <c r="EY311" s="60"/>
      <c r="EZ311" s="60"/>
      <c r="FA311" s="60"/>
      <c r="FB311" s="60"/>
      <c r="FC311" s="60"/>
      <c r="FD311" s="60"/>
      <c r="FE311" s="60"/>
      <c r="FF311" s="60"/>
      <c r="FG311" s="60"/>
      <c r="FH311" s="60"/>
      <c r="FI311" s="60"/>
      <c r="FJ311" s="60"/>
      <c r="FK311" s="60"/>
      <c r="FL311" s="60"/>
      <c r="FM311" s="60"/>
      <c r="FN311" s="60"/>
      <c r="FO311" s="60"/>
      <c r="FP311" s="60"/>
      <c r="FQ311" s="60"/>
      <c r="FR311" s="60"/>
      <c r="FS311" s="60"/>
      <c r="FT311" s="60"/>
      <c r="FU311" s="60"/>
      <c r="FV311" s="60"/>
      <c r="FW311" s="60"/>
      <c r="FX311" s="60"/>
      <c r="FY311" s="60"/>
      <c r="FZ311" s="60"/>
      <c r="GA311" s="60"/>
      <c r="GB311" s="60"/>
      <c r="GC311" s="60"/>
      <c r="GD311" s="60"/>
      <c r="GE311" s="60"/>
      <c r="GF311" s="60"/>
      <c r="GG311" s="60"/>
      <c r="GH311" s="60"/>
      <c r="GI311" s="60"/>
      <c r="GJ311" s="60"/>
      <c r="GK311" s="60"/>
      <c r="GL311" s="60"/>
      <c r="GM311" s="60"/>
      <c r="GN311" s="60"/>
      <c r="GO311" s="60"/>
      <c r="GP311" s="60"/>
      <c r="GQ311" s="60"/>
      <c r="GR311" s="60"/>
      <c r="GS311" s="60"/>
      <c r="GT311" s="60"/>
      <c r="GU311" s="60"/>
      <c r="GV311" s="60"/>
      <c r="GW311" s="60"/>
      <c r="GX311" s="60"/>
      <c r="GY311" s="60"/>
      <c r="GZ311" s="60"/>
      <c r="HA311" s="60"/>
      <c r="HB311" s="60"/>
      <c r="HC311" s="60"/>
      <c r="HD311" s="60"/>
      <c r="HE311" s="60"/>
      <c r="HF311" s="60"/>
      <c r="HG311" s="60"/>
      <c r="HH311" s="60"/>
      <c r="HI311" s="60"/>
      <c r="HJ311" s="60"/>
      <c r="HK311" s="60"/>
      <c r="HL311" s="60"/>
    </row>
    <row r="312" spans="1:220" s="53" customFormat="1" ht="16.5" customHeight="1" x14ac:dyDescent="0.15">
      <c r="A312" s="97"/>
      <c r="B312" s="91" t="s">
        <v>650</v>
      </c>
      <c r="C312" s="100" t="s">
        <v>377</v>
      </c>
      <c r="D312" s="67" t="s">
        <v>376</v>
      </c>
      <c r="G312" s="88" t="s">
        <v>477</v>
      </c>
      <c r="J312" s="59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60"/>
      <c r="BJ312" s="60"/>
      <c r="BK312" s="60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0"/>
      <c r="BX312" s="60"/>
      <c r="BY312" s="60"/>
      <c r="BZ312" s="60"/>
      <c r="CA312" s="60"/>
      <c r="CB312" s="60"/>
      <c r="CC312" s="60"/>
      <c r="CD312" s="60"/>
      <c r="CE312" s="60"/>
      <c r="CF312" s="60"/>
      <c r="CG312" s="60"/>
      <c r="CH312" s="60"/>
      <c r="CI312" s="60"/>
      <c r="CJ312" s="60"/>
      <c r="CK312" s="60"/>
      <c r="CL312" s="60"/>
      <c r="CM312" s="60"/>
      <c r="CN312" s="60"/>
      <c r="CO312" s="60"/>
      <c r="CP312" s="60"/>
      <c r="CQ312" s="60"/>
      <c r="CR312" s="60"/>
      <c r="CS312" s="60"/>
      <c r="CT312" s="60"/>
      <c r="CU312" s="60"/>
      <c r="CV312" s="60"/>
      <c r="CW312" s="60"/>
      <c r="CX312" s="60"/>
      <c r="CY312" s="60"/>
      <c r="CZ312" s="60"/>
      <c r="DA312" s="60"/>
      <c r="DB312" s="60"/>
      <c r="DC312" s="60"/>
      <c r="DD312" s="60"/>
      <c r="DE312" s="60"/>
      <c r="DF312" s="60"/>
      <c r="DG312" s="60"/>
      <c r="DH312" s="60"/>
      <c r="DI312" s="60"/>
      <c r="DJ312" s="60"/>
      <c r="DK312" s="60"/>
      <c r="DL312" s="60"/>
      <c r="DM312" s="60"/>
      <c r="DN312" s="60"/>
      <c r="DO312" s="60"/>
      <c r="DP312" s="60"/>
      <c r="DQ312" s="60"/>
      <c r="DR312" s="60"/>
      <c r="DS312" s="60"/>
      <c r="DT312" s="60"/>
      <c r="DU312" s="60"/>
      <c r="DV312" s="60"/>
      <c r="DW312" s="60"/>
      <c r="DX312" s="60"/>
      <c r="DY312" s="60"/>
      <c r="DZ312" s="60"/>
      <c r="EA312" s="60"/>
      <c r="EB312" s="60"/>
      <c r="EC312" s="60"/>
      <c r="ED312" s="60"/>
      <c r="EE312" s="60"/>
      <c r="EF312" s="60"/>
      <c r="EG312" s="60"/>
      <c r="EH312" s="60"/>
      <c r="EI312" s="60"/>
      <c r="EJ312" s="60"/>
      <c r="EK312" s="60"/>
      <c r="EL312" s="60"/>
      <c r="EM312" s="60"/>
      <c r="EN312" s="60"/>
      <c r="EO312" s="60"/>
      <c r="EP312" s="60"/>
      <c r="EQ312" s="60"/>
      <c r="ER312" s="60"/>
      <c r="ES312" s="60"/>
      <c r="ET312" s="60"/>
      <c r="EU312" s="60"/>
      <c r="EV312" s="60"/>
      <c r="EW312" s="60"/>
      <c r="EX312" s="60"/>
      <c r="EY312" s="60"/>
      <c r="EZ312" s="60"/>
      <c r="FA312" s="60"/>
      <c r="FB312" s="60"/>
      <c r="FC312" s="60"/>
      <c r="FD312" s="60"/>
      <c r="FE312" s="60"/>
      <c r="FF312" s="60"/>
      <c r="FG312" s="60"/>
      <c r="FH312" s="60"/>
      <c r="FI312" s="60"/>
      <c r="FJ312" s="60"/>
      <c r="FK312" s="60"/>
      <c r="FL312" s="60"/>
      <c r="FM312" s="60"/>
      <c r="FN312" s="60"/>
      <c r="FO312" s="60"/>
      <c r="FP312" s="60"/>
      <c r="FQ312" s="60"/>
      <c r="FR312" s="60"/>
      <c r="FS312" s="60"/>
      <c r="FT312" s="60"/>
      <c r="FU312" s="60"/>
      <c r="FV312" s="60"/>
      <c r="FW312" s="60"/>
      <c r="FX312" s="60"/>
      <c r="FY312" s="60"/>
      <c r="FZ312" s="60"/>
      <c r="GA312" s="60"/>
      <c r="GB312" s="60"/>
      <c r="GC312" s="60"/>
      <c r="GD312" s="60"/>
      <c r="GE312" s="60"/>
      <c r="GF312" s="60"/>
      <c r="GG312" s="60"/>
      <c r="GH312" s="60"/>
      <c r="GI312" s="60"/>
      <c r="GJ312" s="60"/>
      <c r="GK312" s="60"/>
      <c r="GL312" s="60"/>
      <c r="GM312" s="60"/>
      <c r="GN312" s="60"/>
      <c r="GO312" s="60"/>
      <c r="GP312" s="60"/>
      <c r="GQ312" s="60"/>
      <c r="GR312" s="60"/>
      <c r="GS312" s="60"/>
      <c r="GT312" s="60"/>
      <c r="GU312" s="60"/>
      <c r="GV312" s="60"/>
      <c r="GW312" s="60"/>
      <c r="GX312" s="60"/>
      <c r="GY312" s="60"/>
      <c r="GZ312" s="60"/>
      <c r="HA312" s="60"/>
      <c r="HB312" s="60"/>
      <c r="HC312" s="60"/>
      <c r="HD312" s="60"/>
      <c r="HE312" s="60"/>
      <c r="HF312" s="60"/>
      <c r="HG312" s="60"/>
      <c r="HH312" s="60"/>
      <c r="HI312" s="60"/>
      <c r="HJ312" s="60"/>
      <c r="HK312" s="60"/>
      <c r="HL312" s="60"/>
    </row>
    <row r="313" spans="1:220" s="53" customFormat="1" ht="16.5" customHeight="1" x14ac:dyDescent="0.15">
      <c r="A313" s="97"/>
      <c r="B313" s="91" t="s">
        <v>651</v>
      </c>
      <c r="C313" s="101"/>
      <c r="D313" s="67" t="s">
        <v>323</v>
      </c>
      <c r="G313" s="88" t="s">
        <v>477</v>
      </c>
      <c r="J313" s="59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0"/>
      <c r="CD313" s="60"/>
      <c r="CE313" s="60"/>
      <c r="CF313" s="60"/>
      <c r="CG313" s="60"/>
      <c r="CH313" s="60"/>
      <c r="CI313" s="60"/>
      <c r="CJ313" s="60"/>
      <c r="CK313" s="60"/>
      <c r="CL313" s="60"/>
      <c r="CM313" s="60"/>
      <c r="CN313" s="60"/>
      <c r="CO313" s="60"/>
      <c r="CP313" s="60"/>
      <c r="CQ313" s="60"/>
      <c r="CR313" s="60"/>
      <c r="CS313" s="60"/>
      <c r="CT313" s="60"/>
      <c r="CU313" s="60"/>
      <c r="CV313" s="60"/>
      <c r="CW313" s="60"/>
      <c r="CX313" s="60"/>
      <c r="CY313" s="60"/>
      <c r="CZ313" s="60"/>
      <c r="DA313" s="60"/>
      <c r="DB313" s="60"/>
      <c r="DC313" s="60"/>
      <c r="DD313" s="60"/>
      <c r="DE313" s="60"/>
      <c r="DF313" s="60"/>
      <c r="DG313" s="60"/>
      <c r="DH313" s="60"/>
      <c r="DI313" s="60"/>
      <c r="DJ313" s="60"/>
      <c r="DK313" s="60"/>
      <c r="DL313" s="60"/>
      <c r="DM313" s="60"/>
      <c r="DN313" s="60"/>
      <c r="DO313" s="60"/>
      <c r="DP313" s="60"/>
      <c r="DQ313" s="60"/>
      <c r="DR313" s="60"/>
      <c r="DS313" s="60"/>
      <c r="DT313" s="60"/>
      <c r="DU313" s="60"/>
      <c r="DV313" s="60"/>
      <c r="DW313" s="60"/>
      <c r="DX313" s="60"/>
      <c r="DY313" s="60"/>
      <c r="DZ313" s="60"/>
      <c r="EA313" s="60"/>
      <c r="EB313" s="60"/>
      <c r="EC313" s="60"/>
      <c r="ED313" s="60"/>
      <c r="EE313" s="60"/>
      <c r="EF313" s="60"/>
      <c r="EG313" s="60"/>
      <c r="EH313" s="60"/>
      <c r="EI313" s="60"/>
      <c r="EJ313" s="60"/>
      <c r="EK313" s="60"/>
      <c r="EL313" s="60"/>
      <c r="EM313" s="60"/>
      <c r="EN313" s="60"/>
      <c r="EO313" s="60"/>
      <c r="EP313" s="60"/>
      <c r="EQ313" s="60"/>
      <c r="ER313" s="60"/>
      <c r="ES313" s="60"/>
      <c r="ET313" s="60"/>
      <c r="EU313" s="60"/>
      <c r="EV313" s="60"/>
      <c r="EW313" s="60"/>
      <c r="EX313" s="60"/>
      <c r="EY313" s="60"/>
      <c r="EZ313" s="60"/>
      <c r="FA313" s="60"/>
      <c r="FB313" s="60"/>
      <c r="FC313" s="60"/>
      <c r="FD313" s="60"/>
      <c r="FE313" s="60"/>
      <c r="FF313" s="60"/>
      <c r="FG313" s="60"/>
      <c r="FH313" s="60"/>
      <c r="FI313" s="60"/>
      <c r="FJ313" s="60"/>
      <c r="FK313" s="60"/>
      <c r="FL313" s="60"/>
      <c r="FM313" s="60"/>
      <c r="FN313" s="60"/>
      <c r="FO313" s="60"/>
      <c r="FP313" s="60"/>
      <c r="FQ313" s="60"/>
      <c r="FR313" s="60"/>
      <c r="FS313" s="60"/>
      <c r="FT313" s="60"/>
      <c r="FU313" s="60"/>
      <c r="FV313" s="60"/>
      <c r="FW313" s="60"/>
      <c r="FX313" s="60"/>
      <c r="FY313" s="60"/>
      <c r="FZ313" s="60"/>
      <c r="GA313" s="60"/>
      <c r="GB313" s="60"/>
      <c r="GC313" s="60"/>
      <c r="GD313" s="60"/>
      <c r="GE313" s="60"/>
      <c r="GF313" s="60"/>
      <c r="GG313" s="60"/>
      <c r="GH313" s="60"/>
      <c r="GI313" s="60"/>
      <c r="GJ313" s="60"/>
      <c r="GK313" s="60"/>
      <c r="GL313" s="60"/>
      <c r="GM313" s="60"/>
      <c r="GN313" s="60"/>
      <c r="GO313" s="60"/>
      <c r="GP313" s="60"/>
      <c r="GQ313" s="60"/>
      <c r="GR313" s="60"/>
      <c r="GS313" s="60"/>
      <c r="GT313" s="60"/>
      <c r="GU313" s="60"/>
      <c r="GV313" s="60"/>
      <c r="GW313" s="60"/>
      <c r="GX313" s="60"/>
      <c r="GY313" s="60"/>
      <c r="GZ313" s="60"/>
      <c r="HA313" s="60"/>
      <c r="HB313" s="60"/>
      <c r="HC313" s="60"/>
      <c r="HD313" s="60"/>
      <c r="HE313" s="60"/>
      <c r="HF313" s="60"/>
      <c r="HG313" s="60"/>
      <c r="HH313" s="60"/>
      <c r="HI313" s="60"/>
      <c r="HJ313" s="60"/>
      <c r="HK313" s="60"/>
      <c r="HL313" s="60"/>
    </row>
    <row r="314" spans="1:220" s="53" customFormat="1" ht="16.5" customHeight="1" x14ac:dyDescent="0.15">
      <c r="A314" s="97"/>
      <c r="B314" s="91" t="s">
        <v>652</v>
      </c>
      <c r="C314" s="103"/>
      <c r="D314" s="67" t="s">
        <v>322</v>
      </c>
      <c r="G314" s="88" t="s">
        <v>477</v>
      </c>
      <c r="J314" s="59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60"/>
      <c r="CD314" s="60"/>
      <c r="CE314" s="60"/>
      <c r="CF314" s="60"/>
      <c r="CG314" s="60"/>
      <c r="CH314" s="60"/>
      <c r="CI314" s="60"/>
      <c r="CJ314" s="60"/>
      <c r="CK314" s="60"/>
      <c r="CL314" s="60"/>
      <c r="CM314" s="60"/>
      <c r="CN314" s="60"/>
      <c r="CO314" s="60"/>
      <c r="CP314" s="60"/>
      <c r="CQ314" s="60"/>
      <c r="CR314" s="60"/>
      <c r="CS314" s="60"/>
      <c r="CT314" s="60"/>
      <c r="CU314" s="60"/>
      <c r="CV314" s="60"/>
      <c r="CW314" s="60"/>
      <c r="CX314" s="60"/>
      <c r="CY314" s="60"/>
      <c r="CZ314" s="60"/>
      <c r="DA314" s="60"/>
      <c r="DB314" s="60"/>
      <c r="DC314" s="60"/>
      <c r="DD314" s="60"/>
      <c r="DE314" s="60"/>
      <c r="DF314" s="60"/>
      <c r="DG314" s="60"/>
      <c r="DH314" s="60"/>
      <c r="DI314" s="60"/>
      <c r="DJ314" s="60"/>
      <c r="DK314" s="60"/>
      <c r="DL314" s="60"/>
      <c r="DM314" s="60"/>
      <c r="DN314" s="60"/>
      <c r="DO314" s="60"/>
      <c r="DP314" s="60"/>
      <c r="DQ314" s="60"/>
      <c r="DR314" s="60"/>
      <c r="DS314" s="60"/>
      <c r="DT314" s="60"/>
      <c r="DU314" s="60"/>
      <c r="DV314" s="60"/>
      <c r="DW314" s="60"/>
      <c r="DX314" s="60"/>
      <c r="DY314" s="60"/>
      <c r="DZ314" s="60"/>
      <c r="EA314" s="60"/>
      <c r="EB314" s="60"/>
      <c r="EC314" s="60"/>
      <c r="ED314" s="60"/>
      <c r="EE314" s="60"/>
      <c r="EF314" s="60"/>
      <c r="EG314" s="60"/>
      <c r="EH314" s="60"/>
      <c r="EI314" s="60"/>
      <c r="EJ314" s="60"/>
      <c r="EK314" s="60"/>
      <c r="EL314" s="60"/>
      <c r="EM314" s="60"/>
      <c r="EN314" s="60"/>
      <c r="EO314" s="60"/>
      <c r="EP314" s="60"/>
      <c r="EQ314" s="60"/>
      <c r="ER314" s="60"/>
      <c r="ES314" s="60"/>
      <c r="ET314" s="60"/>
      <c r="EU314" s="60"/>
      <c r="EV314" s="60"/>
      <c r="EW314" s="60"/>
      <c r="EX314" s="60"/>
      <c r="EY314" s="60"/>
      <c r="EZ314" s="60"/>
      <c r="FA314" s="60"/>
      <c r="FB314" s="60"/>
      <c r="FC314" s="60"/>
      <c r="FD314" s="60"/>
      <c r="FE314" s="60"/>
      <c r="FF314" s="60"/>
      <c r="FG314" s="60"/>
      <c r="FH314" s="60"/>
      <c r="FI314" s="60"/>
      <c r="FJ314" s="60"/>
      <c r="FK314" s="60"/>
      <c r="FL314" s="60"/>
      <c r="FM314" s="60"/>
      <c r="FN314" s="60"/>
      <c r="FO314" s="60"/>
      <c r="FP314" s="60"/>
      <c r="FQ314" s="60"/>
      <c r="FR314" s="60"/>
      <c r="FS314" s="60"/>
      <c r="FT314" s="60"/>
      <c r="FU314" s="60"/>
      <c r="FV314" s="60"/>
      <c r="FW314" s="60"/>
      <c r="FX314" s="60"/>
      <c r="FY314" s="60"/>
      <c r="FZ314" s="60"/>
      <c r="GA314" s="60"/>
      <c r="GB314" s="60"/>
      <c r="GC314" s="60"/>
      <c r="GD314" s="60"/>
      <c r="GE314" s="60"/>
      <c r="GF314" s="60"/>
      <c r="GG314" s="60"/>
      <c r="GH314" s="60"/>
      <c r="GI314" s="60"/>
      <c r="GJ314" s="60"/>
      <c r="GK314" s="60"/>
      <c r="GL314" s="60"/>
      <c r="GM314" s="60"/>
      <c r="GN314" s="60"/>
      <c r="GO314" s="60"/>
      <c r="GP314" s="60"/>
      <c r="GQ314" s="60"/>
      <c r="GR314" s="60"/>
      <c r="GS314" s="60"/>
      <c r="GT314" s="60"/>
      <c r="GU314" s="60"/>
      <c r="GV314" s="60"/>
      <c r="GW314" s="60"/>
      <c r="GX314" s="60"/>
      <c r="GY314" s="60"/>
      <c r="GZ314" s="60"/>
      <c r="HA314" s="60"/>
      <c r="HB314" s="60"/>
      <c r="HC314" s="60"/>
      <c r="HD314" s="60"/>
      <c r="HE314" s="60"/>
      <c r="HF314" s="60"/>
      <c r="HG314" s="60"/>
      <c r="HH314" s="60"/>
      <c r="HI314" s="60"/>
      <c r="HJ314" s="60"/>
      <c r="HK314" s="60"/>
      <c r="HL314" s="60"/>
    </row>
    <row r="315" spans="1:220" s="61" customFormat="1" ht="16.5" customHeight="1" x14ac:dyDescent="0.15">
      <c r="A315" s="97"/>
      <c r="B315" s="91" t="s">
        <v>653</v>
      </c>
      <c r="C315" s="100" t="s">
        <v>380</v>
      </c>
      <c r="D315" s="67" t="s">
        <v>376</v>
      </c>
      <c r="E315" s="53"/>
      <c r="F315" s="53"/>
      <c r="G315" s="88" t="s">
        <v>477</v>
      </c>
      <c r="H315" s="54"/>
      <c r="I315" s="54"/>
      <c r="J315" s="53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0"/>
      <c r="CD315" s="60"/>
      <c r="CE315" s="60"/>
      <c r="CF315" s="60"/>
      <c r="CG315" s="60"/>
      <c r="CH315" s="60"/>
      <c r="CI315" s="60"/>
      <c r="CJ315" s="60"/>
      <c r="CK315" s="60"/>
      <c r="CL315" s="60"/>
      <c r="CM315" s="60"/>
      <c r="CN315" s="60"/>
      <c r="CO315" s="60"/>
      <c r="CP315" s="60"/>
      <c r="CQ315" s="60"/>
      <c r="CR315" s="60"/>
      <c r="CS315" s="60"/>
      <c r="CT315" s="60"/>
      <c r="CU315" s="60"/>
      <c r="CV315" s="60"/>
      <c r="CW315" s="60"/>
      <c r="CX315" s="60"/>
      <c r="CY315" s="60"/>
      <c r="CZ315" s="60"/>
      <c r="DA315" s="60"/>
      <c r="DB315" s="60"/>
      <c r="DC315" s="60"/>
      <c r="DD315" s="60"/>
      <c r="DE315" s="60"/>
      <c r="DF315" s="60"/>
      <c r="DG315" s="60"/>
      <c r="DH315" s="60"/>
      <c r="DI315" s="60"/>
      <c r="DJ315" s="60"/>
      <c r="DK315" s="60"/>
      <c r="DL315" s="60"/>
      <c r="DM315" s="60"/>
      <c r="DN315" s="60"/>
      <c r="DO315" s="60"/>
      <c r="DP315" s="60"/>
      <c r="DQ315" s="60"/>
      <c r="DR315" s="60"/>
      <c r="DS315" s="60"/>
      <c r="DT315" s="60"/>
      <c r="DU315" s="60"/>
      <c r="DV315" s="60"/>
      <c r="DW315" s="60"/>
      <c r="DX315" s="60"/>
      <c r="DY315" s="60"/>
      <c r="DZ315" s="60"/>
      <c r="EA315" s="60"/>
      <c r="EB315" s="60"/>
      <c r="EC315" s="60"/>
      <c r="ED315" s="60"/>
      <c r="EE315" s="60"/>
      <c r="EF315" s="60"/>
      <c r="EG315" s="60"/>
      <c r="EH315" s="60"/>
      <c r="EI315" s="60"/>
      <c r="EJ315" s="60"/>
      <c r="EK315" s="60"/>
      <c r="EL315" s="60"/>
      <c r="EM315" s="60"/>
      <c r="EN315" s="60"/>
      <c r="EO315" s="60"/>
      <c r="EP315" s="60"/>
      <c r="EQ315" s="60"/>
      <c r="ER315" s="60"/>
      <c r="ES315" s="60"/>
      <c r="ET315" s="60"/>
      <c r="EU315" s="60"/>
      <c r="EV315" s="60"/>
      <c r="EW315" s="60"/>
      <c r="EX315" s="60"/>
      <c r="EY315" s="60"/>
      <c r="EZ315" s="60"/>
      <c r="FA315" s="60"/>
      <c r="FB315" s="60"/>
      <c r="FC315" s="60"/>
      <c r="FD315" s="60"/>
      <c r="FE315" s="60"/>
      <c r="FF315" s="60"/>
      <c r="FG315" s="60"/>
      <c r="FH315" s="60"/>
      <c r="FI315" s="60"/>
      <c r="FJ315" s="60"/>
      <c r="FK315" s="60"/>
      <c r="FL315" s="60"/>
      <c r="FM315" s="60"/>
      <c r="FN315" s="60"/>
      <c r="FO315" s="60"/>
      <c r="FP315" s="60"/>
      <c r="FQ315" s="60"/>
      <c r="FR315" s="60"/>
      <c r="FS315" s="60"/>
      <c r="FT315" s="60"/>
      <c r="FU315" s="60"/>
      <c r="FV315" s="60"/>
      <c r="FW315" s="60"/>
      <c r="FX315" s="60"/>
      <c r="FY315" s="60"/>
      <c r="FZ315" s="60"/>
      <c r="GA315" s="60"/>
      <c r="GB315" s="60"/>
      <c r="GC315" s="60"/>
      <c r="GD315" s="60"/>
      <c r="GE315" s="60"/>
      <c r="GF315" s="60"/>
      <c r="GG315" s="60"/>
      <c r="GH315" s="60"/>
      <c r="GI315" s="60"/>
      <c r="GJ315" s="60"/>
      <c r="GK315" s="60"/>
      <c r="GL315" s="60"/>
      <c r="GM315" s="60"/>
      <c r="GN315" s="60"/>
      <c r="GO315" s="60"/>
      <c r="GP315" s="60"/>
      <c r="GQ315" s="60"/>
      <c r="GR315" s="60"/>
      <c r="GS315" s="60"/>
      <c r="GT315" s="60"/>
      <c r="GU315" s="60"/>
      <c r="GV315" s="60"/>
      <c r="GW315" s="60"/>
      <c r="GX315" s="60"/>
      <c r="GY315" s="60"/>
      <c r="GZ315" s="60"/>
      <c r="HA315" s="60"/>
      <c r="HB315" s="60"/>
      <c r="HC315" s="60"/>
      <c r="HD315" s="60"/>
      <c r="HE315" s="60"/>
      <c r="HF315" s="60"/>
      <c r="HG315" s="60"/>
      <c r="HH315" s="60"/>
      <c r="HI315" s="60"/>
      <c r="HJ315" s="60"/>
      <c r="HK315" s="60"/>
      <c r="HL315" s="60"/>
    </row>
    <row r="316" spans="1:220" s="57" customFormat="1" ht="16.5" customHeight="1" x14ac:dyDescent="0.15">
      <c r="A316" s="97"/>
      <c r="B316" s="91" t="s">
        <v>654</v>
      </c>
      <c r="C316" s="101"/>
      <c r="D316" s="67" t="s">
        <v>323</v>
      </c>
      <c r="E316" s="53"/>
      <c r="F316" s="53"/>
      <c r="G316" s="88" t="s">
        <v>477</v>
      </c>
      <c r="H316" s="54"/>
      <c r="I316" s="54"/>
      <c r="J316" s="59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6"/>
      <c r="BR316" s="56"/>
      <c r="BS316" s="56"/>
      <c r="BT316" s="56"/>
      <c r="BU316" s="56"/>
      <c r="BV316" s="56"/>
      <c r="BW316" s="56"/>
      <c r="BX316" s="56"/>
      <c r="BY316" s="56"/>
      <c r="BZ316" s="56"/>
      <c r="CA316" s="56"/>
      <c r="CB316" s="56"/>
      <c r="CC316" s="56"/>
      <c r="CD316" s="56"/>
      <c r="CE316" s="56"/>
      <c r="CF316" s="56"/>
      <c r="CG316" s="56"/>
      <c r="CH316" s="56"/>
      <c r="CI316" s="56"/>
      <c r="CJ316" s="56"/>
      <c r="CK316" s="56"/>
      <c r="CL316" s="56"/>
      <c r="CM316" s="56"/>
      <c r="CN316" s="56"/>
      <c r="CO316" s="56"/>
      <c r="CP316" s="56"/>
      <c r="CQ316" s="56"/>
      <c r="CR316" s="56"/>
      <c r="CS316" s="56"/>
      <c r="CT316" s="56"/>
      <c r="CU316" s="56"/>
      <c r="CV316" s="56"/>
      <c r="CW316" s="56"/>
      <c r="CX316" s="56"/>
      <c r="CY316" s="56"/>
      <c r="CZ316" s="56"/>
      <c r="DA316" s="56"/>
      <c r="DB316" s="56"/>
      <c r="DC316" s="56"/>
      <c r="DD316" s="56"/>
      <c r="DE316" s="56"/>
      <c r="DF316" s="56"/>
      <c r="DG316" s="56"/>
      <c r="DH316" s="56"/>
      <c r="DI316" s="56"/>
      <c r="DJ316" s="56"/>
      <c r="DK316" s="56"/>
      <c r="DL316" s="56"/>
      <c r="DM316" s="56"/>
      <c r="DN316" s="56"/>
      <c r="DO316" s="56"/>
      <c r="DP316" s="56"/>
      <c r="DQ316" s="56"/>
      <c r="DR316" s="56"/>
      <c r="DS316" s="56"/>
      <c r="DT316" s="56"/>
      <c r="DU316" s="56"/>
      <c r="DV316" s="56"/>
      <c r="DW316" s="56"/>
      <c r="DX316" s="56"/>
      <c r="DY316" s="56"/>
      <c r="DZ316" s="56"/>
      <c r="EA316" s="56"/>
      <c r="EB316" s="56"/>
      <c r="EC316" s="56"/>
      <c r="ED316" s="56"/>
      <c r="EE316" s="56"/>
      <c r="EF316" s="56"/>
      <c r="EG316" s="56"/>
      <c r="EH316" s="56"/>
      <c r="EI316" s="56"/>
      <c r="EJ316" s="56"/>
      <c r="EK316" s="56"/>
      <c r="EL316" s="56"/>
      <c r="EM316" s="56"/>
      <c r="EN316" s="56"/>
      <c r="EO316" s="56"/>
      <c r="EP316" s="56"/>
      <c r="EQ316" s="56"/>
      <c r="ER316" s="56"/>
      <c r="ES316" s="56"/>
      <c r="ET316" s="56"/>
      <c r="EU316" s="56"/>
      <c r="EV316" s="56"/>
      <c r="EW316" s="56"/>
      <c r="EX316" s="56"/>
      <c r="EY316" s="56"/>
      <c r="EZ316" s="56"/>
      <c r="FA316" s="56"/>
      <c r="FB316" s="56"/>
      <c r="FC316" s="56"/>
      <c r="FD316" s="56"/>
      <c r="FE316" s="56"/>
      <c r="FF316" s="56"/>
      <c r="FG316" s="56"/>
      <c r="FH316" s="56"/>
      <c r="FI316" s="56"/>
      <c r="FJ316" s="56"/>
      <c r="FK316" s="56"/>
      <c r="FL316" s="56"/>
      <c r="FM316" s="56"/>
      <c r="FN316" s="56"/>
      <c r="FO316" s="56"/>
      <c r="FP316" s="56"/>
      <c r="FQ316" s="56"/>
      <c r="FR316" s="56"/>
      <c r="FS316" s="56"/>
      <c r="FT316" s="56"/>
      <c r="FU316" s="56"/>
      <c r="FV316" s="56"/>
      <c r="FW316" s="56"/>
      <c r="FX316" s="56"/>
      <c r="FY316" s="56"/>
      <c r="FZ316" s="56"/>
      <c r="GA316" s="56"/>
      <c r="GB316" s="56"/>
      <c r="GC316" s="56"/>
      <c r="GD316" s="56"/>
      <c r="GE316" s="56"/>
      <c r="GF316" s="56"/>
      <c r="GG316" s="56"/>
      <c r="GH316" s="56"/>
      <c r="GI316" s="56"/>
      <c r="GJ316" s="56"/>
      <c r="GK316" s="56"/>
      <c r="GL316" s="56"/>
      <c r="GM316" s="56"/>
      <c r="GN316" s="56"/>
      <c r="GO316" s="56"/>
      <c r="GP316" s="56"/>
      <c r="GQ316" s="56"/>
      <c r="GR316" s="56"/>
      <c r="GS316" s="56"/>
      <c r="GT316" s="56"/>
      <c r="GU316" s="56"/>
      <c r="GV316" s="56"/>
      <c r="GW316" s="56"/>
      <c r="GX316" s="56"/>
      <c r="GY316" s="56"/>
      <c r="GZ316" s="56"/>
      <c r="HA316" s="56"/>
      <c r="HB316" s="56"/>
      <c r="HC316" s="56"/>
      <c r="HD316" s="56"/>
      <c r="HE316" s="56"/>
      <c r="HF316" s="56"/>
      <c r="HG316" s="56"/>
      <c r="HH316" s="56"/>
      <c r="HI316" s="56"/>
      <c r="HJ316" s="56"/>
      <c r="HK316" s="56"/>
      <c r="HL316" s="56"/>
    </row>
    <row r="317" spans="1:220" s="53" customFormat="1" ht="16.5" customHeight="1" x14ac:dyDescent="0.15">
      <c r="A317" s="97"/>
      <c r="B317" s="91" t="s">
        <v>655</v>
      </c>
      <c r="C317" s="103"/>
      <c r="D317" s="67" t="s">
        <v>322</v>
      </c>
      <c r="G317" s="88" t="s">
        <v>477</v>
      </c>
      <c r="J317" s="59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  <c r="BX317" s="60"/>
      <c r="BY317" s="60"/>
      <c r="BZ317" s="60"/>
      <c r="CA317" s="60"/>
      <c r="CB317" s="60"/>
      <c r="CC317" s="60"/>
      <c r="CD317" s="60"/>
      <c r="CE317" s="60"/>
      <c r="CF317" s="60"/>
      <c r="CG317" s="60"/>
      <c r="CH317" s="60"/>
      <c r="CI317" s="60"/>
      <c r="CJ317" s="60"/>
      <c r="CK317" s="60"/>
      <c r="CL317" s="60"/>
      <c r="CM317" s="60"/>
      <c r="CN317" s="60"/>
      <c r="CO317" s="60"/>
      <c r="CP317" s="60"/>
      <c r="CQ317" s="60"/>
      <c r="CR317" s="60"/>
      <c r="CS317" s="60"/>
      <c r="CT317" s="60"/>
      <c r="CU317" s="60"/>
      <c r="CV317" s="60"/>
      <c r="CW317" s="60"/>
      <c r="CX317" s="60"/>
      <c r="CY317" s="60"/>
      <c r="CZ317" s="60"/>
      <c r="DA317" s="60"/>
      <c r="DB317" s="60"/>
      <c r="DC317" s="60"/>
      <c r="DD317" s="60"/>
      <c r="DE317" s="60"/>
      <c r="DF317" s="60"/>
      <c r="DG317" s="60"/>
      <c r="DH317" s="60"/>
      <c r="DI317" s="60"/>
      <c r="DJ317" s="60"/>
      <c r="DK317" s="60"/>
      <c r="DL317" s="60"/>
      <c r="DM317" s="60"/>
      <c r="DN317" s="60"/>
      <c r="DO317" s="60"/>
      <c r="DP317" s="60"/>
      <c r="DQ317" s="60"/>
      <c r="DR317" s="60"/>
      <c r="DS317" s="60"/>
      <c r="DT317" s="60"/>
      <c r="DU317" s="60"/>
      <c r="DV317" s="60"/>
      <c r="DW317" s="60"/>
      <c r="DX317" s="60"/>
      <c r="DY317" s="60"/>
      <c r="DZ317" s="60"/>
      <c r="EA317" s="60"/>
      <c r="EB317" s="60"/>
      <c r="EC317" s="60"/>
      <c r="ED317" s="60"/>
      <c r="EE317" s="60"/>
      <c r="EF317" s="60"/>
      <c r="EG317" s="60"/>
      <c r="EH317" s="60"/>
      <c r="EI317" s="60"/>
      <c r="EJ317" s="60"/>
      <c r="EK317" s="60"/>
      <c r="EL317" s="60"/>
      <c r="EM317" s="60"/>
      <c r="EN317" s="60"/>
      <c r="EO317" s="60"/>
      <c r="EP317" s="60"/>
      <c r="EQ317" s="60"/>
      <c r="ER317" s="60"/>
      <c r="ES317" s="60"/>
      <c r="ET317" s="60"/>
      <c r="EU317" s="60"/>
      <c r="EV317" s="60"/>
      <c r="EW317" s="60"/>
      <c r="EX317" s="60"/>
      <c r="EY317" s="60"/>
      <c r="EZ317" s="60"/>
      <c r="FA317" s="60"/>
      <c r="FB317" s="60"/>
      <c r="FC317" s="60"/>
      <c r="FD317" s="60"/>
      <c r="FE317" s="60"/>
      <c r="FF317" s="60"/>
      <c r="FG317" s="60"/>
      <c r="FH317" s="60"/>
      <c r="FI317" s="60"/>
      <c r="FJ317" s="60"/>
      <c r="FK317" s="60"/>
      <c r="FL317" s="60"/>
      <c r="FM317" s="60"/>
      <c r="FN317" s="60"/>
      <c r="FO317" s="60"/>
      <c r="FP317" s="60"/>
      <c r="FQ317" s="60"/>
      <c r="FR317" s="60"/>
      <c r="FS317" s="60"/>
      <c r="FT317" s="60"/>
      <c r="FU317" s="60"/>
      <c r="FV317" s="60"/>
      <c r="FW317" s="60"/>
      <c r="FX317" s="60"/>
      <c r="FY317" s="60"/>
      <c r="FZ317" s="60"/>
      <c r="GA317" s="60"/>
      <c r="GB317" s="60"/>
      <c r="GC317" s="60"/>
      <c r="GD317" s="60"/>
      <c r="GE317" s="60"/>
      <c r="GF317" s="60"/>
      <c r="GG317" s="60"/>
      <c r="GH317" s="60"/>
      <c r="GI317" s="60"/>
      <c r="GJ317" s="60"/>
      <c r="GK317" s="60"/>
      <c r="GL317" s="60"/>
      <c r="GM317" s="60"/>
      <c r="GN317" s="60"/>
      <c r="GO317" s="60"/>
      <c r="GP317" s="60"/>
      <c r="GQ317" s="60"/>
      <c r="GR317" s="60"/>
      <c r="GS317" s="60"/>
      <c r="GT317" s="60"/>
      <c r="GU317" s="60"/>
      <c r="GV317" s="60"/>
      <c r="GW317" s="60"/>
      <c r="GX317" s="60"/>
      <c r="GY317" s="60"/>
      <c r="GZ317" s="60"/>
      <c r="HA317" s="60"/>
      <c r="HB317" s="60"/>
      <c r="HC317" s="60"/>
      <c r="HD317" s="60"/>
      <c r="HE317" s="60"/>
      <c r="HF317" s="60"/>
      <c r="HG317" s="60"/>
      <c r="HH317" s="60"/>
      <c r="HI317" s="60"/>
      <c r="HJ317" s="60"/>
      <c r="HK317" s="60"/>
      <c r="HL317" s="60"/>
    </row>
    <row r="318" spans="1:220" s="53" customFormat="1" ht="16.5" customHeight="1" x14ac:dyDescent="0.15">
      <c r="A318" s="97"/>
      <c r="B318" s="91" t="s">
        <v>656</v>
      </c>
      <c r="C318" s="100" t="s">
        <v>381</v>
      </c>
      <c r="D318" s="67" t="s">
        <v>376</v>
      </c>
      <c r="G318" s="88" t="s">
        <v>477</v>
      </c>
      <c r="J318" s="59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0"/>
      <c r="BX318" s="60"/>
      <c r="BY318" s="60"/>
      <c r="BZ318" s="60"/>
      <c r="CA318" s="60"/>
      <c r="CB318" s="60"/>
      <c r="CC318" s="60"/>
      <c r="CD318" s="60"/>
      <c r="CE318" s="60"/>
      <c r="CF318" s="60"/>
      <c r="CG318" s="60"/>
      <c r="CH318" s="60"/>
      <c r="CI318" s="60"/>
      <c r="CJ318" s="60"/>
      <c r="CK318" s="60"/>
      <c r="CL318" s="60"/>
      <c r="CM318" s="60"/>
      <c r="CN318" s="60"/>
      <c r="CO318" s="60"/>
      <c r="CP318" s="60"/>
      <c r="CQ318" s="60"/>
      <c r="CR318" s="60"/>
      <c r="CS318" s="60"/>
      <c r="CT318" s="60"/>
      <c r="CU318" s="60"/>
      <c r="CV318" s="60"/>
      <c r="CW318" s="60"/>
      <c r="CX318" s="60"/>
      <c r="CY318" s="60"/>
      <c r="CZ318" s="60"/>
      <c r="DA318" s="60"/>
      <c r="DB318" s="60"/>
      <c r="DC318" s="60"/>
      <c r="DD318" s="60"/>
      <c r="DE318" s="60"/>
      <c r="DF318" s="60"/>
      <c r="DG318" s="60"/>
      <c r="DH318" s="60"/>
      <c r="DI318" s="60"/>
      <c r="DJ318" s="60"/>
      <c r="DK318" s="60"/>
      <c r="DL318" s="60"/>
      <c r="DM318" s="60"/>
      <c r="DN318" s="60"/>
      <c r="DO318" s="60"/>
      <c r="DP318" s="60"/>
      <c r="DQ318" s="60"/>
      <c r="DR318" s="60"/>
      <c r="DS318" s="60"/>
      <c r="DT318" s="60"/>
      <c r="DU318" s="60"/>
      <c r="DV318" s="60"/>
      <c r="DW318" s="60"/>
      <c r="DX318" s="60"/>
      <c r="DY318" s="60"/>
      <c r="DZ318" s="60"/>
      <c r="EA318" s="60"/>
      <c r="EB318" s="60"/>
      <c r="EC318" s="60"/>
      <c r="ED318" s="60"/>
      <c r="EE318" s="60"/>
      <c r="EF318" s="60"/>
      <c r="EG318" s="60"/>
      <c r="EH318" s="60"/>
      <c r="EI318" s="60"/>
      <c r="EJ318" s="60"/>
      <c r="EK318" s="60"/>
      <c r="EL318" s="60"/>
      <c r="EM318" s="60"/>
      <c r="EN318" s="60"/>
      <c r="EO318" s="60"/>
      <c r="EP318" s="60"/>
      <c r="EQ318" s="60"/>
      <c r="ER318" s="60"/>
      <c r="ES318" s="60"/>
      <c r="ET318" s="60"/>
      <c r="EU318" s="60"/>
      <c r="EV318" s="60"/>
      <c r="EW318" s="60"/>
      <c r="EX318" s="60"/>
      <c r="EY318" s="60"/>
      <c r="EZ318" s="60"/>
      <c r="FA318" s="60"/>
      <c r="FB318" s="60"/>
      <c r="FC318" s="60"/>
      <c r="FD318" s="60"/>
      <c r="FE318" s="60"/>
      <c r="FF318" s="60"/>
      <c r="FG318" s="60"/>
      <c r="FH318" s="60"/>
      <c r="FI318" s="60"/>
      <c r="FJ318" s="60"/>
      <c r="FK318" s="60"/>
      <c r="FL318" s="60"/>
      <c r="FM318" s="60"/>
      <c r="FN318" s="60"/>
      <c r="FO318" s="60"/>
      <c r="FP318" s="60"/>
      <c r="FQ318" s="60"/>
      <c r="FR318" s="60"/>
      <c r="FS318" s="60"/>
      <c r="FT318" s="60"/>
      <c r="FU318" s="60"/>
      <c r="FV318" s="60"/>
      <c r="FW318" s="60"/>
      <c r="FX318" s="60"/>
      <c r="FY318" s="60"/>
      <c r="FZ318" s="60"/>
      <c r="GA318" s="60"/>
      <c r="GB318" s="60"/>
      <c r="GC318" s="60"/>
      <c r="GD318" s="60"/>
      <c r="GE318" s="60"/>
      <c r="GF318" s="60"/>
      <c r="GG318" s="60"/>
      <c r="GH318" s="60"/>
      <c r="GI318" s="60"/>
      <c r="GJ318" s="60"/>
      <c r="GK318" s="60"/>
      <c r="GL318" s="60"/>
      <c r="GM318" s="60"/>
      <c r="GN318" s="60"/>
      <c r="GO318" s="60"/>
      <c r="GP318" s="60"/>
      <c r="GQ318" s="60"/>
      <c r="GR318" s="60"/>
      <c r="GS318" s="60"/>
      <c r="GT318" s="60"/>
      <c r="GU318" s="60"/>
      <c r="GV318" s="60"/>
      <c r="GW318" s="60"/>
      <c r="GX318" s="60"/>
      <c r="GY318" s="60"/>
      <c r="GZ318" s="60"/>
      <c r="HA318" s="60"/>
      <c r="HB318" s="60"/>
      <c r="HC318" s="60"/>
      <c r="HD318" s="60"/>
      <c r="HE318" s="60"/>
      <c r="HF318" s="60"/>
      <c r="HG318" s="60"/>
      <c r="HH318" s="60"/>
      <c r="HI318" s="60"/>
      <c r="HJ318" s="60"/>
      <c r="HK318" s="60"/>
      <c r="HL318" s="60"/>
    </row>
    <row r="319" spans="1:220" s="53" customFormat="1" ht="16.5" customHeight="1" x14ac:dyDescent="0.15">
      <c r="A319" s="97"/>
      <c r="B319" s="91" t="s">
        <v>657</v>
      </c>
      <c r="C319" s="101"/>
      <c r="D319" s="67" t="s">
        <v>323</v>
      </c>
      <c r="G319" s="88" t="s">
        <v>477</v>
      </c>
      <c r="J319" s="59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0"/>
      <c r="CD319" s="60"/>
      <c r="CE319" s="60"/>
      <c r="CF319" s="60"/>
      <c r="CG319" s="60"/>
      <c r="CH319" s="60"/>
      <c r="CI319" s="60"/>
      <c r="CJ319" s="60"/>
      <c r="CK319" s="60"/>
      <c r="CL319" s="60"/>
      <c r="CM319" s="60"/>
      <c r="CN319" s="60"/>
      <c r="CO319" s="60"/>
      <c r="CP319" s="60"/>
      <c r="CQ319" s="60"/>
      <c r="CR319" s="60"/>
      <c r="CS319" s="60"/>
      <c r="CT319" s="60"/>
      <c r="CU319" s="60"/>
      <c r="CV319" s="60"/>
      <c r="CW319" s="60"/>
      <c r="CX319" s="60"/>
      <c r="CY319" s="60"/>
      <c r="CZ319" s="60"/>
      <c r="DA319" s="60"/>
      <c r="DB319" s="60"/>
      <c r="DC319" s="60"/>
      <c r="DD319" s="60"/>
      <c r="DE319" s="60"/>
      <c r="DF319" s="60"/>
      <c r="DG319" s="60"/>
      <c r="DH319" s="60"/>
      <c r="DI319" s="60"/>
      <c r="DJ319" s="60"/>
      <c r="DK319" s="60"/>
      <c r="DL319" s="60"/>
      <c r="DM319" s="60"/>
      <c r="DN319" s="60"/>
      <c r="DO319" s="60"/>
      <c r="DP319" s="60"/>
      <c r="DQ319" s="60"/>
      <c r="DR319" s="60"/>
      <c r="DS319" s="60"/>
      <c r="DT319" s="60"/>
      <c r="DU319" s="60"/>
      <c r="DV319" s="60"/>
      <c r="DW319" s="60"/>
      <c r="DX319" s="60"/>
      <c r="DY319" s="60"/>
      <c r="DZ319" s="60"/>
      <c r="EA319" s="60"/>
      <c r="EB319" s="60"/>
      <c r="EC319" s="60"/>
      <c r="ED319" s="60"/>
      <c r="EE319" s="60"/>
      <c r="EF319" s="60"/>
      <c r="EG319" s="60"/>
      <c r="EH319" s="60"/>
      <c r="EI319" s="60"/>
      <c r="EJ319" s="60"/>
      <c r="EK319" s="60"/>
      <c r="EL319" s="60"/>
      <c r="EM319" s="60"/>
      <c r="EN319" s="60"/>
      <c r="EO319" s="60"/>
      <c r="EP319" s="60"/>
      <c r="EQ319" s="60"/>
      <c r="ER319" s="60"/>
      <c r="ES319" s="60"/>
      <c r="ET319" s="60"/>
      <c r="EU319" s="60"/>
      <c r="EV319" s="60"/>
      <c r="EW319" s="60"/>
      <c r="EX319" s="60"/>
      <c r="EY319" s="60"/>
      <c r="EZ319" s="60"/>
      <c r="FA319" s="60"/>
      <c r="FB319" s="60"/>
      <c r="FC319" s="60"/>
      <c r="FD319" s="60"/>
      <c r="FE319" s="60"/>
      <c r="FF319" s="60"/>
      <c r="FG319" s="60"/>
      <c r="FH319" s="60"/>
      <c r="FI319" s="60"/>
      <c r="FJ319" s="60"/>
      <c r="FK319" s="60"/>
      <c r="FL319" s="60"/>
      <c r="FM319" s="60"/>
      <c r="FN319" s="60"/>
      <c r="FO319" s="60"/>
      <c r="FP319" s="60"/>
      <c r="FQ319" s="60"/>
      <c r="FR319" s="60"/>
      <c r="FS319" s="60"/>
      <c r="FT319" s="60"/>
      <c r="FU319" s="60"/>
      <c r="FV319" s="60"/>
      <c r="FW319" s="60"/>
      <c r="FX319" s="60"/>
      <c r="FY319" s="60"/>
      <c r="FZ319" s="60"/>
      <c r="GA319" s="60"/>
      <c r="GB319" s="60"/>
      <c r="GC319" s="60"/>
      <c r="GD319" s="60"/>
      <c r="GE319" s="60"/>
      <c r="GF319" s="60"/>
      <c r="GG319" s="60"/>
      <c r="GH319" s="60"/>
      <c r="GI319" s="60"/>
      <c r="GJ319" s="60"/>
      <c r="GK319" s="60"/>
      <c r="GL319" s="60"/>
      <c r="GM319" s="60"/>
      <c r="GN319" s="60"/>
      <c r="GO319" s="60"/>
      <c r="GP319" s="60"/>
      <c r="GQ319" s="60"/>
      <c r="GR319" s="60"/>
      <c r="GS319" s="60"/>
      <c r="GT319" s="60"/>
      <c r="GU319" s="60"/>
      <c r="GV319" s="60"/>
      <c r="GW319" s="60"/>
      <c r="GX319" s="60"/>
      <c r="GY319" s="60"/>
      <c r="GZ319" s="60"/>
      <c r="HA319" s="60"/>
      <c r="HB319" s="60"/>
      <c r="HC319" s="60"/>
      <c r="HD319" s="60"/>
      <c r="HE319" s="60"/>
      <c r="HF319" s="60"/>
      <c r="HG319" s="60"/>
      <c r="HH319" s="60"/>
      <c r="HI319" s="60"/>
      <c r="HJ319" s="60"/>
      <c r="HK319" s="60"/>
      <c r="HL319" s="60"/>
    </row>
    <row r="320" spans="1:220" s="53" customFormat="1" ht="16.5" customHeight="1" x14ac:dyDescent="0.15">
      <c r="A320" s="97"/>
      <c r="B320" s="91" t="s">
        <v>658</v>
      </c>
      <c r="C320" s="103"/>
      <c r="D320" s="67" t="s">
        <v>322</v>
      </c>
      <c r="G320" s="88" t="s">
        <v>477</v>
      </c>
      <c r="J320" s="59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  <c r="BX320" s="60"/>
      <c r="BY320" s="60"/>
      <c r="BZ320" s="60"/>
      <c r="CA320" s="60"/>
      <c r="CB320" s="60"/>
      <c r="CC320" s="60"/>
      <c r="CD320" s="60"/>
      <c r="CE320" s="60"/>
      <c r="CF320" s="60"/>
      <c r="CG320" s="60"/>
      <c r="CH320" s="60"/>
      <c r="CI320" s="60"/>
      <c r="CJ320" s="60"/>
      <c r="CK320" s="60"/>
      <c r="CL320" s="60"/>
      <c r="CM320" s="60"/>
      <c r="CN320" s="60"/>
      <c r="CO320" s="60"/>
      <c r="CP320" s="60"/>
      <c r="CQ320" s="60"/>
      <c r="CR320" s="60"/>
      <c r="CS320" s="60"/>
      <c r="CT320" s="60"/>
      <c r="CU320" s="60"/>
      <c r="CV320" s="60"/>
      <c r="CW320" s="60"/>
      <c r="CX320" s="60"/>
      <c r="CY320" s="60"/>
      <c r="CZ320" s="60"/>
      <c r="DA320" s="60"/>
      <c r="DB320" s="60"/>
      <c r="DC320" s="60"/>
      <c r="DD320" s="60"/>
      <c r="DE320" s="60"/>
      <c r="DF320" s="60"/>
      <c r="DG320" s="60"/>
      <c r="DH320" s="60"/>
      <c r="DI320" s="60"/>
      <c r="DJ320" s="60"/>
      <c r="DK320" s="60"/>
      <c r="DL320" s="60"/>
      <c r="DM320" s="60"/>
      <c r="DN320" s="60"/>
      <c r="DO320" s="60"/>
      <c r="DP320" s="60"/>
      <c r="DQ320" s="60"/>
      <c r="DR320" s="60"/>
      <c r="DS320" s="60"/>
      <c r="DT320" s="60"/>
      <c r="DU320" s="60"/>
      <c r="DV320" s="60"/>
      <c r="DW320" s="60"/>
      <c r="DX320" s="60"/>
      <c r="DY320" s="60"/>
      <c r="DZ320" s="60"/>
      <c r="EA320" s="60"/>
      <c r="EB320" s="60"/>
      <c r="EC320" s="60"/>
      <c r="ED320" s="60"/>
      <c r="EE320" s="60"/>
      <c r="EF320" s="60"/>
      <c r="EG320" s="60"/>
      <c r="EH320" s="60"/>
      <c r="EI320" s="60"/>
      <c r="EJ320" s="60"/>
      <c r="EK320" s="60"/>
      <c r="EL320" s="60"/>
      <c r="EM320" s="60"/>
      <c r="EN320" s="60"/>
      <c r="EO320" s="60"/>
      <c r="EP320" s="60"/>
      <c r="EQ320" s="60"/>
      <c r="ER320" s="60"/>
      <c r="ES320" s="60"/>
      <c r="ET320" s="60"/>
      <c r="EU320" s="60"/>
      <c r="EV320" s="60"/>
      <c r="EW320" s="60"/>
      <c r="EX320" s="60"/>
      <c r="EY320" s="60"/>
      <c r="EZ320" s="60"/>
      <c r="FA320" s="60"/>
      <c r="FB320" s="60"/>
      <c r="FC320" s="60"/>
      <c r="FD320" s="60"/>
      <c r="FE320" s="60"/>
      <c r="FF320" s="60"/>
      <c r="FG320" s="60"/>
      <c r="FH320" s="60"/>
      <c r="FI320" s="60"/>
      <c r="FJ320" s="60"/>
      <c r="FK320" s="60"/>
      <c r="FL320" s="60"/>
      <c r="FM320" s="60"/>
      <c r="FN320" s="60"/>
      <c r="FO320" s="60"/>
      <c r="FP320" s="60"/>
      <c r="FQ320" s="60"/>
      <c r="FR320" s="60"/>
      <c r="FS320" s="60"/>
      <c r="FT320" s="60"/>
      <c r="FU320" s="60"/>
      <c r="FV320" s="60"/>
      <c r="FW320" s="60"/>
      <c r="FX320" s="60"/>
      <c r="FY320" s="60"/>
      <c r="FZ320" s="60"/>
      <c r="GA320" s="60"/>
      <c r="GB320" s="60"/>
      <c r="GC320" s="60"/>
      <c r="GD320" s="60"/>
      <c r="GE320" s="60"/>
      <c r="GF320" s="60"/>
      <c r="GG320" s="60"/>
      <c r="GH320" s="60"/>
      <c r="GI320" s="60"/>
      <c r="GJ320" s="60"/>
      <c r="GK320" s="60"/>
      <c r="GL320" s="60"/>
      <c r="GM320" s="60"/>
      <c r="GN320" s="60"/>
      <c r="GO320" s="60"/>
      <c r="GP320" s="60"/>
      <c r="GQ320" s="60"/>
      <c r="GR320" s="60"/>
      <c r="GS320" s="60"/>
      <c r="GT320" s="60"/>
      <c r="GU320" s="60"/>
      <c r="GV320" s="60"/>
      <c r="GW320" s="60"/>
      <c r="GX320" s="60"/>
      <c r="GY320" s="60"/>
      <c r="GZ320" s="60"/>
      <c r="HA320" s="60"/>
      <c r="HB320" s="60"/>
      <c r="HC320" s="60"/>
      <c r="HD320" s="60"/>
      <c r="HE320" s="60"/>
      <c r="HF320" s="60"/>
      <c r="HG320" s="60"/>
      <c r="HH320" s="60"/>
      <c r="HI320" s="60"/>
      <c r="HJ320" s="60"/>
      <c r="HK320" s="60"/>
      <c r="HL320" s="60"/>
    </row>
    <row r="321" spans="1:220" s="61" customFormat="1" ht="16.5" customHeight="1" x14ac:dyDescent="0.15">
      <c r="A321" s="97"/>
      <c r="B321" s="91" t="s">
        <v>659</v>
      </c>
      <c r="C321" s="100" t="s">
        <v>383</v>
      </c>
      <c r="D321" s="67" t="s">
        <v>376</v>
      </c>
      <c r="E321" s="53"/>
      <c r="F321" s="53"/>
      <c r="G321" s="88" t="s">
        <v>477</v>
      </c>
      <c r="H321" s="54"/>
      <c r="I321" s="54"/>
      <c r="J321" s="53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0"/>
      <c r="CD321" s="60"/>
      <c r="CE321" s="60"/>
      <c r="CF321" s="60"/>
      <c r="CG321" s="60"/>
      <c r="CH321" s="60"/>
      <c r="CI321" s="60"/>
      <c r="CJ321" s="60"/>
      <c r="CK321" s="60"/>
      <c r="CL321" s="60"/>
      <c r="CM321" s="60"/>
      <c r="CN321" s="60"/>
      <c r="CO321" s="60"/>
      <c r="CP321" s="60"/>
      <c r="CQ321" s="60"/>
      <c r="CR321" s="60"/>
      <c r="CS321" s="60"/>
      <c r="CT321" s="60"/>
      <c r="CU321" s="60"/>
      <c r="CV321" s="60"/>
      <c r="CW321" s="60"/>
      <c r="CX321" s="60"/>
      <c r="CY321" s="60"/>
      <c r="CZ321" s="60"/>
      <c r="DA321" s="60"/>
      <c r="DB321" s="60"/>
      <c r="DC321" s="60"/>
      <c r="DD321" s="60"/>
      <c r="DE321" s="60"/>
      <c r="DF321" s="60"/>
      <c r="DG321" s="60"/>
      <c r="DH321" s="60"/>
      <c r="DI321" s="60"/>
      <c r="DJ321" s="60"/>
      <c r="DK321" s="60"/>
      <c r="DL321" s="60"/>
      <c r="DM321" s="60"/>
      <c r="DN321" s="60"/>
      <c r="DO321" s="60"/>
      <c r="DP321" s="60"/>
      <c r="DQ321" s="60"/>
      <c r="DR321" s="60"/>
      <c r="DS321" s="60"/>
      <c r="DT321" s="60"/>
      <c r="DU321" s="60"/>
      <c r="DV321" s="60"/>
      <c r="DW321" s="60"/>
      <c r="DX321" s="60"/>
      <c r="DY321" s="60"/>
      <c r="DZ321" s="60"/>
      <c r="EA321" s="60"/>
      <c r="EB321" s="60"/>
      <c r="EC321" s="60"/>
      <c r="ED321" s="60"/>
      <c r="EE321" s="60"/>
      <c r="EF321" s="60"/>
      <c r="EG321" s="60"/>
      <c r="EH321" s="60"/>
      <c r="EI321" s="60"/>
      <c r="EJ321" s="60"/>
      <c r="EK321" s="60"/>
      <c r="EL321" s="60"/>
      <c r="EM321" s="60"/>
      <c r="EN321" s="60"/>
      <c r="EO321" s="60"/>
      <c r="EP321" s="60"/>
      <c r="EQ321" s="60"/>
      <c r="ER321" s="60"/>
      <c r="ES321" s="60"/>
      <c r="ET321" s="60"/>
      <c r="EU321" s="60"/>
      <c r="EV321" s="60"/>
      <c r="EW321" s="60"/>
      <c r="EX321" s="60"/>
      <c r="EY321" s="60"/>
      <c r="EZ321" s="60"/>
      <c r="FA321" s="60"/>
      <c r="FB321" s="60"/>
      <c r="FC321" s="60"/>
      <c r="FD321" s="60"/>
      <c r="FE321" s="60"/>
      <c r="FF321" s="60"/>
      <c r="FG321" s="60"/>
      <c r="FH321" s="60"/>
      <c r="FI321" s="60"/>
      <c r="FJ321" s="60"/>
      <c r="FK321" s="60"/>
      <c r="FL321" s="60"/>
      <c r="FM321" s="60"/>
      <c r="FN321" s="60"/>
      <c r="FO321" s="60"/>
      <c r="FP321" s="60"/>
      <c r="FQ321" s="60"/>
      <c r="FR321" s="60"/>
      <c r="FS321" s="60"/>
      <c r="FT321" s="60"/>
      <c r="FU321" s="60"/>
      <c r="FV321" s="60"/>
      <c r="FW321" s="60"/>
      <c r="FX321" s="60"/>
      <c r="FY321" s="60"/>
      <c r="FZ321" s="60"/>
      <c r="GA321" s="60"/>
      <c r="GB321" s="60"/>
      <c r="GC321" s="60"/>
      <c r="GD321" s="60"/>
      <c r="GE321" s="60"/>
      <c r="GF321" s="60"/>
      <c r="GG321" s="60"/>
      <c r="GH321" s="60"/>
      <c r="GI321" s="60"/>
      <c r="GJ321" s="60"/>
      <c r="GK321" s="60"/>
      <c r="GL321" s="60"/>
      <c r="GM321" s="60"/>
      <c r="GN321" s="60"/>
      <c r="GO321" s="60"/>
      <c r="GP321" s="60"/>
      <c r="GQ321" s="60"/>
      <c r="GR321" s="60"/>
      <c r="GS321" s="60"/>
      <c r="GT321" s="60"/>
      <c r="GU321" s="60"/>
      <c r="GV321" s="60"/>
      <c r="GW321" s="60"/>
      <c r="GX321" s="60"/>
      <c r="GY321" s="60"/>
      <c r="GZ321" s="60"/>
      <c r="HA321" s="60"/>
      <c r="HB321" s="60"/>
      <c r="HC321" s="60"/>
      <c r="HD321" s="60"/>
      <c r="HE321" s="60"/>
      <c r="HF321" s="60"/>
      <c r="HG321" s="60"/>
      <c r="HH321" s="60"/>
      <c r="HI321" s="60"/>
      <c r="HJ321" s="60"/>
      <c r="HK321" s="60"/>
      <c r="HL321" s="60"/>
    </row>
    <row r="322" spans="1:220" s="57" customFormat="1" ht="16.5" customHeight="1" x14ac:dyDescent="0.15">
      <c r="A322" s="97"/>
      <c r="B322" s="91" t="s">
        <v>660</v>
      </c>
      <c r="C322" s="101"/>
      <c r="D322" s="67" t="s">
        <v>323</v>
      </c>
      <c r="E322" s="53"/>
      <c r="F322" s="53"/>
      <c r="G322" s="88" t="s">
        <v>477</v>
      </c>
      <c r="H322" s="54"/>
      <c r="I322" s="54"/>
      <c r="J322" s="59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6"/>
      <c r="BR322" s="56"/>
      <c r="BS322" s="56"/>
      <c r="BT322" s="56"/>
      <c r="BU322" s="56"/>
      <c r="BV322" s="56"/>
      <c r="BW322" s="56"/>
      <c r="BX322" s="56"/>
      <c r="BY322" s="56"/>
      <c r="BZ322" s="56"/>
      <c r="CA322" s="56"/>
      <c r="CB322" s="56"/>
      <c r="CC322" s="56"/>
      <c r="CD322" s="56"/>
      <c r="CE322" s="56"/>
      <c r="CF322" s="56"/>
      <c r="CG322" s="56"/>
      <c r="CH322" s="56"/>
      <c r="CI322" s="56"/>
      <c r="CJ322" s="56"/>
      <c r="CK322" s="56"/>
      <c r="CL322" s="56"/>
      <c r="CM322" s="56"/>
      <c r="CN322" s="56"/>
      <c r="CO322" s="56"/>
      <c r="CP322" s="56"/>
      <c r="CQ322" s="56"/>
      <c r="CR322" s="56"/>
      <c r="CS322" s="56"/>
      <c r="CT322" s="56"/>
      <c r="CU322" s="56"/>
      <c r="CV322" s="56"/>
      <c r="CW322" s="56"/>
      <c r="CX322" s="56"/>
      <c r="CY322" s="56"/>
      <c r="CZ322" s="56"/>
      <c r="DA322" s="56"/>
      <c r="DB322" s="56"/>
      <c r="DC322" s="56"/>
      <c r="DD322" s="56"/>
      <c r="DE322" s="56"/>
      <c r="DF322" s="56"/>
      <c r="DG322" s="56"/>
      <c r="DH322" s="56"/>
      <c r="DI322" s="56"/>
      <c r="DJ322" s="56"/>
      <c r="DK322" s="56"/>
      <c r="DL322" s="56"/>
      <c r="DM322" s="56"/>
      <c r="DN322" s="56"/>
      <c r="DO322" s="56"/>
      <c r="DP322" s="56"/>
      <c r="DQ322" s="56"/>
      <c r="DR322" s="56"/>
      <c r="DS322" s="56"/>
      <c r="DT322" s="56"/>
      <c r="DU322" s="56"/>
      <c r="DV322" s="56"/>
      <c r="DW322" s="56"/>
      <c r="DX322" s="56"/>
      <c r="DY322" s="56"/>
      <c r="DZ322" s="56"/>
      <c r="EA322" s="56"/>
      <c r="EB322" s="56"/>
      <c r="EC322" s="56"/>
      <c r="ED322" s="56"/>
      <c r="EE322" s="56"/>
      <c r="EF322" s="56"/>
      <c r="EG322" s="56"/>
      <c r="EH322" s="56"/>
      <c r="EI322" s="56"/>
      <c r="EJ322" s="56"/>
      <c r="EK322" s="56"/>
      <c r="EL322" s="56"/>
      <c r="EM322" s="56"/>
      <c r="EN322" s="56"/>
      <c r="EO322" s="56"/>
      <c r="EP322" s="56"/>
      <c r="EQ322" s="56"/>
      <c r="ER322" s="56"/>
      <c r="ES322" s="56"/>
      <c r="ET322" s="56"/>
      <c r="EU322" s="56"/>
      <c r="EV322" s="56"/>
      <c r="EW322" s="56"/>
      <c r="EX322" s="56"/>
      <c r="EY322" s="56"/>
      <c r="EZ322" s="56"/>
      <c r="FA322" s="56"/>
      <c r="FB322" s="56"/>
      <c r="FC322" s="56"/>
      <c r="FD322" s="56"/>
      <c r="FE322" s="56"/>
      <c r="FF322" s="56"/>
      <c r="FG322" s="56"/>
      <c r="FH322" s="56"/>
      <c r="FI322" s="56"/>
      <c r="FJ322" s="56"/>
      <c r="FK322" s="56"/>
      <c r="FL322" s="56"/>
      <c r="FM322" s="56"/>
      <c r="FN322" s="56"/>
      <c r="FO322" s="56"/>
      <c r="FP322" s="56"/>
      <c r="FQ322" s="56"/>
      <c r="FR322" s="56"/>
      <c r="FS322" s="56"/>
      <c r="FT322" s="56"/>
      <c r="FU322" s="56"/>
      <c r="FV322" s="56"/>
      <c r="FW322" s="56"/>
      <c r="FX322" s="56"/>
      <c r="FY322" s="56"/>
      <c r="FZ322" s="56"/>
      <c r="GA322" s="56"/>
      <c r="GB322" s="56"/>
      <c r="GC322" s="56"/>
      <c r="GD322" s="56"/>
      <c r="GE322" s="56"/>
      <c r="GF322" s="56"/>
      <c r="GG322" s="56"/>
      <c r="GH322" s="56"/>
      <c r="GI322" s="56"/>
      <c r="GJ322" s="56"/>
      <c r="GK322" s="56"/>
      <c r="GL322" s="56"/>
      <c r="GM322" s="56"/>
      <c r="GN322" s="56"/>
      <c r="GO322" s="56"/>
      <c r="GP322" s="56"/>
      <c r="GQ322" s="56"/>
      <c r="GR322" s="56"/>
      <c r="GS322" s="56"/>
      <c r="GT322" s="56"/>
      <c r="GU322" s="56"/>
      <c r="GV322" s="56"/>
      <c r="GW322" s="56"/>
      <c r="GX322" s="56"/>
      <c r="GY322" s="56"/>
      <c r="GZ322" s="56"/>
      <c r="HA322" s="56"/>
      <c r="HB322" s="56"/>
      <c r="HC322" s="56"/>
      <c r="HD322" s="56"/>
      <c r="HE322" s="56"/>
      <c r="HF322" s="56"/>
      <c r="HG322" s="56"/>
      <c r="HH322" s="56"/>
      <c r="HI322" s="56"/>
      <c r="HJ322" s="56"/>
      <c r="HK322" s="56"/>
      <c r="HL322" s="56"/>
    </row>
    <row r="323" spans="1:220" s="53" customFormat="1" ht="16.5" customHeight="1" x14ac:dyDescent="0.15">
      <c r="A323" s="97"/>
      <c r="B323" s="91" t="s">
        <v>661</v>
      </c>
      <c r="C323" s="103"/>
      <c r="D323" s="67" t="s">
        <v>322</v>
      </c>
      <c r="G323" s="88" t="s">
        <v>477</v>
      </c>
      <c r="J323" s="59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  <c r="BX323" s="60"/>
      <c r="BY323" s="60"/>
      <c r="BZ323" s="60"/>
      <c r="CA323" s="60"/>
      <c r="CB323" s="60"/>
      <c r="CC323" s="60"/>
      <c r="CD323" s="60"/>
      <c r="CE323" s="60"/>
      <c r="CF323" s="60"/>
      <c r="CG323" s="60"/>
      <c r="CH323" s="60"/>
      <c r="CI323" s="60"/>
      <c r="CJ323" s="60"/>
      <c r="CK323" s="60"/>
      <c r="CL323" s="60"/>
      <c r="CM323" s="60"/>
      <c r="CN323" s="60"/>
      <c r="CO323" s="60"/>
      <c r="CP323" s="60"/>
      <c r="CQ323" s="60"/>
      <c r="CR323" s="60"/>
      <c r="CS323" s="60"/>
      <c r="CT323" s="60"/>
      <c r="CU323" s="60"/>
      <c r="CV323" s="60"/>
      <c r="CW323" s="60"/>
      <c r="CX323" s="60"/>
      <c r="CY323" s="60"/>
      <c r="CZ323" s="60"/>
      <c r="DA323" s="60"/>
      <c r="DB323" s="60"/>
      <c r="DC323" s="60"/>
      <c r="DD323" s="60"/>
      <c r="DE323" s="60"/>
      <c r="DF323" s="60"/>
      <c r="DG323" s="60"/>
      <c r="DH323" s="60"/>
      <c r="DI323" s="60"/>
      <c r="DJ323" s="60"/>
      <c r="DK323" s="60"/>
      <c r="DL323" s="60"/>
      <c r="DM323" s="60"/>
      <c r="DN323" s="60"/>
      <c r="DO323" s="60"/>
      <c r="DP323" s="60"/>
      <c r="DQ323" s="60"/>
      <c r="DR323" s="60"/>
      <c r="DS323" s="60"/>
      <c r="DT323" s="60"/>
      <c r="DU323" s="60"/>
      <c r="DV323" s="60"/>
      <c r="DW323" s="60"/>
      <c r="DX323" s="60"/>
      <c r="DY323" s="60"/>
      <c r="DZ323" s="60"/>
      <c r="EA323" s="60"/>
      <c r="EB323" s="60"/>
      <c r="EC323" s="60"/>
      <c r="ED323" s="60"/>
      <c r="EE323" s="60"/>
      <c r="EF323" s="60"/>
      <c r="EG323" s="60"/>
      <c r="EH323" s="60"/>
      <c r="EI323" s="60"/>
      <c r="EJ323" s="60"/>
      <c r="EK323" s="60"/>
      <c r="EL323" s="60"/>
      <c r="EM323" s="60"/>
      <c r="EN323" s="60"/>
      <c r="EO323" s="60"/>
      <c r="EP323" s="60"/>
      <c r="EQ323" s="60"/>
      <c r="ER323" s="60"/>
      <c r="ES323" s="60"/>
      <c r="ET323" s="60"/>
      <c r="EU323" s="60"/>
      <c r="EV323" s="60"/>
      <c r="EW323" s="60"/>
      <c r="EX323" s="60"/>
      <c r="EY323" s="60"/>
      <c r="EZ323" s="60"/>
      <c r="FA323" s="60"/>
      <c r="FB323" s="60"/>
      <c r="FC323" s="60"/>
      <c r="FD323" s="60"/>
      <c r="FE323" s="60"/>
      <c r="FF323" s="60"/>
      <c r="FG323" s="60"/>
      <c r="FH323" s="60"/>
      <c r="FI323" s="60"/>
      <c r="FJ323" s="60"/>
      <c r="FK323" s="60"/>
      <c r="FL323" s="60"/>
      <c r="FM323" s="60"/>
      <c r="FN323" s="60"/>
      <c r="FO323" s="60"/>
      <c r="FP323" s="60"/>
      <c r="FQ323" s="60"/>
      <c r="FR323" s="60"/>
      <c r="FS323" s="60"/>
      <c r="FT323" s="60"/>
      <c r="FU323" s="60"/>
      <c r="FV323" s="60"/>
      <c r="FW323" s="60"/>
      <c r="FX323" s="60"/>
      <c r="FY323" s="60"/>
      <c r="FZ323" s="60"/>
      <c r="GA323" s="60"/>
      <c r="GB323" s="60"/>
      <c r="GC323" s="60"/>
      <c r="GD323" s="60"/>
      <c r="GE323" s="60"/>
      <c r="GF323" s="60"/>
      <c r="GG323" s="60"/>
      <c r="GH323" s="60"/>
      <c r="GI323" s="60"/>
      <c r="GJ323" s="60"/>
      <c r="GK323" s="60"/>
      <c r="GL323" s="60"/>
      <c r="GM323" s="60"/>
      <c r="GN323" s="60"/>
      <c r="GO323" s="60"/>
      <c r="GP323" s="60"/>
      <c r="GQ323" s="60"/>
      <c r="GR323" s="60"/>
      <c r="GS323" s="60"/>
      <c r="GT323" s="60"/>
      <c r="GU323" s="60"/>
      <c r="GV323" s="60"/>
      <c r="GW323" s="60"/>
      <c r="GX323" s="60"/>
      <c r="GY323" s="60"/>
      <c r="GZ323" s="60"/>
      <c r="HA323" s="60"/>
      <c r="HB323" s="60"/>
      <c r="HC323" s="60"/>
      <c r="HD323" s="60"/>
      <c r="HE323" s="60"/>
      <c r="HF323" s="60"/>
      <c r="HG323" s="60"/>
      <c r="HH323" s="60"/>
      <c r="HI323" s="60"/>
      <c r="HJ323" s="60"/>
      <c r="HK323" s="60"/>
      <c r="HL323" s="60"/>
    </row>
    <row r="324" spans="1:220" s="53" customFormat="1" ht="16.5" customHeight="1" x14ac:dyDescent="0.15">
      <c r="A324" s="97"/>
      <c r="B324" s="91" t="s">
        <v>662</v>
      </c>
      <c r="C324" s="100" t="s">
        <v>382</v>
      </c>
      <c r="D324" s="67" t="s">
        <v>378</v>
      </c>
      <c r="G324" s="88" t="s">
        <v>477</v>
      </c>
      <c r="J324" s="59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0"/>
      <c r="BX324" s="60"/>
      <c r="BY324" s="60"/>
      <c r="BZ324" s="60"/>
      <c r="CA324" s="60"/>
      <c r="CB324" s="60"/>
      <c r="CC324" s="60"/>
      <c r="CD324" s="60"/>
      <c r="CE324" s="60"/>
      <c r="CF324" s="60"/>
      <c r="CG324" s="60"/>
      <c r="CH324" s="60"/>
      <c r="CI324" s="60"/>
      <c r="CJ324" s="60"/>
      <c r="CK324" s="60"/>
      <c r="CL324" s="60"/>
      <c r="CM324" s="60"/>
      <c r="CN324" s="60"/>
      <c r="CO324" s="60"/>
      <c r="CP324" s="60"/>
      <c r="CQ324" s="60"/>
      <c r="CR324" s="60"/>
      <c r="CS324" s="60"/>
      <c r="CT324" s="60"/>
      <c r="CU324" s="60"/>
      <c r="CV324" s="60"/>
      <c r="CW324" s="60"/>
      <c r="CX324" s="60"/>
      <c r="CY324" s="60"/>
      <c r="CZ324" s="60"/>
      <c r="DA324" s="60"/>
      <c r="DB324" s="60"/>
      <c r="DC324" s="60"/>
      <c r="DD324" s="60"/>
      <c r="DE324" s="60"/>
      <c r="DF324" s="60"/>
      <c r="DG324" s="60"/>
      <c r="DH324" s="60"/>
      <c r="DI324" s="60"/>
      <c r="DJ324" s="60"/>
      <c r="DK324" s="60"/>
      <c r="DL324" s="60"/>
      <c r="DM324" s="60"/>
      <c r="DN324" s="60"/>
      <c r="DO324" s="60"/>
      <c r="DP324" s="60"/>
      <c r="DQ324" s="60"/>
      <c r="DR324" s="60"/>
      <c r="DS324" s="60"/>
      <c r="DT324" s="60"/>
      <c r="DU324" s="60"/>
      <c r="DV324" s="60"/>
      <c r="DW324" s="60"/>
      <c r="DX324" s="60"/>
      <c r="DY324" s="60"/>
      <c r="DZ324" s="60"/>
      <c r="EA324" s="60"/>
      <c r="EB324" s="60"/>
      <c r="EC324" s="60"/>
      <c r="ED324" s="60"/>
      <c r="EE324" s="60"/>
      <c r="EF324" s="60"/>
      <c r="EG324" s="60"/>
      <c r="EH324" s="60"/>
      <c r="EI324" s="60"/>
      <c r="EJ324" s="60"/>
      <c r="EK324" s="60"/>
      <c r="EL324" s="60"/>
      <c r="EM324" s="60"/>
      <c r="EN324" s="60"/>
      <c r="EO324" s="60"/>
      <c r="EP324" s="60"/>
      <c r="EQ324" s="60"/>
      <c r="ER324" s="60"/>
      <c r="ES324" s="60"/>
      <c r="ET324" s="60"/>
      <c r="EU324" s="60"/>
      <c r="EV324" s="60"/>
      <c r="EW324" s="60"/>
      <c r="EX324" s="60"/>
      <c r="EY324" s="60"/>
      <c r="EZ324" s="60"/>
      <c r="FA324" s="60"/>
      <c r="FB324" s="60"/>
      <c r="FC324" s="60"/>
      <c r="FD324" s="60"/>
      <c r="FE324" s="60"/>
      <c r="FF324" s="60"/>
      <c r="FG324" s="60"/>
      <c r="FH324" s="60"/>
      <c r="FI324" s="60"/>
      <c r="FJ324" s="60"/>
      <c r="FK324" s="60"/>
      <c r="FL324" s="60"/>
      <c r="FM324" s="60"/>
      <c r="FN324" s="60"/>
      <c r="FO324" s="60"/>
      <c r="FP324" s="60"/>
      <c r="FQ324" s="60"/>
      <c r="FR324" s="60"/>
      <c r="FS324" s="60"/>
      <c r="FT324" s="60"/>
      <c r="FU324" s="60"/>
      <c r="FV324" s="60"/>
      <c r="FW324" s="60"/>
      <c r="FX324" s="60"/>
      <c r="FY324" s="60"/>
      <c r="FZ324" s="60"/>
      <c r="GA324" s="60"/>
      <c r="GB324" s="60"/>
      <c r="GC324" s="60"/>
      <c r="GD324" s="60"/>
      <c r="GE324" s="60"/>
      <c r="GF324" s="60"/>
      <c r="GG324" s="60"/>
      <c r="GH324" s="60"/>
      <c r="GI324" s="60"/>
      <c r="GJ324" s="60"/>
      <c r="GK324" s="60"/>
      <c r="GL324" s="60"/>
      <c r="GM324" s="60"/>
      <c r="GN324" s="60"/>
      <c r="GO324" s="60"/>
      <c r="GP324" s="60"/>
      <c r="GQ324" s="60"/>
      <c r="GR324" s="60"/>
      <c r="GS324" s="60"/>
      <c r="GT324" s="60"/>
      <c r="GU324" s="60"/>
      <c r="GV324" s="60"/>
      <c r="GW324" s="60"/>
      <c r="GX324" s="60"/>
      <c r="GY324" s="60"/>
      <c r="GZ324" s="60"/>
      <c r="HA324" s="60"/>
      <c r="HB324" s="60"/>
      <c r="HC324" s="60"/>
      <c r="HD324" s="60"/>
      <c r="HE324" s="60"/>
      <c r="HF324" s="60"/>
      <c r="HG324" s="60"/>
      <c r="HH324" s="60"/>
      <c r="HI324" s="60"/>
      <c r="HJ324" s="60"/>
      <c r="HK324" s="60"/>
      <c r="HL324" s="60"/>
    </row>
    <row r="325" spans="1:220" s="53" customFormat="1" ht="16.5" customHeight="1" x14ac:dyDescent="0.15">
      <c r="A325" s="97"/>
      <c r="B325" s="91" t="s">
        <v>663</v>
      </c>
      <c r="C325" s="101"/>
      <c r="D325" s="67" t="s">
        <v>379</v>
      </c>
      <c r="G325" s="88" t="s">
        <v>477</v>
      </c>
      <c r="J325" s="59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60"/>
      <c r="BY325" s="60"/>
      <c r="BZ325" s="60"/>
      <c r="CA325" s="60"/>
      <c r="CB325" s="60"/>
      <c r="CC325" s="60"/>
      <c r="CD325" s="60"/>
      <c r="CE325" s="60"/>
      <c r="CF325" s="60"/>
      <c r="CG325" s="60"/>
      <c r="CH325" s="60"/>
      <c r="CI325" s="60"/>
      <c r="CJ325" s="60"/>
      <c r="CK325" s="60"/>
      <c r="CL325" s="60"/>
      <c r="CM325" s="60"/>
      <c r="CN325" s="60"/>
      <c r="CO325" s="60"/>
      <c r="CP325" s="60"/>
      <c r="CQ325" s="60"/>
      <c r="CR325" s="60"/>
      <c r="CS325" s="60"/>
      <c r="CT325" s="60"/>
      <c r="CU325" s="60"/>
      <c r="CV325" s="60"/>
      <c r="CW325" s="60"/>
      <c r="CX325" s="60"/>
      <c r="CY325" s="60"/>
      <c r="CZ325" s="60"/>
      <c r="DA325" s="60"/>
      <c r="DB325" s="60"/>
      <c r="DC325" s="60"/>
      <c r="DD325" s="60"/>
      <c r="DE325" s="60"/>
      <c r="DF325" s="60"/>
      <c r="DG325" s="60"/>
      <c r="DH325" s="60"/>
      <c r="DI325" s="60"/>
      <c r="DJ325" s="60"/>
      <c r="DK325" s="60"/>
      <c r="DL325" s="60"/>
      <c r="DM325" s="60"/>
      <c r="DN325" s="60"/>
      <c r="DO325" s="60"/>
      <c r="DP325" s="60"/>
      <c r="DQ325" s="60"/>
      <c r="DR325" s="60"/>
      <c r="DS325" s="60"/>
      <c r="DT325" s="60"/>
      <c r="DU325" s="60"/>
      <c r="DV325" s="60"/>
      <c r="DW325" s="60"/>
      <c r="DX325" s="60"/>
      <c r="DY325" s="60"/>
      <c r="DZ325" s="60"/>
      <c r="EA325" s="60"/>
      <c r="EB325" s="60"/>
      <c r="EC325" s="60"/>
      <c r="ED325" s="60"/>
      <c r="EE325" s="60"/>
      <c r="EF325" s="60"/>
      <c r="EG325" s="60"/>
      <c r="EH325" s="60"/>
      <c r="EI325" s="60"/>
      <c r="EJ325" s="60"/>
      <c r="EK325" s="60"/>
      <c r="EL325" s="60"/>
      <c r="EM325" s="60"/>
      <c r="EN325" s="60"/>
      <c r="EO325" s="60"/>
      <c r="EP325" s="60"/>
      <c r="EQ325" s="60"/>
      <c r="ER325" s="60"/>
      <c r="ES325" s="60"/>
      <c r="ET325" s="60"/>
      <c r="EU325" s="60"/>
      <c r="EV325" s="60"/>
      <c r="EW325" s="60"/>
      <c r="EX325" s="60"/>
      <c r="EY325" s="60"/>
      <c r="EZ325" s="60"/>
      <c r="FA325" s="60"/>
      <c r="FB325" s="60"/>
      <c r="FC325" s="60"/>
      <c r="FD325" s="60"/>
      <c r="FE325" s="60"/>
      <c r="FF325" s="60"/>
      <c r="FG325" s="60"/>
      <c r="FH325" s="60"/>
      <c r="FI325" s="60"/>
      <c r="FJ325" s="60"/>
      <c r="FK325" s="60"/>
      <c r="FL325" s="60"/>
      <c r="FM325" s="60"/>
      <c r="FN325" s="60"/>
      <c r="FO325" s="60"/>
      <c r="FP325" s="60"/>
      <c r="FQ325" s="60"/>
      <c r="FR325" s="60"/>
      <c r="FS325" s="60"/>
      <c r="FT325" s="60"/>
      <c r="FU325" s="60"/>
      <c r="FV325" s="60"/>
      <c r="FW325" s="60"/>
      <c r="FX325" s="60"/>
      <c r="FY325" s="60"/>
      <c r="FZ325" s="60"/>
      <c r="GA325" s="60"/>
      <c r="GB325" s="60"/>
      <c r="GC325" s="60"/>
      <c r="GD325" s="60"/>
      <c r="GE325" s="60"/>
      <c r="GF325" s="60"/>
      <c r="GG325" s="60"/>
      <c r="GH325" s="60"/>
      <c r="GI325" s="60"/>
      <c r="GJ325" s="60"/>
      <c r="GK325" s="60"/>
      <c r="GL325" s="60"/>
      <c r="GM325" s="60"/>
      <c r="GN325" s="60"/>
      <c r="GO325" s="60"/>
      <c r="GP325" s="60"/>
      <c r="GQ325" s="60"/>
      <c r="GR325" s="60"/>
      <c r="GS325" s="60"/>
      <c r="GT325" s="60"/>
      <c r="GU325" s="60"/>
      <c r="GV325" s="60"/>
      <c r="GW325" s="60"/>
      <c r="GX325" s="60"/>
      <c r="GY325" s="60"/>
      <c r="GZ325" s="60"/>
      <c r="HA325" s="60"/>
      <c r="HB325" s="60"/>
      <c r="HC325" s="60"/>
      <c r="HD325" s="60"/>
      <c r="HE325" s="60"/>
      <c r="HF325" s="60"/>
      <c r="HG325" s="60"/>
      <c r="HH325" s="60"/>
      <c r="HI325" s="60"/>
      <c r="HJ325" s="60"/>
      <c r="HK325" s="60"/>
      <c r="HL325" s="60"/>
    </row>
    <row r="326" spans="1:220" s="53" customFormat="1" ht="16.5" customHeight="1" x14ac:dyDescent="0.15">
      <c r="A326" s="97"/>
      <c r="B326" s="91" t="s">
        <v>664</v>
      </c>
      <c r="C326" s="101"/>
      <c r="D326" s="67" t="s">
        <v>384</v>
      </c>
      <c r="G326" s="88" t="s">
        <v>477</v>
      </c>
      <c r="J326" s="59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  <c r="BX326" s="60"/>
      <c r="BY326" s="60"/>
      <c r="BZ326" s="60"/>
      <c r="CA326" s="60"/>
      <c r="CB326" s="60"/>
      <c r="CC326" s="60"/>
      <c r="CD326" s="60"/>
      <c r="CE326" s="60"/>
      <c r="CF326" s="60"/>
      <c r="CG326" s="60"/>
      <c r="CH326" s="60"/>
      <c r="CI326" s="60"/>
      <c r="CJ326" s="60"/>
      <c r="CK326" s="60"/>
      <c r="CL326" s="60"/>
      <c r="CM326" s="60"/>
      <c r="CN326" s="60"/>
      <c r="CO326" s="60"/>
      <c r="CP326" s="60"/>
      <c r="CQ326" s="60"/>
      <c r="CR326" s="60"/>
      <c r="CS326" s="60"/>
      <c r="CT326" s="60"/>
      <c r="CU326" s="60"/>
      <c r="CV326" s="60"/>
      <c r="CW326" s="60"/>
      <c r="CX326" s="60"/>
      <c r="CY326" s="60"/>
      <c r="CZ326" s="60"/>
      <c r="DA326" s="60"/>
      <c r="DB326" s="60"/>
      <c r="DC326" s="60"/>
      <c r="DD326" s="60"/>
      <c r="DE326" s="60"/>
      <c r="DF326" s="60"/>
      <c r="DG326" s="60"/>
      <c r="DH326" s="60"/>
      <c r="DI326" s="60"/>
      <c r="DJ326" s="60"/>
      <c r="DK326" s="60"/>
      <c r="DL326" s="60"/>
      <c r="DM326" s="60"/>
      <c r="DN326" s="60"/>
      <c r="DO326" s="60"/>
      <c r="DP326" s="60"/>
      <c r="DQ326" s="60"/>
      <c r="DR326" s="60"/>
      <c r="DS326" s="60"/>
      <c r="DT326" s="60"/>
      <c r="DU326" s="60"/>
      <c r="DV326" s="60"/>
      <c r="DW326" s="60"/>
      <c r="DX326" s="60"/>
      <c r="DY326" s="60"/>
      <c r="DZ326" s="60"/>
      <c r="EA326" s="60"/>
      <c r="EB326" s="60"/>
      <c r="EC326" s="60"/>
      <c r="ED326" s="60"/>
      <c r="EE326" s="60"/>
      <c r="EF326" s="60"/>
      <c r="EG326" s="60"/>
      <c r="EH326" s="60"/>
      <c r="EI326" s="60"/>
      <c r="EJ326" s="60"/>
      <c r="EK326" s="60"/>
      <c r="EL326" s="60"/>
      <c r="EM326" s="60"/>
      <c r="EN326" s="60"/>
      <c r="EO326" s="60"/>
      <c r="EP326" s="60"/>
      <c r="EQ326" s="60"/>
      <c r="ER326" s="60"/>
      <c r="ES326" s="60"/>
      <c r="ET326" s="60"/>
      <c r="EU326" s="60"/>
      <c r="EV326" s="60"/>
      <c r="EW326" s="60"/>
      <c r="EX326" s="60"/>
      <c r="EY326" s="60"/>
      <c r="EZ326" s="60"/>
      <c r="FA326" s="60"/>
      <c r="FB326" s="60"/>
      <c r="FC326" s="60"/>
      <c r="FD326" s="60"/>
      <c r="FE326" s="60"/>
      <c r="FF326" s="60"/>
      <c r="FG326" s="60"/>
      <c r="FH326" s="60"/>
      <c r="FI326" s="60"/>
      <c r="FJ326" s="60"/>
      <c r="FK326" s="60"/>
      <c r="FL326" s="60"/>
      <c r="FM326" s="60"/>
      <c r="FN326" s="60"/>
      <c r="FO326" s="60"/>
      <c r="FP326" s="60"/>
      <c r="FQ326" s="60"/>
      <c r="FR326" s="60"/>
      <c r="FS326" s="60"/>
      <c r="FT326" s="60"/>
      <c r="FU326" s="60"/>
      <c r="FV326" s="60"/>
      <c r="FW326" s="60"/>
      <c r="FX326" s="60"/>
      <c r="FY326" s="60"/>
      <c r="FZ326" s="60"/>
      <c r="GA326" s="60"/>
      <c r="GB326" s="60"/>
      <c r="GC326" s="60"/>
      <c r="GD326" s="60"/>
      <c r="GE326" s="60"/>
      <c r="GF326" s="60"/>
      <c r="GG326" s="60"/>
      <c r="GH326" s="60"/>
      <c r="GI326" s="60"/>
      <c r="GJ326" s="60"/>
      <c r="GK326" s="60"/>
      <c r="GL326" s="60"/>
      <c r="GM326" s="60"/>
      <c r="GN326" s="60"/>
      <c r="GO326" s="60"/>
      <c r="GP326" s="60"/>
      <c r="GQ326" s="60"/>
      <c r="GR326" s="60"/>
      <c r="GS326" s="60"/>
      <c r="GT326" s="60"/>
      <c r="GU326" s="60"/>
      <c r="GV326" s="60"/>
      <c r="GW326" s="60"/>
      <c r="GX326" s="60"/>
      <c r="GY326" s="60"/>
      <c r="GZ326" s="60"/>
      <c r="HA326" s="60"/>
      <c r="HB326" s="60"/>
      <c r="HC326" s="60"/>
      <c r="HD326" s="60"/>
      <c r="HE326" s="60"/>
      <c r="HF326" s="60"/>
      <c r="HG326" s="60"/>
      <c r="HH326" s="60"/>
      <c r="HI326" s="60"/>
      <c r="HJ326" s="60"/>
      <c r="HK326" s="60"/>
      <c r="HL326" s="60"/>
    </row>
    <row r="327" spans="1:220" s="53" customFormat="1" ht="16.5" customHeight="1" x14ac:dyDescent="0.15">
      <c r="A327" s="97"/>
      <c r="B327" s="91" t="s">
        <v>665</v>
      </c>
      <c r="C327" s="103"/>
      <c r="D327" s="67" t="s">
        <v>322</v>
      </c>
      <c r="G327" s="88" t="s">
        <v>477</v>
      </c>
      <c r="J327" s="59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  <c r="BX327" s="60"/>
      <c r="BY327" s="60"/>
      <c r="BZ327" s="60"/>
      <c r="CA327" s="60"/>
      <c r="CB327" s="60"/>
      <c r="CC327" s="60"/>
      <c r="CD327" s="60"/>
      <c r="CE327" s="60"/>
      <c r="CF327" s="60"/>
      <c r="CG327" s="60"/>
      <c r="CH327" s="60"/>
      <c r="CI327" s="60"/>
      <c r="CJ327" s="60"/>
      <c r="CK327" s="60"/>
      <c r="CL327" s="60"/>
      <c r="CM327" s="60"/>
      <c r="CN327" s="60"/>
      <c r="CO327" s="60"/>
      <c r="CP327" s="60"/>
      <c r="CQ327" s="60"/>
      <c r="CR327" s="60"/>
      <c r="CS327" s="60"/>
      <c r="CT327" s="60"/>
      <c r="CU327" s="60"/>
      <c r="CV327" s="60"/>
      <c r="CW327" s="60"/>
      <c r="CX327" s="60"/>
      <c r="CY327" s="60"/>
      <c r="CZ327" s="60"/>
      <c r="DA327" s="60"/>
      <c r="DB327" s="60"/>
      <c r="DC327" s="60"/>
      <c r="DD327" s="60"/>
      <c r="DE327" s="60"/>
      <c r="DF327" s="60"/>
      <c r="DG327" s="60"/>
      <c r="DH327" s="60"/>
      <c r="DI327" s="60"/>
      <c r="DJ327" s="60"/>
      <c r="DK327" s="60"/>
      <c r="DL327" s="60"/>
      <c r="DM327" s="60"/>
      <c r="DN327" s="60"/>
      <c r="DO327" s="60"/>
      <c r="DP327" s="60"/>
      <c r="DQ327" s="60"/>
      <c r="DR327" s="60"/>
      <c r="DS327" s="60"/>
      <c r="DT327" s="60"/>
      <c r="DU327" s="60"/>
      <c r="DV327" s="60"/>
      <c r="DW327" s="60"/>
      <c r="DX327" s="60"/>
      <c r="DY327" s="60"/>
      <c r="DZ327" s="60"/>
      <c r="EA327" s="60"/>
      <c r="EB327" s="60"/>
      <c r="EC327" s="60"/>
      <c r="ED327" s="60"/>
      <c r="EE327" s="60"/>
      <c r="EF327" s="60"/>
      <c r="EG327" s="60"/>
      <c r="EH327" s="60"/>
      <c r="EI327" s="60"/>
      <c r="EJ327" s="60"/>
      <c r="EK327" s="60"/>
      <c r="EL327" s="60"/>
      <c r="EM327" s="60"/>
      <c r="EN327" s="60"/>
      <c r="EO327" s="60"/>
      <c r="EP327" s="60"/>
      <c r="EQ327" s="60"/>
      <c r="ER327" s="60"/>
      <c r="ES327" s="60"/>
      <c r="ET327" s="60"/>
      <c r="EU327" s="60"/>
      <c r="EV327" s="60"/>
      <c r="EW327" s="60"/>
      <c r="EX327" s="60"/>
      <c r="EY327" s="60"/>
      <c r="EZ327" s="60"/>
      <c r="FA327" s="60"/>
      <c r="FB327" s="60"/>
      <c r="FC327" s="60"/>
      <c r="FD327" s="60"/>
      <c r="FE327" s="60"/>
      <c r="FF327" s="60"/>
      <c r="FG327" s="60"/>
      <c r="FH327" s="60"/>
      <c r="FI327" s="60"/>
      <c r="FJ327" s="60"/>
      <c r="FK327" s="60"/>
      <c r="FL327" s="60"/>
      <c r="FM327" s="60"/>
      <c r="FN327" s="60"/>
      <c r="FO327" s="60"/>
      <c r="FP327" s="60"/>
      <c r="FQ327" s="60"/>
      <c r="FR327" s="60"/>
      <c r="FS327" s="60"/>
      <c r="FT327" s="60"/>
      <c r="FU327" s="60"/>
      <c r="FV327" s="60"/>
      <c r="FW327" s="60"/>
      <c r="FX327" s="60"/>
      <c r="FY327" s="60"/>
      <c r="FZ327" s="60"/>
      <c r="GA327" s="60"/>
      <c r="GB327" s="60"/>
      <c r="GC327" s="60"/>
      <c r="GD327" s="60"/>
      <c r="GE327" s="60"/>
      <c r="GF327" s="60"/>
      <c r="GG327" s="60"/>
      <c r="GH327" s="60"/>
      <c r="GI327" s="60"/>
      <c r="GJ327" s="60"/>
      <c r="GK327" s="60"/>
      <c r="GL327" s="60"/>
      <c r="GM327" s="60"/>
      <c r="GN327" s="60"/>
      <c r="GO327" s="60"/>
      <c r="GP327" s="60"/>
      <c r="GQ327" s="60"/>
      <c r="GR327" s="60"/>
      <c r="GS327" s="60"/>
      <c r="GT327" s="60"/>
      <c r="GU327" s="60"/>
      <c r="GV327" s="60"/>
      <c r="GW327" s="60"/>
      <c r="GX327" s="60"/>
      <c r="GY327" s="60"/>
      <c r="GZ327" s="60"/>
      <c r="HA327" s="60"/>
      <c r="HB327" s="60"/>
      <c r="HC327" s="60"/>
      <c r="HD327" s="60"/>
      <c r="HE327" s="60"/>
      <c r="HF327" s="60"/>
      <c r="HG327" s="60"/>
      <c r="HH327" s="60"/>
      <c r="HI327" s="60"/>
      <c r="HJ327" s="60"/>
      <c r="HK327" s="60"/>
      <c r="HL327" s="60"/>
    </row>
    <row r="328" spans="1:220" s="61" customFormat="1" ht="16.5" customHeight="1" x14ac:dyDescent="0.15">
      <c r="A328" s="97"/>
      <c r="B328" s="91" t="s">
        <v>666</v>
      </c>
      <c r="C328" s="100" t="s">
        <v>385</v>
      </c>
      <c r="D328" s="67" t="s">
        <v>329</v>
      </c>
      <c r="E328" s="53"/>
      <c r="F328" s="53"/>
      <c r="G328" s="88" t="s">
        <v>477</v>
      </c>
      <c r="H328" s="54"/>
      <c r="I328" s="54"/>
      <c r="J328" s="53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0"/>
      <c r="BX328" s="60"/>
      <c r="BY328" s="60"/>
      <c r="BZ328" s="60"/>
      <c r="CA328" s="60"/>
      <c r="CB328" s="60"/>
      <c r="CC328" s="60"/>
      <c r="CD328" s="60"/>
      <c r="CE328" s="60"/>
      <c r="CF328" s="60"/>
      <c r="CG328" s="60"/>
      <c r="CH328" s="60"/>
      <c r="CI328" s="60"/>
      <c r="CJ328" s="60"/>
      <c r="CK328" s="60"/>
      <c r="CL328" s="60"/>
      <c r="CM328" s="60"/>
      <c r="CN328" s="60"/>
      <c r="CO328" s="60"/>
      <c r="CP328" s="60"/>
      <c r="CQ328" s="60"/>
      <c r="CR328" s="60"/>
      <c r="CS328" s="60"/>
      <c r="CT328" s="60"/>
      <c r="CU328" s="60"/>
      <c r="CV328" s="60"/>
      <c r="CW328" s="60"/>
      <c r="CX328" s="60"/>
      <c r="CY328" s="60"/>
      <c r="CZ328" s="60"/>
      <c r="DA328" s="60"/>
      <c r="DB328" s="60"/>
      <c r="DC328" s="60"/>
      <c r="DD328" s="60"/>
      <c r="DE328" s="60"/>
      <c r="DF328" s="60"/>
      <c r="DG328" s="60"/>
      <c r="DH328" s="60"/>
      <c r="DI328" s="60"/>
      <c r="DJ328" s="60"/>
      <c r="DK328" s="60"/>
      <c r="DL328" s="60"/>
      <c r="DM328" s="60"/>
      <c r="DN328" s="60"/>
      <c r="DO328" s="60"/>
      <c r="DP328" s="60"/>
      <c r="DQ328" s="60"/>
      <c r="DR328" s="60"/>
      <c r="DS328" s="60"/>
      <c r="DT328" s="60"/>
      <c r="DU328" s="60"/>
      <c r="DV328" s="60"/>
      <c r="DW328" s="60"/>
      <c r="DX328" s="60"/>
      <c r="DY328" s="60"/>
      <c r="DZ328" s="60"/>
      <c r="EA328" s="60"/>
      <c r="EB328" s="60"/>
      <c r="EC328" s="60"/>
      <c r="ED328" s="60"/>
      <c r="EE328" s="60"/>
      <c r="EF328" s="60"/>
      <c r="EG328" s="60"/>
      <c r="EH328" s="60"/>
      <c r="EI328" s="60"/>
      <c r="EJ328" s="60"/>
      <c r="EK328" s="60"/>
      <c r="EL328" s="60"/>
      <c r="EM328" s="60"/>
      <c r="EN328" s="60"/>
      <c r="EO328" s="60"/>
      <c r="EP328" s="60"/>
      <c r="EQ328" s="60"/>
      <c r="ER328" s="60"/>
      <c r="ES328" s="60"/>
      <c r="ET328" s="60"/>
      <c r="EU328" s="60"/>
      <c r="EV328" s="60"/>
      <c r="EW328" s="60"/>
      <c r="EX328" s="60"/>
      <c r="EY328" s="60"/>
      <c r="EZ328" s="60"/>
      <c r="FA328" s="60"/>
      <c r="FB328" s="60"/>
      <c r="FC328" s="60"/>
      <c r="FD328" s="60"/>
      <c r="FE328" s="60"/>
      <c r="FF328" s="60"/>
      <c r="FG328" s="60"/>
      <c r="FH328" s="60"/>
      <c r="FI328" s="60"/>
      <c r="FJ328" s="60"/>
      <c r="FK328" s="60"/>
      <c r="FL328" s="60"/>
      <c r="FM328" s="60"/>
      <c r="FN328" s="60"/>
      <c r="FO328" s="60"/>
      <c r="FP328" s="60"/>
      <c r="FQ328" s="60"/>
      <c r="FR328" s="60"/>
      <c r="FS328" s="60"/>
      <c r="FT328" s="60"/>
      <c r="FU328" s="60"/>
      <c r="FV328" s="60"/>
      <c r="FW328" s="60"/>
      <c r="FX328" s="60"/>
      <c r="FY328" s="60"/>
      <c r="FZ328" s="60"/>
      <c r="GA328" s="60"/>
      <c r="GB328" s="60"/>
      <c r="GC328" s="60"/>
      <c r="GD328" s="60"/>
      <c r="GE328" s="60"/>
      <c r="GF328" s="60"/>
      <c r="GG328" s="60"/>
      <c r="GH328" s="60"/>
      <c r="GI328" s="60"/>
      <c r="GJ328" s="60"/>
      <c r="GK328" s="60"/>
      <c r="GL328" s="60"/>
      <c r="GM328" s="60"/>
      <c r="GN328" s="60"/>
      <c r="GO328" s="60"/>
      <c r="GP328" s="60"/>
      <c r="GQ328" s="60"/>
      <c r="GR328" s="60"/>
      <c r="GS328" s="60"/>
      <c r="GT328" s="60"/>
      <c r="GU328" s="60"/>
      <c r="GV328" s="60"/>
      <c r="GW328" s="60"/>
      <c r="GX328" s="60"/>
      <c r="GY328" s="60"/>
      <c r="GZ328" s="60"/>
      <c r="HA328" s="60"/>
      <c r="HB328" s="60"/>
      <c r="HC328" s="60"/>
      <c r="HD328" s="60"/>
      <c r="HE328" s="60"/>
      <c r="HF328" s="60"/>
      <c r="HG328" s="60"/>
      <c r="HH328" s="60"/>
      <c r="HI328" s="60"/>
      <c r="HJ328" s="60"/>
      <c r="HK328" s="60"/>
      <c r="HL328" s="60"/>
    </row>
    <row r="329" spans="1:220" s="57" customFormat="1" ht="16.5" customHeight="1" x14ac:dyDescent="0.15">
      <c r="A329" s="97"/>
      <c r="B329" s="91" t="s">
        <v>719</v>
      </c>
      <c r="C329" s="101"/>
      <c r="D329" s="67" t="s">
        <v>332</v>
      </c>
      <c r="E329" s="53"/>
      <c r="F329" s="53"/>
      <c r="G329" s="88" t="s">
        <v>477</v>
      </c>
      <c r="H329" s="54"/>
      <c r="I329" s="54"/>
      <c r="J329" s="59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6"/>
      <c r="BR329" s="56"/>
      <c r="BS329" s="56"/>
      <c r="BT329" s="56"/>
      <c r="BU329" s="56"/>
      <c r="BV329" s="56"/>
      <c r="BW329" s="56"/>
      <c r="BX329" s="56"/>
      <c r="BY329" s="56"/>
      <c r="BZ329" s="56"/>
      <c r="CA329" s="56"/>
      <c r="CB329" s="56"/>
      <c r="CC329" s="56"/>
      <c r="CD329" s="56"/>
      <c r="CE329" s="56"/>
      <c r="CF329" s="56"/>
      <c r="CG329" s="56"/>
      <c r="CH329" s="56"/>
      <c r="CI329" s="56"/>
      <c r="CJ329" s="56"/>
      <c r="CK329" s="56"/>
      <c r="CL329" s="56"/>
      <c r="CM329" s="56"/>
      <c r="CN329" s="56"/>
      <c r="CO329" s="56"/>
      <c r="CP329" s="56"/>
      <c r="CQ329" s="56"/>
      <c r="CR329" s="56"/>
      <c r="CS329" s="56"/>
      <c r="CT329" s="56"/>
      <c r="CU329" s="56"/>
      <c r="CV329" s="56"/>
      <c r="CW329" s="56"/>
      <c r="CX329" s="56"/>
      <c r="CY329" s="56"/>
      <c r="CZ329" s="56"/>
      <c r="DA329" s="56"/>
      <c r="DB329" s="56"/>
      <c r="DC329" s="56"/>
      <c r="DD329" s="56"/>
      <c r="DE329" s="56"/>
      <c r="DF329" s="56"/>
      <c r="DG329" s="56"/>
      <c r="DH329" s="56"/>
      <c r="DI329" s="56"/>
      <c r="DJ329" s="56"/>
      <c r="DK329" s="56"/>
      <c r="DL329" s="56"/>
      <c r="DM329" s="56"/>
      <c r="DN329" s="56"/>
      <c r="DO329" s="56"/>
      <c r="DP329" s="56"/>
      <c r="DQ329" s="56"/>
      <c r="DR329" s="56"/>
      <c r="DS329" s="56"/>
      <c r="DT329" s="56"/>
      <c r="DU329" s="56"/>
      <c r="DV329" s="56"/>
      <c r="DW329" s="56"/>
      <c r="DX329" s="56"/>
      <c r="DY329" s="56"/>
      <c r="DZ329" s="56"/>
      <c r="EA329" s="56"/>
      <c r="EB329" s="56"/>
      <c r="EC329" s="56"/>
      <c r="ED329" s="56"/>
      <c r="EE329" s="56"/>
      <c r="EF329" s="56"/>
      <c r="EG329" s="56"/>
      <c r="EH329" s="56"/>
      <c r="EI329" s="56"/>
      <c r="EJ329" s="56"/>
      <c r="EK329" s="56"/>
      <c r="EL329" s="56"/>
      <c r="EM329" s="56"/>
      <c r="EN329" s="56"/>
      <c r="EO329" s="56"/>
      <c r="EP329" s="56"/>
      <c r="EQ329" s="56"/>
      <c r="ER329" s="56"/>
      <c r="ES329" s="56"/>
      <c r="ET329" s="56"/>
      <c r="EU329" s="56"/>
      <c r="EV329" s="56"/>
      <c r="EW329" s="56"/>
      <c r="EX329" s="56"/>
      <c r="EY329" s="56"/>
      <c r="EZ329" s="56"/>
      <c r="FA329" s="56"/>
      <c r="FB329" s="56"/>
      <c r="FC329" s="56"/>
      <c r="FD329" s="56"/>
      <c r="FE329" s="56"/>
      <c r="FF329" s="56"/>
      <c r="FG329" s="56"/>
      <c r="FH329" s="56"/>
      <c r="FI329" s="56"/>
      <c r="FJ329" s="56"/>
      <c r="FK329" s="56"/>
      <c r="FL329" s="56"/>
      <c r="FM329" s="56"/>
      <c r="FN329" s="56"/>
      <c r="FO329" s="56"/>
      <c r="FP329" s="56"/>
      <c r="FQ329" s="56"/>
      <c r="FR329" s="56"/>
      <c r="FS329" s="56"/>
      <c r="FT329" s="56"/>
      <c r="FU329" s="56"/>
      <c r="FV329" s="56"/>
      <c r="FW329" s="56"/>
      <c r="FX329" s="56"/>
      <c r="FY329" s="56"/>
      <c r="FZ329" s="56"/>
      <c r="GA329" s="56"/>
      <c r="GB329" s="56"/>
      <c r="GC329" s="56"/>
      <c r="GD329" s="56"/>
      <c r="GE329" s="56"/>
      <c r="GF329" s="56"/>
      <c r="GG329" s="56"/>
      <c r="GH329" s="56"/>
      <c r="GI329" s="56"/>
      <c r="GJ329" s="56"/>
      <c r="GK329" s="56"/>
      <c r="GL329" s="56"/>
      <c r="GM329" s="56"/>
      <c r="GN329" s="56"/>
      <c r="GO329" s="56"/>
      <c r="GP329" s="56"/>
      <c r="GQ329" s="56"/>
      <c r="GR329" s="56"/>
      <c r="GS329" s="56"/>
      <c r="GT329" s="56"/>
      <c r="GU329" s="56"/>
      <c r="GV329" s="56"/>
      <c r="GW329" s="56"/>
      <c r="GX329" s="56"/>
      <c r="GY329" s="56"/>
      <c r="GZ329" s="56"/>
      <c r="HA329" s="56"/>
      <c r="HB329" s="56"/>
      <c r="HC329" s="56"/>
      <c r="HD329" s="56"/>
      <c r="HE329" s="56"/>
      <c r="HF329" s="56"/>
      <c r="HG329" s="56"/>
      <c r="HH329" s="56"/>
      <c r="HI329" s="56"/>
      <c r="HJ329" s="56"/>
      <c r="HK329" s="56"/>
      <c r="HL329" s="56"/>
    </row>
    <row r="330" spans="1:220" s="53" customFormat="1" ht="16.5" customHeight="1" x14ac:dyDescent="0.15">
      <c r="A330" s="97"/>
      <c r="B330" s="91" t="s">
        <v>667</v>
      </c>
      <c r="C330" s="101"/>
      <c r="D330" s="67" t="s">
        <v>331</v>
      </c>
      <c r="G330" s="88" t="s">
        <v>477</v>
      </c>
      <c r="J330" s="59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0"/>
      <c r="BX330" s="60"/>
      <c r="BY330" s="60"/>
      <c r="BZ330" s="60"/>
      <c r="CA330" s="60"/>
      <c r="CB330" s="60"/>
      <c r="CC330" s="60"/>
      <c r="CD330" s="60"/>
      <c r="CE330" s="60"/>
      <c r="CF330" s="60"/>
      <c r="CG330" s="60"/>
      <c r="CH330" s="60"/>
      <c r="CI330" s="60"/>
      <c r="CJ330" s="60"/>
      <c r="CK330" s="60"/>
      <c r="CL330" s="60"/>
      <c r="CM330" s="60"/>
      <c r="CN330" s="60"/>
      <c r="CO330" s="60"/>
      <c r="CP330" s="60"/>
      <c r="CQ330" s="60"/>
      <c r="CR330" s="60"/>
      <c r="CS330" s="60"/>
      <c r="CT330" s="60"/>
      <c r="CU330" s="60"/>
      <c r="CV330" s="60"/>
      <c r="CW330" s="60"/>
      <c r="CX330" s="60"/>
      <c r="CY330" s="60"/>
      <c r="CZ330" s="60"/>
      <c r="DA330" s="60"/>
      <c r="DB330" s="60"/>
      <c r="DC330" s="60"/>
      <c r="DD330" s="60"/>
      <c r="DE330" s="60"/>
      <c r="DF330" s="60"/>
      <c r="DG330" s="60"/>
      <c r="DH330" s="60"/>
      <c r="DI330" s="60"/>
      <c r="DJ330" s="60"/>
      <c r="DK330" s="60"/>
      <c r="DL330" s="60"/>
      <c r="DM330" s="60"/>
      <c r="DN330" s="60"/>
      <c r="DO330" s="60"/>
      <c r="DP330" s="60"/>
      <c r="DQ330" s="60"/>
      <c r="DR330" s="60"/>
      <c r="DS330" s="60"/>
      <c r="DT330" s="60"/>
      <c r="DU330" s="60"/>
      <c r="DV330" s="60"/>
      <c r="DW330" s="60"/>
      <c r="DX330" s="60"/>
      <c r="DY330" s="60"/>
      <c r="DZ330" s="60"/>
      <c r="EA330" s="60"/>
      <c r="EB330" s="60"/>
      <c r="EC330" s="60"/>
      <c r="ED330" s="60"/>
      <c r="EE330" s="60"/>
      <c r="EF330" s="60"/>
      <c r="EG330" s="60"/>
      <c r="EH330" s="60"/>
      <c r="EI330" s="60"/>
      <c r="EJ330" s="60"/>
      <c r="EK330" s="60"/>
      <c r="EL330" s="60"/>
      <c r="EM330" s="60"/>
      <c r="EN330" s="60"/>
      <c r="EO330" s="60"/>
      <c r="EP330" s="60"/>
      <c r="EQ330" s="60"/>
      <c r="ER330" s="60"/>
      <c r="ES330" s="60"/>
      <c r="ET330" s="60"/>
      <c r="EU330" s="60"/>
      <c r="EV330" s="60"/>
      <c r="EW330" s="60"/>
      <c r="EX330" s="60"/>
      <c r="EY330" s="60"/>
      <c r="EZ330" s="60"/>
      <c r="FA330" s="60"/>
      <c r="FB330" s="60"/>
      <c r="FC330" s="60"/>
      <c r="FD330" s="60"/>
      <c r="FE330" s="60"/>
      <c r="FF330" s="60"/>
      <c r="FG330" s="60"/>
      <c r="FH330" s="60"/>
      <c r="FI330" s="60"/>
      <c r="FJ330" s="60"/>
      <c r="FK330" s="60"/>
      <c r="FL330" s="60"/>
      <c r="FM330" s="60"/>
      <c r="FN330" s="60"/>
      <c r="FO330" s="60"/>
      <c r="FP330" s="60"/>
      <c r="FQ330" s="60"/>
      <c r="FR330" s="60"/>
      <c r="FS330" s="60"/>
      <c r="FT330" s="60"/>
      <c r="FU330" s="60"/>
      <c r="FV330" s="60"/>
      <c r="FW330" s="60"/>
      <c r="FX330" s="60"/>
      <c r="FY330" s="60"/>
      <c r="FZ330" s="60"/>
      <c r="GA330" s="60"/>
      <c r="GB330" s="60"/>
      <c r="GC330" s="60"/>
      <c r="GD330" s="60"/>
      <c r="GE330" s="60"/>
      <c r="GF330" s="60"/>
      <c r="GG330" s="60"/>
      <c r="GH330" s="60"/>
      <c r="GI330" s="60"/>
      <c r="GJ330" s="60"/>
      <c r="GK330" s="60"/>
      <c r="GL330" s="60"/>
      <c r="GM330" s="60"/>
      <c r="GN330" s="60"/>
      <c r="GO330" s="60"/>
      <c r="GP330" s="60"/>
      <c r="GQ330" s="60"/>
      <c r="GR330" s="60"/>
      <c r="GS330" s="60"/>
      <c r="GT330" s="60"/>
      <c r="GU330" s="60"/>
      <c r="GV330" s="60"/>
      <c r="GW330" s="60"/>
      <c r="GX330" s="60"/>
      <c r="GY330" s="60"/>
      <c r="GZ330" s="60"/>
      <c r="HA330" s="60"/>
      <c r="HB330" s="60"/>
      <c r="HC330" s="60"/>
      <c r="HD330" s="60"/>
      <c r="HE330" s="60"/>
      <c r="HF330" s="60"/>
      <c r="HG330" s="60"/>
      <c r="HH330" s="60"/>
      <c r="HI330" s="60"/>
      <c r="HJ330" s="60"/>
      <c r="HK330" s="60"/>
      <c r="HL330" s="60"/>
    </row>
    <row r="331" spans="1:220" s="53" customFormat="1" ht="16.5" customHeight="1" x14ac:dyDescent="0.15">
      <c r="A331" s="97"/>
      <c r="B331" s="91" t="s">
        <v>668</v>
      </c>
      <c r="C331" s="101"/>
      <c r="D331" s="67" t="s">
        <v>334</v>
      </c>
      <c r="G331" s="88" t="s">
        <v>477</v>
      </c>
      <c r="J331" s="59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  <c r="BX331" s="60"/>
      <c r="BY331" s="60"/>
      <c r="BZ331" s="60"/>
      <c r="CA331" s="60"/>
      <c r="CB331" s="60"/>
      <c r="CC331" s="60"/>
      <c r="CD331" s="60"/>
      <c r="CE331" s="60"/>
      <c r="CF331" s="60"/>
      <c r="CG331" s="60"/>
      <c r="CH331" s="60"/>
      <c r="CI331" s="60"/>
      <c r="CJ331" s="60"/>
      <c r="CK331" s="60"/>
      <c r="CL331" s="60"/>
      <c r="CM331" s="60"/>
      <c r="CN331" s="60"/>
      <c r="CO331" s="60"/>
      <c r="CP331" s="60"/>
      <c r="CQ331" s="60"/>
      <c r="CR331" s="60"/>
      <c r="CS331" s="60"/>
      <c r="CT331" s="60"/>
      <c r="CU331" s="60"/>
      <c r="CV331" s="60"/>
      <c r="CW331" s="60"/>
      <c r="CX331" s="60"/>
      <c r="CY331" s="60"/>
      <c r="CZ331" s="60"/>
      <c r="DA331" s="60"/>
      <c r="DB331" s="60"/>
      <c r="DC331" s="60"/>
      <c r="DD331" s="60"/>
      <c r="DE331" s="60"/>
      <c r="DF331" s="60"/>
      <c r="DG331" s="60"/>
      <c r="DH331" s="60"/>
      <c r="DI331" s="60"/>
      <c r="DJ331" s="60"/>
      <c r="DK331" s="60"/>
      <c r="DL331" s="60"/>
      <c r="DM331" s="60"/>
      <c r="DN331" s="60"/>
      <c r="DO331" s="60"/>
      <c r="DP331" s="60"/>
      <c r="DQ331" s="60"/>
      <c r="DR331" s="60"/>
      <c r="DS331" s="60"/>
      <c r="DT331" s="60"/>
      <c r="DU331" s="60"/>
      <c r="DV331" s="60"/>
      <c r="DW331" s="60"/>
      <c r="DX331" s="60"/>
      <c r="DY331" s="60"/>
      <c r="DZ331" s="60"/>
      <c r="EA331" s="60"/>
      <c r="EB331" s="60"/>
      <c r="EC331" s="60"/>
      <c r="ED331" s="60"/>
      <c r="EE331" s="60"/>
      <c r="EF331" s="60"/>
      <c r="EG331" s="60"/>
      <c r="EH331" s="60"/>
      <c r="EI331" s="60"/>
      <c r="EJ331" s="60"/>
      <c r="EK331" s="60"/>
      <c r="EL331" s="60"/>
      <c r="EM331" s="60"/>
      <c r="EN331" s="60"/>
      <c r="EO331" s="60"/>
      <c r="EP331" s="60"/>
      <c r="EQ331" s="60"/>
      <c r="ER331" s="60"/>
      <c r="ES331" s="60"/>
      <c r="ET331" s="60"/>
      <c r="EU331" s="60"/>
      <c r="EV331" s="60"/>
      <c r="EW331" s="60"/>
      <c r="EX331" s="60"/>
      <c r="EY331" s="60"/>
      <c r="EZ331" s="60"/>
      <c r="FA331" s="60"/>
      <c r="FB331" s="60"/>
      <c r="FC331" s="60"/>
      <c r="FD331" s="60"/>
      <c r="FE331" s="60"/>
      <c r="FF331" s="60"/>
      <c r="FG331" s="60"/>
      <c r="FH331" s="60"/>
      <c r="FI331" s="60"/>
      <c r="FJ331" s="60"/>
      <c r="FK331" s="60"/>
      <c r="FL331" s="60"/>
      <c r="FM331" s="60"/>
      <c r="FN331" s="60"/>
      <c r="FO331" s="60"/>
      <c r="FP331" s="60"/>
      <c r="FQ331" s="60"/>
      <c r="FR331" s="60"/>
      <c r="FS331" s="60"/>
      <c r="FT331" s="60"/>
      <c r="FU331" s="60"/>
      <c r="FV331" s="60"/>
      <c r="FW331" s="60"/>
      <c r="FX331" s="60"/>
      <c r="FY331" s="60"/>
      <c r="FZ331" s="60"/>
      <c r="GA331" s="60"/>
      <c r="GB331" s="60"/>
      <c r="GC331" s="60"/>
      <c r="GD331" s="60"/>
      <c r="GE331" s="60"/>
      <c r="GF331" s="60"/>
      <c r="GG331" s="60"/>
      <c r="GH331" s="60"/>
      <c r="GI331" s="60"/>
      <c r="GJ331" s="60"/>
      <c r="GK331" s="60"/>
      <c r="GL331" s="60"/>
      <c r="GM331" s="60"/>
      <c r="GN331" s="60"/>
      <c r="GO331" s="60"/>
      <c r="GP331" s="60"/>
      <c r="GQ331" s="60"/>
      <c r="GR331" s="60"/>
      <c r="GS331" s="60"/>
      <c r="GT331" s="60"/>
      <c r="GU331" s="60"/>
      <c r="GV331" s="60"/>
      <c r="GW331" s="60"/>
      <c r="GX331" s="60"/>
      <c r="GY331" s="60"/>
      <c r="GZ331" s="60"/>
      <c r="HA331" s="60"/>
      <c r="HB331" s="60"/>
      <c r="HC331" s="60"/>
      <c r="HD331" s="60"/>
      <c r="HE331" s="60"/>
      <c r="HF331" s="60"/>
      <c r="HG331" s="60"/>
      <c r="HH331" s="60"/>
      <c r="HI331" s="60"/>
      <c r="HJ331" s="60"/>
      <c r="HK331" s="60"/>
      <c r="HL331" s="60"/>
    </row>
    <row r="332" spans="1:220" s="53" customFormat="1" ht="16.5" customHeight="1" x14ac:dyDescent="0.15">
      <c r="A332" s="97"/>
      <c r="B332" s="91" t="s">
        <v>669</v>
      </c>
      <c r="C332" s="103"/>
      <c r="D332" s="67" t="s">
        <v>322</v>
      </c>
      <c r="G332" s="88" t="s">
        <v>477</v>
      </c>
      <c r="J332" s="59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0"/>
      <c r="BX332" s="60"/>
      <c r="BY332" s="60"/>
      <c r="BZ332" s="60"/>
      <c r="CA332" s="60"/>
      <c r="CB332" s="60"/>
      <c r="CC332" s="60"/>
      <c r="CD332" s="60"/>
      <c r="CE332" s="60"/>
      <c r="CF332" s="60"/>
      <c r="CG332" s="60"/>
      <c r="CH332" s="60"/>
      <c r="CI332" s="60"/>
      <c r="CJ332" s="60"/>
      <c r="CK332" s="60"/>
      <c r="CL332" s="60"/>
      <c r="CM332" s="60"/>
      <c r="CN332" s="60"/>
      <c r="CO332" s="60"/>
      <c r="CP332" s="60"/>
      <c r="CQ332" s="60"/>
      <c r="CR332" s="60"/>
      <c r="CS332" s="60"/>
      <c r="CT332" s="60"/>
      <c r="CU332" s="60"/>
      <c r="CV332" s="60"/>
      <c r="CW332" s="60"/>
      <c r="CX332" s="60"/>
      <c r="CY332" s="60"/>
      <c r="CZ332" s="60"/>
      <c r="DA332" s="60"/>
      <c r="DB332" s="60"/>
      <c r="DC332" s="60"/>
      <c r="DD332" s="60"/>
      <c r="DE332" s="60"/>
      <c r="DF332" s="60"/>
      <c r="DG332" s="60"/>
      <c r="DH332" s="60"/>
      <c r="DI332" s="60"/>
      <c r="DJ332" s="60"/>
      <c r="DK332" s="60"/>
      <c r="DL332" s="60"/>
      <c r="DM332" s="60"/>
      <c r="DN332" s="60"/>
      <c r="DO332" s="60"/>
      <c r="DP332" s="60"/>
      <c r="DQ332" s="60"/>
      <c r="DR332" s="60"/>
      <c r="DS332" s="60"/>
      <c r="DT332" s="60"/>
      <c r="DU332" s="60"/>
      <c r="DV332" s="60"/>
      <c r="DW332" s="60"/>
      <c r="DX332" s="60"/>
      <c r="DY332" s="60"/>
      <c r="DZ332" s="60"/>
      <c r="EA332" s="60"/>
      <c r="EB332" s="60"/>
      <c r="EC332" s="60"/>
      <c r="ED332" s="60"/>
      <c r="EE332" s="60"/>
      <c r="EF332" s="60"/>
      <c r="EG332" s="60"/>
      <c r="EH332" s="60"/>
      <c r="EI332" s="60"/>
      <c r="EJ332" s="60"/>
      <c r="EK332" s="60"/>
      <c r="EL332" s="60"/>
      <c r="EM332" s="60"/>
      <c r="EN332" s="60"/>
      <c r="EO332" s="60"/>
      <c r="EP332" s="60"/>
      <c r="EQ332" s="60"/>
      <c r="ER332" s="60"/>
      <c r="ES332" s="60"/>
      <c r="ET332" s="60"/>
      <c r="EU332" s="60"/>
      <c r="EV332" s="60"/>
      <c r="EW332" s="60"/>
      <c r="EX332" s="60"/>
      <c r="EY332" s="60"/>
      <c r="EZ332" s="60"/>
      <c r="FA332" s="60"/>
      <c r="FB332" s="60"/>
      <c r="FC332" s="60"/>
      <c r="FD332" s="60"/>
      <c r="FE332" s="60"/>
      <c r="FF332" s="60"/>
      <c r="FG332" s="60"/>
      <c r="FH332" s="60"/>
      <c r="FI332" s="60"/>
      <c r="FJ332" s="60"/>
      <c r="FK332" s="60"/>
      <c r="FL332" s="60"/>
      <c r="FM332" s="60"/>
      <c r="FN332" s="60"/>
      <c r="FO332" s="60"/>
      <c r="FP332" s="60"/>
      <c r="FQ332" s="60"/>
      <c r="FR332" s="60"/>
      <c r="FS332" s="60"/>
      <c r="FT332" s="60"/>
      <c r="FU332" s="60"/>
      <c r="FV332" s="60"/>
      <c r="FW332" s="60"/>
      <c r="FX332" s="60"/>
      <c r="FY332" s="60"/>
      <c r="FZ332" s="60"/>
      <c r="GA332" s="60"/>
      <c r="GB332" s="60"/>
      <c r="GC332" s="60"/>
      <c r="GD332" s="60"/>
      <c r="GE332" s="60"/>
      <c r="GF332" s="60"/>
      <c r="GG332" s="60"/>
      <c r="GH332" s="60"/>
      <c r="GI332" s="60"/>
      <c r="GJ332" s="60"/>
      <c r="GK332" s="60"/>
      <c r="GL332" s="60"/>
      <c r="GM332" s="60"/>
      <c r="GN332" s="60"/>
      <c r="GO332" s="60"/>
      <c r="GP332" s="60"/>
      <c r="GQ332" s="60"/>
      <c r="GR332" s="60"/>
      <c r="GS332" s="60"/>
      <c r="GT332" s="60"/>
      <c r="GU332" s="60"/>
      <c r="GV332" s="60"/>
      <c r="GW332" s="60"/>
      <c r="GX332" s="60"/>
      <c r="GY332" s="60"/>
      <c r="GZ332" s="60"/>
      <c r="HA332" s="60"/>
      <c r="HB332" s="60"/>
      <c r="HC332" s="60"/>
      <c r="HD332" s="60"/>
      <c r="HE332" s="60"/>
      <c r="HF332" s="60"/>
      <c r="HG332" s="60"/>
      <c r="HH332" s="60"/>
      <c r="HI332" s="60"/>
      <c r="HJ332" s="60"/>
      <c r="HK332" s="60"/>
      <c r="HL332" s="60"/>
    </row>
    <row r="333" spans="1:220" s="20" customFormat="1" x14ac:dyDescent="0.15">
      <c r="A333" s="104" t="s">
        <v>233</v>
      </c>
      <c r="B333" s="105"/>
      <c r="C333" s="105"/>
      <c r="D333" s="105"/>
      <c r="E333" s="105"/>
      <c r="F333" s="105"/>
      <c r="G333" s="105"/>
      <c r="H333" s="105"/>
      <c r="I333" s="105"/>
      <c r="J333" s="10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6"/>
      <c r="EF333" s="16"/>
      <c r="EG333" s="16"/>
      <c r="EH333" s="16"/>
      <c r="EI333" s="16"/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6"/>
      <c r="EU333" s="16"/>
      <c r="EV333" s="16"/>
      <c r="EW333" s="16"/>
      <c r="EX333" s="16"/>
      <c r="EY333" s="16"/>
      <c r="EZ333" s="16"/>
      <c r="FA333" s="16"/>
      <c r="FB333" s="16"/>
      <c r="FC333" s="16"/>
      <c r="FD333" s="16"/>
      <c r="FE333" s="16"/>
      <c r="FF333" s="16"/>
      <c r="FG333" s="16"/>
      <c r="FH333" s="16"/>
      <c r="FI333" s="16"/>
      <c r="FJ333" s="16"/>
      <c r="FK333" s="16"/>
      <c r="FL333" s="16"/>
      <c r="FM333" s="16"/>
      <c r="FN333" s="16"/>
      <c r="FO333" s="16"/>
      <c r="FP333" s="16"/>
      <c r="FQ333" s="16"/>
      <c r="FR333" s="16"/>
      <c r="FS333" s="16"/>
      <c r="FT333" s="16"/>
      <c r="FU333" s="16"/>
      <c r="FV333" s="16"/>
      <c r="FW333" s="16"/>
      <c r="FX333" s="16"/>
      <c r="FY333" s="16"/>
      <c r="FZ333" s="16"/>
      <c r="GA333" s="16"/>
      <c r="GB333" s="16"/>
      <c r="GC333" s="16"/>
      <c r="GD333" s="16"/>
      <c r="GE333" s="16"/>
      <c r="GF333" s="16"/>
      <c r="GG333" s="16"/>
      <c r="GH333" s="16"/>
      <c r="GI333" s="16"/>
      <c r="GJ333" s="16"/>
      <c r="GK333" s="16"/>
      <c r="GL333" s="16"/>
      <c r="GM333" s="16"/>
      <c r="GN333" s="16"/>
      <c r="GO333" s="16"/>
      <c r="GP333" s="16"/>
      <c r="GQ333" s="16"/>
      <c r="GR333" s="16"/>
      <c r="GS333" s="16"/>
      <c r="GT333" s="16"/>
      <c r="GU333" s="16"/>
      <c r="GV333" s="16"/>
      <c r="GW333" s="16"/>
      <c r="GX333" s="16"/>
      <c r="GY333" s="16"/>
      <c r="GZ333" s="16"/>
      <c r="HA333" s="16"/>
      <c r="HB333" s="16"/>
      <c r="HC333" s="16"/>
      <c r="HD333" s="16"/>
      <c r="HE333" s="16"/>
      <c r="HF333" s="16"/>
      <c r="HG333" s="16"/>
      <c r="HH333" s="16"/>
      <c r="HI333" s="16"/>
      <c r="HJ333" s="16"/>
      <c r="HK333" s="16"/>
      <c r="HL333" s="16"/>
    </row>
    <row r="334" spans="1:220" ht="13.5" customHeight="1" x14ac:dyDescent="0.15">
      <c r="A334" s="12" t="s">
        <v>28</v>
      </c>
      <c r="B334" s="49" t="s">
        <v>29</v>
      </c>
      <c r="C334" s="13" t="s">
        <v>0</v>
      </c>
      <c r="D334" s="7" t="s">
        <v>30</v>
      </c>
      <c r="E334" s="49" t="s">
        <v>31</v>
      </c>
      <c r="F334" s="49" t="s">
        <v>32</v>
      </c>
      <c r="G334" s="107" t="s">
        <v>35</v>
      </c>
      <c r="H334" s="107"/>
      <c r="I334" s="107"/>
      <c r="J334" s="29" t="s">
        <v>10</v>
      </c>
    </row>
    <row r="335" spans="1:220" s="53" customFormat="1" ht="16.5" customHeight="1" x14ac:dyDescent="0.15">
      <c r="A335" s="98" t="s">
        <v>225</v>
      </c>
      <c r="B335" s="58" t="s">
        <v>720</v>
      </c>
      <c r="C335" s="100" t="s">
        <v>242</v>
      </c>
      <c r="D335" s="64" t="s">
        <v>243</v>
      </c>
      <c r="G335" s="88" t="s">
        <v>477</v>
      </c>
      <c r="H335" s="54"/>
      <c r="I335" s="54"/>
      <c r="J335" s="59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0"/>
      <c r="CD335" s="60"/>
      <c r="CE335" s="60"/>
      <c r="CF335" s="60"/>
      <c r="CG335" s="60"/>
      <c r="CH335" s="60"/>
      <c r="CI335" s="60"/>
      <c r="CJ335" s="60"/>
      <c r="CK335" s="60"/>
      <c r="CL335" s="60"/>
      <c r="CM335" s="60"/>
      <c r="CN335" s="60"/>
      <c r="CO335" s="60"/>
      <c r="CP335" s="60"/>
      <c r="CQ335" s="60"/>
      <c r="CR335" s="60"/>
      <c r="CS335" s="60"/>
      <c r="CT335" s="60"/>
      <c r="CU335" s="60"/>
      <c r="CV335" s="60"/>
      <c r="CW335" s="60"/>
      <c r="CX335" s="60"/>
      <c r="CY335" s="60"/>
      <c r="CZ335" s="60"/>
      <c r="DA335" s="60"/>
      <c r="DB335" s="60"/>
      <c r="DC335" s="60"/>
      <c r="DD335" s="60"/>
      <c r="DE335" s="60"/>
      <c r="DF335" s="60"/>
      <c r="DG335" s="60"/>
      <c r="DH335" s="60"/>
      <c r="DI335" s="60"/>
      <c r="DJ335" s="60"/>
      <c r="DK335" s="60"/>
      <c r="DL335" s="60"/>
      <c r="DM335" s="60"/>
      <c r="DN335" s="60"/>
      <c r="DO335" s="60"/>
      <c r="DP335" s="60"/>
      <c r="DQ335" s="60"/>
      <c r="DR335" s="60"/>
      <c r="DS335" s="60"/>
      <c r="DT335" s="60"/>
      <c r="DU335" s="60"/>
      <c r="DV335" s="60"/>
      <c r="DW335" s="60"/>
      <c r="DX335" s="60"/>
      <c r="DY335" s="60"/>
      <c r="DZ335" s="60"/>
      <c r="EA335" s="60"/>
      <c r="EB335" s="60"/>
      <c r="EC335" s="60"/>
      <c r="ED335" s="60"/>
      <c r="EE335" s="60"/>
      <c r="EF335" s="60"/>
      <c r="EG335" s="60"/>
      <c r="EH335" s="60"/>
      <c r="EI335" s="60"/>
      <c r="EJ335" s="60"/>
      <c r="EK335" s="60"/>
      <c r="EL335" s="60"/>
      <c r="EM335" s="60"/>
      <c r="EN335" s="60"/>
      <c r="EO335" s="60"/>
      <c r="EP335" s="60"/>
      <c r="EQ335" s="60"/>
      <c r="ER335" s="60"/>
      <c r="ES335" s="60"/>
      <c r="ET335" s="60"/>
      <c r="EU335" s="60"/>
      <c r="EV335" s="60"/>
      <c r="EW335" s="60"/>
      <c r="EX335" s="60"/>
      <c r="EY335" s="60"/>
      <c r="EZ335" s="60"/>
      <c r="FA335" s="60"/>
      <c r="FB335" s="60"/>
      <c r="FC335" s="60"/>
      <c r="FD335" s="60"/>
      <c r="FE335" s="60"/>
      <c r="FF335" s="60"/>
      <c r="FG335" s="60"/>
      <c r="FH335" s="60"/>
      <c r="FI335" s="60"/>
      <c r="FJ335" s="60"/>
      <c r="FK335" s="60"/>
      <c r="FL335" s="60"/>
      <c r="FM335" s="60"/>
      <c r="FN335" s="60"/>
      <c r="FO335" s="60"/>
      <c r="FP335" s="60"/>
      <c r="FQ335" s="60"/>
      <c r="FR335" s="60"/>
      <c r="FS335" s="60"/>
      <c r="FT335" s="60"/>
      <c r="FU335" s="60"/>
      <c r="FV335" s="60"/>
      <c r="FW335" s="60"/>
      <c r="FX335" s="60"/>
      <c r="FY335" s="60"/>
      <c r="FZ335" s="60"/>
      <c r="GA335" s="60"/>
      <c r="GB335" s="60"/>
      <c r="GC335" s="60"/>
      <c r="GD335" s="60"/>
      <c r="GE335" s="60"/>
      <c r="GF335" s="60"/>
      <c r="GG335" s="60"/>
      <c r="GH335" s="60"/>
      <c r="GI335" s="60"/>
      <c r="GJ335" s="60"/>
      <c r="GK335" s="60"/>
      <c r="GL335" s="60"/>
      <c r="GM335" s="60"/>
      <c r="GN335" s="60"/>
      <c r="GO335" s="60"/>
      <c r="GP335" s="60"/>
      <c r="GQ335" s="60"/>
      <c r="GR335" s="60"/>
      <c r="GS335" s="60"/>
      <c r="GT335" s="60"/>
      <c r="GU335" s="60"/>
      <c r="GV335" s="60"/>
      <c r="GW335" s="60"/>
      <c r="GX335" s="60"/>
      <c r="GY335" s="60"/>
      <c r="GZ335" s="60"/>
      <c r="HA335" s="60"/>
      <c r="HB335" s="60"/>
      <c r="HC335" s="60"/>
      <c r="HD335" s="60"/>
      <c r="HE335" s="60"/>
      <c r="HF335" s="60"/>
      <c r="HG335" s="60"/>
      <c r="HH335" s="60"/>
      <c r="HI335" s="60"/>
      <c r="HJ335" s="60"/>
      <c r="HK335" s="60"/>
      <c r="HL335" s="60"/>
    </row>
    <row r="336" spans="1:220" s="61" customFormat="1" ht="16.5" customHeight="1" x14ac:dyDescent="0.15">
      <c r="A336" s="99"/>
      <c r="B336" s="91" t="s">
        <v>670</v>
      </c>
      <c r="C336" s="103"/>
      <c r="D336" s="53" t="s">
        <v>241</v>
      </c>
      <c r="E336" s="53"/>
      <c r="F336" s="53"/>
      <c r="G336" s="88" t="s">
        <v>477</v>
      </c>
      <c r="H336" s="54"/>
      <c r="I336" s="54"/>
      <c r="J336" s="53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  <c r="BX336" s="60"/>
      <c r="BY336" s="60"/>
      <c r="BZ336" s="60"/>
      <c r="CA336" s="60"/>
      <c r="CB336" s="60"/>
      <c r="CC336" s="60"/>
      <c r="CD336" s="60"/>
      <c r="CE336" s="60"/>
      <c r="CF336" s="60"/>
      <c r="CG336" s="60"/>
      <c r="CH336" s="60"/>
      <c r="CI336" s="60"/>
      <c r="CJ336" s="60"/>
      <c r="CK336" s="60"/>
      <c r="CL336" s="60"/>
      <c r="CM336" s="60"/>
      <c r="CN336" s="60"/>
      <c r="CO336" s="60"/>
      <c r="CP336" s="60"/>
      <c r="CQ336" s="60"/>
      <c r="CR336" s="60"/>
      <c r="CS336" s="60"/>
      <c r="CT336" s="60"/>
      <c r="CU336" s="60"/>
      <c r="CV336" s="60"/>
      <c r="CW336" s="60"/>
      <c r="CX336" s="60"/>
      <c r="CY336" s="60"/>
      <c r="CZ336" s="60"/>
      <c r="DA336" s="60"/>
      <c r="DB336" s="60"/>
      <c r="DC336" s="60"/>
      <c r="DD336" s="60"/>
      <c r="DE336" s="60"/>
      <c r="DF336" s="60"/>
      <c r="DG336" s="60"/>
      <c r="DH336" s="60"/>
      <c r="DI336" s="60"/>
      <c r="DJ336" s="60"/>
      <c r="DK336" s="60"/>
      <c r="DL336" s="60"/>
      <c r="DM336" s="60"/>
      <c r="DN336" s="60"/>
      <c r="DO336" s="60"/>
      <c r="DP336" s="60"/>
      <c r="DQ336" s="60"/>
      <c r="DR336" s="60"/>
      <c r="DS336" s="60"/>
      <c r="DT336" s="60"/>
      <c r="DU336" s="60"/>
      <c r="DV336" s="60"/>
      <c r="DW336" s="60"/>
      <c r="DX336" s="60"/>
      <c r="DY336" s="60"/>
      <c r="DZ336" s="60"/>
      <c r="EA336" s="60"/>
      <c r="EB336" s="60"/>
      <c r="EC336" s="60"/>
      <c r="ED336" s="60"/>
      <c r="EE336" s="60"/>
      <c r="EF336" s="60"/>
      <c r="EG336" s="60"/>
      <c r="EH336" s="60"/>
      <c r="EI336" s="60"/>
      <c r="EJ336" s="60"/>
      <c r="EK336" s="60"/>
      <c r="EL336" s="60"/>
      <c r="EM336" s="60"/>
      <c r="EN336" s="60"/>
      <c r="EO336" s="60"/>
      <c r="EP336" s="60"/>
      <c r="EQ336" s="60"/>
      <c r="ER336" s="60"/>
      <c r="ES336" s="60"/>
      <c r="ET336" s="60"/>
      <c r="EU336" s="60"/>
      <c r="EV336" s="60"/>
      <c r="EW336" s="60"/>
      <c r="EX336" s="60"/>
      <c r="EY336" s="60"/>
      <c r="EZ336" s="60"/>
      <c r="FA336" s="60"/>
      <c r="FB336" s="60"/>
      <c r="FC336" s="60"/>
      <c r="FD336" s="60"/>
      <c r="FE336" s="60"/>
      <c r="FF336" s="60"/>
      <c r="FG336" s="60"/>
      <c r="FH336" s="60"/>
      <c r="FI336" s="60"/>
      <c r="FJ336" s="60"/>
      <c r="FK336" s="60"/>
      <c r="FL336" s="60"/>
      <c r="FM336" s="60"/>
      <c r="FN336" s="60"/>
      <c r="FO336" s="60"/>
      <c r="FP336" s="60"/>
      <c r="FQ336" s="60"/>
      <c r="FR336" s="60"/>
      <c r="FS336" s="60"/>
      <c r="FT336" s="60"/>
      <c r="FU336" s="60"/>
      <c r="FV336" s="60"/>
      <c r="FW336" s="60"/>
      <c r="FX336" s="60"/>
      <c r="FY336" s="60"/>
      <c r="FZ336" s="60"/>
      <c r="GA336" s="60"/>
      <c r="GB336" s="60"/>
      <c r="GC336" s="60"/>
      <c r="GD336" s="60"/>
      <c r="GE336" s="60"/>
      <c r="GF336" s="60"/>
      <c r="GG336" s="60"/>
      <c r="GH336" s="60"/>
      <c r="GI336" s="60"/>
      <c r="GJ336" s="60"/>
      <c r="GK336" s="60"/>
      <c r="GL336" s="60"/>
      <c r="GM336" s="60"/>
      <c r="GN336" s="60"/>
      <c r="GO336" s="60"/>
      <c r="GP336" s="60"/>
      <c r="GQ336" s="60"/>
      <c r="GR336" s="60"/>
      <c r="GS336" s="60"/>
      <c r="GT336" s="60"/>
      <c r="GU336" s="60"/>
      <c r="GV336" s="60"/>
      <c r="GW336" s="60"/>
      <c r="GX336" s="60"/>
      <c r="GY336" s="60"/>
      <c r="GZ336" s="60"/>
      <c r="HA336" s="60"/>
      <c r="HB336" s="60"/>
      <c r="HC336" s="60"/>
      <c r="HD336" s="60"/>
      <c r="HE336" s="60"/>
      <c r="HF336" s="60"/>
      <c r="HG336" s="60"/>
      <c r="HH336" s="60"/>
      <c r="HI336" s="60"/>
      <c r="HJ336" s="60"/>
      <c r="HK336" s="60"/>
      <c r="HL336" s="60"/>
    </row>
    <row r="337" spans="1:220" s="57" customFormat="1" ht="16.5" customHeight="1" x14ac:dyDescent="0.15">
      <c r="A337" s="99"/>
      <c r="B337" s="91" t="s">
        <v>671</v>
      </c>
      <c r="C337" s="100" t="s">
        <v>244</v>
      </c>
      <c r="D337" s="64" t="s">
        <v>245</v>
      </c>
      <c r="E337" s="53"/>
      <c r="F337" s="53"/>
      <c r="G337" s="88" t="s">
        <v>477</v>
      </c>
      <c r="H337" s="54"/>
      <c r="I337" s="54"/>
      <c r="J337" s="59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6"/>
      <c r="BR337" s="56"/>
      <c r="BS337" s="56"/>
      <c r="BT337" s="56"/>
      <c r="BU337" s="56"/>
      <c r="BV337" s="56"/>
      <c r="BW337" s="56"/>
      <c r="BX337" s="56"/>
      <c r="BY337" s="56"/>
      <c r="BZ337" s="56"/>
      <c r="CA337" s="56"/>
      <c r="CB337" s="56"/>
      <c r="CC337" s="56"/>
      <c r="CD337" s="56"/>
      <c r="CE337" s="56"/>
      <c r="CF337" s="56"/>
      <c r="CG337" s="56"/>
      <c r="CH337" s="56"/>
      <c r="CI337" s="56"/>
      <c r="CJ337" s="56"/>
      <c r="CK337" s="56"/>
      <c r="CL337" s="56"/>
      <c r="CM337" s="56"/>
      <c r="CN337" s="56"/>
      <c r="CO337" s="56"/>
      <c r="CP337" s="56"/>
      <c r="CQ337" s="56"/>
      <c r="CR337" s="56"/>
      <c r="CS337" s="56"/>
      <c r="CT337" s="56"/>
      <c r="CU337" s="56"/>
      <c r="CV337" s="56"/>
      <c r="CW337" s="56"/>
      <c r="CX337" s="56"/>
      <c r="CY337" s="56"/>
      <c r="CZ337" s="56"/>
      <c r="DA337" s="56"/>
      <c r="DB337" s="56"/>
      <c r="DC337" s="56"/>
      <c r="DD337" s="56"/>
      <c r="DE337" s="56"/>
      <c r="DF337" s="56"/>
      <c r="DG337" s="56"/>
      <c r="DH337" s="56"/>
      <c r="DI337" s="56"/>
      <c r="DJ337" s="56"/>
      <c r="DK337" s="56"/>
      <c r="DL337" s="56"/>
      <c r="DM337" s="56"/>
      <c r="DN337" s="56"/>
      <c r="DO337" s="56"/>
      <c r="DP337" s="56"/>
      <c r="DQ337" s="56"/>
      <c r="DR337" s="56"/>
      <c r="DS337" s="56"/>
      <c r="DT337" s="56"/>
      <c r="DU337" s="56"/>
      <c r="DV337" s="56"/>
      <c r="DW337" s="56"/>
      <c r="DX337" s="56"/>
      <c r="DY337" s="56"/>
      <c r="DZ337" s="56"/>
      <c r="EA337" s="56"/>
      <c r="EB337" s="56"/>
      <c r="EC337" s="56"/>
      <c r="ED337" s="56"/>
      <c r="EE337" s="56"/>
      <c r="EF337" s="56"/>
      <c r="EG337" s="56"/>
      <c r="EH337" s="56"/>
      <c r="EI337" s="56"/>
      <c r="EJ337" s="56"/>
      <c r="EK337" s="56"/>
      <c r="EL337" s="56"/>
      <c r="EM337" s="56"/>
      <c r="EN337" s="56"/>
      <c r="EO337" s="56"/>
      <c r="EP337" s="56"/>
      <c r="EQ337" s="56"/>
      <c r="ER337" s="56"/>
      <c r="ES337" s="56"/>
      <c r="ET337" s="56"/>
      <c r="EU337" s="56"/>
      <c r="EV337" s="56"/>
      <c r="EW337" s="56"/>
      <c r="EX337" s="56"/>
      <c r="EY337" s="56"/>
      <c r="EZ337" s="56"/>
      <c r="FA337" s="56"/>
      <c r="FB337" s="56"/>
      <c r="FC337" s="56"/>
      <c r="FD337" s="56"/>
      <c r="FE337" s="56"/>
      <c r="FF337" s="56"/>
      <c r="FG337" s="56"/>
      <c r="FH337" s="56"/>
      <c r="FI337" s="56"/>
      <c r="FJ337" s="56"/>
      <c r="FK337" s="56"/>
      <c r="FL337" s="56"/>
      <c r="FM337" s="56"/>
      <c r="FN337" s="56"/>
      <c r="FO337" s="56"/>
      <c r="FP337" s="56"/>
      <c r="FQ337" s="56"/>
      <c r="FR337" s="56"/>
      <c r="FS337" s="56"/>
      <c r="FT337" s="56"/>
      <c r="FU337" s="56"/>
      <c r="FV337" s="56"/>
      <c r="FW337" s="56"/>
      <c r="FX337" s="56"/>
      <c r="FY337" s="56"/>
      <c r="FZ337" s="56"/>
      <c r="GA337" s="56"/>
      <c r="GB337" s="56"/>
      <c r="GC337" s="56"/>
      <c r="GD337" s="56"/>
      <c r="GE337" s="56"/>
      <c r="GF337" s="56"/>
      <c r="GG337" s="56"/>
      <c r="GH337" s="56"/>
      <c r="GI337" s="56"/>
      <c r="GJ337" s="56"/>
      <c r="GK337" s="56"/>
      <c r="GL337" s="56"/>
      <c r="GM337" s="56"/>
      <c r="GN337" s="56"/>
      <c r="GO337" s="56"/>
      <c r="GP337" s="56"/>
      <c r="GQ337" s="56"/>
      <c r="GR337" s="56"/>
      <c r="GS337" s="56"/>
      <c r="GT337" s="56"/>
      <c r="GU337" s="56"/>
      <c r="GV337" s="56"/>
      <c r="GW337" s="56"/>
      <c r="GX337" s="56"/>
      <c r="GY337" s="56"/>
      <c r="GZ337" s="56"/>
      <c r="HA337" s="56"/>
      <c r="HB337" s="56"/>
      <c r="HC337" s="56"/>
      <c r="HD337" s="56"/>
      <c r="HE337" s="56"/>
      <c r="HF337" s="56"/>
      <c r="HG337" s="56"/>
      <c r="HH337" s="56"/>
      <c r="HI337" s="56"/>
      <c r="HJ337" s="56"/>
      <c r="HK337" s="56"/>
      <c r="HL337" s="56"/>
    </row>
    <row r="338" spans="1:220" s="57" customFormat="1" ht="16.5" customHeight="1" x14ac:dyDescent="0.15">
      <c r="A338" s="99"/>
      <c r="B338" s="91" t="s">
        <v>672</v>
      </c>
      <c r="C338" s="101"/>
      <c r="D338" s="64" t="s">
        <v>246</v>
      </c>
      <c r="E338" s="53"/>
      <c r="F338" s="53"/>
      <c r="G338" s="88" t="s">
        <v>477</v>
      </c>
      <c r="H338" s="54"/>
      <c r="I338" s="54"/>
      <c r="J338" s="59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6"/>
      <c r="BR338" s="56"/>
      <c r="BS338" s="56"/>
      <c r="BT338" s="56"/>
      <c r="BU338" s="56"/>
      <c r="BV338" s="56"/>
      <c r="BW338" s="56"/>
      <c r="BX338" s="56"/>
      <c r="BY338" s="56"/>
      <c r="BZ338" s="56"/>
      <c r="CA338" s="56"/>
      <c r="CB338" s="56"/>
      <c r="CC338" s="56"/>
      <c r="CD338" s="56"/>
      <c r="CE338" s="56"/>
      <c r="CF338" s="56"/>
      <c r="CG338" s="56"/>
      <c r="CH338" s="56"/>
      <c r="CI338" s="56"/>
      <c r="CJ338" s="56"/>
      <c r="CK338" s="56"/>
      <c r="CL338" s="56"/>
      <c r="CM338" s="56"/>
      <c r="CN338" s="56"/>
      <c r="CO338" s="56"/>
      <c r="CP338" s="56"/>
      <c r="CQ338" s="56"/>
      <c r="CR338" s="56"/>
      <c r="CS338" s="56"/>
      <c r="CT338" s="56"/>
      <c r="CU338" s="56"/>
      <c r="CV338" s="56"/>
      <c r="CW338" s="56"/>
      <c r="CX338" s="56"/>
      <c r="CY338" s="56"/>
      <c r="CZ338" s="56"/>
      <c r="DA338" s="56"/>
      <c r="DB338" s="56"/>
      <c r="DC338" s="56"/>
      <c r="DD338" s="56"/>
      <c r="DE338" s="56"/>
      <c r="DF338" s="56"/>
      <c r="DG338" s="56"/>
      <c r="DH338" s="56"/>
      <c r="DI338" s="56"/>
      <c r="DJ338" s="56"/>
      <c r="DK338" s="56"/>
      <c r="DL338" s="56"/>
      <c r="DM338" s="56"/>
      <c r="DN338" s="56"/>
      <c r="DO338" s="56"/>
      <c r="DP338" s="56"/>
      <c r="DQ338" s="56"/>
      <c r="DR338" s="56"/>
      <c r="DS338" s="56"/>
      <c r="DT338" s="56"/>
      <c r="DU338" s="56"/>
      <c r="DV338" s="56"/>
      <c r="DW338" s="56"/>
      <c r="DX338" s="56"/>
      <c r="DY338" s="56"/>
      <c r="DZ338" s="56"/>
      <c r="EA338" s="56"/>
      <c r="EB338" s="56"/>
      <c r="EC338" s="56"/>
      <c r="ED338" s="56"/>
      <c r="EE338" s="56"/>
      <c r="EF338" s="56"/>
      <c r="EG338" s="56"/>
      <c r="EH338" s="56"/>
      <c r="EI338" s="56"/>
      <c r="EJ338" s="56"/>
      <c r="EK338" s="56"/>
      <c r="EL338" s="56"/>
      <c r="EM338" s="56"/>
      <c r="EN338" s="56"/>
      <c r="EO338" s="56"/>
      <c r="EP338" s="56"/>
      <c r="EQ338" s="56"/>
      <c r="ER338" s="56"/>
      <c r="ES338" s="56"/>
      <c r="ET338" s="56"/>
      <c r="EU338" s="56"/>
      <c r="EV338" s="56"/>
      <c r="EW338" s="56"/>
      <c r="EX338" s="56"/>
      <c r="EY338" s="56"/>
      <c r="EZ338" s="56"/>
      <c r="FA338" s="56"/>
      <c r="FB338" s="56"/>
      <c r="FC338" s="56"/>
      <c r="FD338" s="56"/>
      <c r="FE338" s="56"/>
      <c r="FF338" s="56"/>
      <c r="FG338" s="56"/>
      <c r="FH338" s="56"/>
      <c r="FI338" s="56"/>
      <c r="FJ338" s="56"/>
      <c r="FK338" s="56"/>
      <c r="FL338" s="56"/>
      <c r="FM338" s="56"/>
      <c r="FN338" s="56"/>
      <c r="FO338" s="56"/>
      <c r="FP338" s="56"/>
      <c r="FQ338" s="56"/>
      <c r="FR338" s="56"/>
      <c r="FS338" s="56"/>
      <c r="FT338" s="56"/>
      <c r="FU338" s="56"/>
      <c r="FV338" s="56"/>
      <c r="FW338" s="56"/>
      <c r="FX338" s="56"/>
      <c r="FY338" s="56"/>
      <c r="FZ338" s="56"/>
      <c r="GA338" s="56"/>
      <c r="GB338" s="56"/>
      <c r="GC338" s="56"/>
      <c r="GD338" s="56"/>
      <c r="GE338" s="56"/>
      <c r="GF338" s="56"/>
      <c r="GG338" s="56"/>
      <c r="GH338" s="56"/>
      <c r="GI338" s="56"/>
      <c r="GJ338" s="56"/>
      <c r="GK338" s="56"/>
      <c r="GL338" s="56"/>
      <c r="GM338" s="56"/>
      <c r="GN338" s="56"/>
      <c r="GO338" s="56"/>
      <c r="GP338" s="56"/>
      <c r="GQ338" s="56"/>
      <c r="GR338" s="56"/>
      <c r="GS338" s="56"/>
      <c r="GT338" s="56"/>
      <c r="GU338" s="56"/>
      <c r="GV338" s="56"/>
      <c r="GW338" s="56"/>
      <c r="GX338" s="56"/>
      <c r="GY338" s="56"/>
      <c r="GZ338" s="56"/>
      <c r="HA338" s="56"/>
      <c r="HB338" s="56"/>
      <c r="HC338" s="56"/>
      <c r="HD338" s="56"/>
      <c r="HE338" s="56"/>
      <c r="HF338" s="56"/>
      <c r="HG338" s="56"/>
      <c r="HH338" s="56"/>
      <c r="HI338" s="56"/>
      <c r="HJ338" s="56"/>
      <c r="HK338" s="56"/>
      <c r="HL338" s="56"/>
    </row>
    <row r="339" spans="1:220" s="57" customFormat="1" ht="16.5" customHeight="1" x14ac:dyDescent="0.15">
      <c r="A339" s="99"/>
      <c r="B339" s="91" t="s">
        <v>673</v>
      </c>
      <c r="C339" s="101"/>
      <c r="D339" s="64" t="s">
        <v>247</v>
      </c>
      <c r="E339" s="53"/>
      <c r="F339" s="53"/>
      <c r="G339" s="88" t="s">
        <v>477</v>
      </c>
      <c r="H339" s="54"/>
      <c r="I339" s="54"/>
      <c r="J339" s="59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6"/>
      <c r="BR339" s="56"/>
      <c r="BS339" s="56"/>
      <c r="BT339" s="56"/>
      <c r="BU339" s="56"/>
      <c r="BV339" s="56"/>
      <c r="BW339" s="56"/>
      <c r="BX339" s="56"/>
      <c r="BY339" s="56"/>
      <c r="BZ339" s="56"/>
      <c r="CA339" s="56"/>
      <c r="CB339" s="56"/>
      <c r="CC339" s="56"/>
      <c r="CD339" s="56"/>
      <c r="CE339" s="56"/>
      <c r="CF339" s="56"/>
      <c r="CG339" s="56"/>
      <c r="CH339" s="56"/>
      <c r="CI339" s="56"/>
      <c r="CJ339" s="56"/>
      <c r="CK339" s="56"/>
      <c r="CL339" s="56"/>
      <c r="CM339" s="56"/>
      <c r="CN339" s="56"/>
      <c r="CO339" s="56"/>
      <c r="CP339" s="56"/>
      <c r="CQ339" s="56"/>
      <c r="CR339" s="56"/>
      <c r="CS339" s="56"/>
      <c r="CT339" s="56"/>
      <c r="CU339" s="56"/>
      <c r="CV339" s="56"/>
      <c r="CW339" s="56"/>
      <c r="CX339" s="56"/>
      <c r="CY339" s="56"/>
      <c r="CZ339" s="56"/>
      <c r="DA339" s="56"/>
      <c r="DB339" s="56"/>
      <c r="DC339" s="56"/>
      <c r="DD339" s="56"/>
      <c r="DE339" s="56"/>
      <c r="DF339" s="56"/>
      <c r="DG339" s="56"/>
      <c r="DH339" s="56"/>
      <c r="DI339" s="56"/>
      <c r="DJ339" s="56"/>
      <c r="DK339" s="56"/>
      <c r="DL339" s="56"/>
      <c r="DM339" s="56"/>
      <c r="DN339" s="56"/>
      <c r="DO339" s="56"/>
      <c r="DP339" s="56"/>
      <c r="DQ339" s="56"/>
      <c r="DR339" s="56"/>
      <c r="DS339" s="56"/>
      <c r="DT339" s="56"/>
      <c r="DU339" s="56"/>
      <c r="DV339" s="56"/>
      <c r="DW339" s="56"/>
      <c r="DX339" s="56"/>
      <c r="DY339" s="56"/>
      <c r="DZ339" s="56"/>
      <c r="EA339" s="56"/>
      <c r="EB339" s="56"/>
      <c r="EC339" s="56"/>
      <c r="ED339" s="56"/>
      <c r="EE339" s="56"/>
      <c r="EF339" s="56"/>
      <c r="EG339" s="56"/>
      <c r="EH339" s="56"/>
      <c r="EI339" s="56"/>
      <c r="EJ339" s="56"/>
      <c r="EK339" s="56"/>
      <c r="EL339" s="56"/>
      <c r="EM339" s="56"/>
      <c r="EN339" s="56"/>
      <c r="EO339" s="56"/>
      <c r="EP339" s="56"/>
      <c r="EQ339" s="56"/>
      <c r="ER339" s="56"/>
      <c r="ES339" s="56"/>
      <c r="ET339" s="56"/>
      <c r="EU339" s="56"/>
      <c r="EV339" s="56"/>
      <c r="EW339" s="56"/>
      <c r="EX339" s="56"/>
      <c r="EY339" s="56"/>
      <c r="EZ339" s="56"/>
      <c r="FA339" s="56"/>
      <c r="FB339" s="56"/>
      <c r="FC339" s="56"/>
      <c r="FD339" s="56"/>
      <c r="FE339" s="56"/>
      <c r="FF339" s="56"/>
      <c r="FG339" s="56"/>
      <c r="FH339" s="56"/>
      <c r="FI339" s="56"/>
      <c r="FJ339" s="56"/>
      <c r="FK339" s="56"/>
      <c r="FL339" s="56"/>
      <c r="FM339" s="56"/>
      <c r="FN339" s="56"/>
      <c r="FO339" s="56"/>
      <c r="FP339" s="56"/>
      <c r="FQ339" s="56"/>
      <c r="FR339" s="56"/>
      <c r="FS339" s="56"/>
      <c r="FT339" s="56"/>
      <c r="FU339" s="56"/>
      <c r="FV339" s="56"/>
      <c r="FW339" s="56"/>
      <c r="FX339" s="56"/>
      <c r="FY339" s="56"/>
      <c r="FZ339" s="56"/>
      <c r="GA339" s="56"/>
      <c r="GB339" s="56"/>
      <c r="GC339" s="56"/>
      <c r="GD339" s="56"/>
      <c r="GE339" s="56"/>
      <c r="GF339" s="56"/>
      <c r="GG339" s="56"/>
      <c r="GH339" s="56"/>
      <c r="GI339" s="56"/>
      <c r="GJ339" s="56"/>
      <c r="GK339" s="56"/>
      <c r="GL339" s="56"/>
      <c r="GM339" s="56"/>
      <c r="GN339" s="56"/>
      <c r="GO339" s="56"/>
      <c r="GP339" s="56"/>
      <c r="GQ339" s="56"/>
      <c r="GR339" s="56"/>
      <c r="GS339" s="56"/>
      <c r="GT339" s="56"/>
      <c r="GU339" s="56"/>
      <c r="GV339" s="56"/>
      <c r="GW339" s="56"/>
      <c r="GX339" s="56"/>
      <c r="GY339" s="56"/>
      <c r="GZ339" s="56"/>
      <c r="HA339" s="56"/>
      <c r="HB339" s="56"/>
      <c r="HC339" s="56"/>
      <c r="HD339" s="56"/>
      <c r="HE339" s="56"/>
      <c r="HF339" s="56"/>
      <c r="HG339" s="56"/>
      <c r="HH339" s="56"/>
      <c r="HI339" s="56"/>
      <c r="HJ339" s="56"/>
      <c r="HK339" s="56"/>
      <c r="HL339" s="56"/>
    </row>
    <row r="340" spans="1:220" s="53" customFormat="1" ht="16.5" customHeight="1" x14ac:dyDescent="0.15">
      <c r="A340" s="99"/>
      <c r="B340" s="91" t="s">
        <v>674</v>
      </c>
      <c r="C340" s="103"/>
      <c r="D340" s="53" t="s">
        <v>248</v>
      </c>
      <c r="G340" s="88" t="s">
        <v>477</v>
      </c>
      <c r="J340" s="59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0"/>
      <c r="BX340" s="60"/>
      <c r="BY340" s="60"/>
      <c r="BZ340" s="60"/>
      <c r="CA340" s="60"/>
      <c r="CB340" s="60"/>
      <c r="CC340" s="60"/>
      <c r="CD340" s="60"/>
      <c r="CE340" s="60"/>
      <c r="CF340" s="60"/>
      <c r="CG340" s="60"/>
      <c r="CH340" s="60"/>
      <c r="CI340" s="60"/>
      <c r="CJ340" s="60"/>
      <c r="CK340" s="60"/>
      <c r="CL340" s="60"/>
      <c r="CM340" s="60"/>
      <c r="CN340" s="60"/>
      <c r="CO340" s="60"/>
      <c r="CP340" s="60"/>
      <c r="CQ340" s="60"/>
      <c r="CR340" s="60"/>
      <c r="CS340" s="60"/>
      <c r="CT340" s="60"/>
      <c r="CU340" s="60"/>
      <c r="CV340" s="60"/>
      <c r="CW340" s="60"/>
      <c r="CX340" s="60"/>
      <c r="CY340" s="60"/>
      <c r="CZ340" s="60"/>
      <c r="DA340" s="60"/>
      <c r="DB340" s="60"/>
      <c r="DC340" s="60"/>
      <c r="DD340" s="60"/>
      <c r="DE340" s="60"/>
      <c r="DF340" s="60"/>
      <c r="DG340" s="60"/>
      <c r="DH340" s="60"/>
      <c r="DI340" s="60"/>
      <c r="DJ340" s="60"/>
      <c r="DK340" s="60"/>
      <c r="DL340" s="60"/>
      <c r="DM340" s="60"/>
      <c r="DN340" s="60"/>
      <c r="DO340" s="60"/>
      <c r="DP340" s="60"/>
      <c r="DQ340" s="60"/>
      <c r="DR340" s="60"/>
      <c r="DS340" s="60"/>
      <c r="DT340" s="60"/>
      <c r="DU340" s="60"/>
      <c r="DV340" s="60"/>
      <c r="DW340" s="60"/>
      <c r="DX340" s="60"/>
      <c r="DY340" s="60"/>
      <c r="DZ340" s="60"/>
      <c r="EA340" s="60"/>
      <c r="EB340" s="60"/>
      <c r="EC340" s="60"/>
      <c r="ED340" s="60"/>
      <c r="EE340" s="60"/>
      <c r="EF340" s="60"/>
      <c r="EG340" s="60"/>
      <c r="EH340" s="60"/>
      <c r="EI340" s="60"/>
      <c r="EJ340" s="60"/>
      <c r="EK340" s="60"/>
      <c r="EL340" s="60"/>
      <c r="EM340" s="60"/>
      <c r="EN340" s="60"/>
      <c r="EO340" s="60"/>
      <c r="EP340" s="60"/>
      <c r="EQ340" s="60"/>
      <c r="ER340" s="60"/>
      <c r="ES340" s="60"/>
      <c r="ET340" s="60"/>
      <c r="EU340" s="60"/>
      <c r="EV340" s="60"/>
      <c r="EW340" s="60"/>
      <c r="EX340" s="60"/>
      <c r="EY340" s="60"/>
      <c r="EZ340" s="60"/>
      <c r="FA340" s="60"/>
      <c r="FB340" s="60"/>
      <c r="FC340" s="60"/>
      <c r="FD340" s="60"/>
      <c r="FE340" s="60"/>
      <c r="FF340" s="60"/>
      <c r="FG340" s="60"/>
      <c r="FH340" s="60"/>
      <c r="FI340" s="60"/>
      <c r="FJ340" s="60"/>
      <c r="FK340" s="60"/>
      <c r="FL340" s="60"/>
      <c r="FM340" s="60"/>
      <c r="FN340" s="60"/>
      <c r="FO340" s="60"/>
      <c r="FP340" s="60"/>
      <c r="FQ340" s="60"/>
      <c r="FR340" s="60"/>
      <c r="FS340" s="60"/>
      <c r="FT340" s="60"/>
      <c r="FU340" s="60"/>
      <c r="FV340" s="60"/>
      <c r="FW340" s="60"/>
      <c r="FX340" s="60"/>
      <c r="FY340" s="60"/>
      <c r="FZ340" s="60"/>
      <c r="GA340" s="60"/>
      <c r="GB340" s="60"/>
      <c r="GC340" s="60"/>
      <c r="GD340" s="60"/>
      <c r="GE340" s="60"/>
      <c r="GF340" s="60"/>
      <c r="GG340" s="60"/>
      <c r="GH340" s="60"/>
      <c r="GI340" s="60"/>
      <c r="GJ340" s="60"/>
      <c r="GK340" s="60"/>
      <c r="GL340" s="60"/>
      <c r="GM340" s="60"/>
      <c r="GN340" s="60"/>
      <c r="GO340" s="60"/>
      <c r="GP340" s="60"/>
      <c r="GQ340" s="60"/>
      <c r="GR340" s="60"/>
      <c r="GS340" s="60"/>
      <c r="GT340" s="60"/>
      <c r="GU340" s="60"/>
      <c r="GV340" s="60"/>
      <c r="GW340" s="60"/>
      <c r="GX340" s="60"/>
      <c r="GY340" s="60"/>
      <c r="GZ340" s="60"/>
      <c r="HA340" s="60"/>
      <c r="HB340" s="60"/>
      <c r="HC340" s="60"/>
      <c r="HD340" s="60"/>
      <c r="HE340" s="60"/>
      <c r="HF340" s="60"/>
      <c r="HG340" s="60"/>
      <c r="HH340" s="60"/>
      <c r="HI340" s="60"/>
      <c r="HJ340" s="60"/>
      <c r="HK340" s="60"/>
      <c r="HL340" s="60"/>
    </row>
    <row r="341" spans="1:220" s="53" customFormat="1" ht="48" customHeight="1" x14ac:dyDescent="0.15">
      <c r="A341" s="99"/>
      <c r="B341" s="91" t="s">
        <v>675</v>
      </c>
      <c r="C341" s="59" t="s">
        <v>307</v>
      </c>
      <c r="D341" s="53" t="s">
        <v>306</v>
      </c>
      <c r="G341" s="88" t="s">
        <v>477</v>
      </c>
      <c r="J341" s="59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  <c r="BX341" s="60"/>
      <c r="BY341" s="60"/>
      <c r="BZ341" s="60"/>
      <c r="CA341" s="60"/>
      <c r="CB341" s="60"/>
      <c r="CC341" s="60"/>
      <c r="CD341" s="60"/>
      <c r="CE341" s="60"/>
      <c r="CF341" s="60"/>
      <c r="CG341" s="60"/>
      <c r="CH341" s="60"/>
      <c r="CI341" s="60"/>
      <c r="CJ341" s="60"/>
      <c r="CK341" s="60"/>
      <c r="CL341" s="60"/>
      <c r="CM341" s="60"/>
      <c r="CN341" s="60"/>
      <c r="CO341" s="60"/>
      <c r="CP341" s="60"/>
      <c r="CQ341" s="60"/>
      <c r="CR341" s="60"/>
      <c r="CS341" s="60"/>
      <c r="CT341" s="60"/>
      <c r="CU341" s="60"/>
      <c r="CV341" s="60"/>
      <c r="CW341" s="60"/>
      <c r="CX341" s="60"/>
      <c r="CY341" s="60"/>
      <c r="CZ341" s="60"/>
      <c r="DA341" s="60"/>
      <c r="DB341" s="60"/>
      <c r="DC341" s="60"/>
      <c r="DD341" s="60"/>
      <c r="DE341" s="60"/>
      <c r="DF341" s="60"/>
      <c r="DG341" s="60"/>
      <c r="DH341" s="60"/>
      <c r="DI341" s="60"/>
      <c r="DJ341" s="60"/>
      <c r="DK341" s="60"/>
      <c r="DL341" s="60"/>
      <c r="DM341" s="60"/>
      <c r="DN341" s="60"/>
      <c r="DO341" s="60"/>
      <c r="DP341" s="60"/>
      <c r="DQ341" s="60"/>
      <c r="DR341" s="60"/>
      <c r="DS341" s="60"/>
      <c r="DT341" s="60"/>
      <c r="DU341" s="60"/>
      <c r="DV341" s="60"/>
      <c r="DW341" s="60"/>
      <c r="DX341" s="60"/>
      <c r="DY341" s="60"/>
      <c r="DZ341" s="60"/>
      <c r="EA341" s="60"/>
      <c r="EB341" s="60"/>
      <c r="EC341" s="60"/>
      <c r="ED341" s="60"/>
      <c r="EE341" s="60"/>
      <c r="EF341" s="60"/>
      <c r="EG341" s="60"/>
      <c r="EH341" s="60"/>
      <c r="EI341" s="60"/>
      <c r="EJ341" s="60"/>
      <c r="EK341" s="60"/>
      <c r="EL341" s="60"/>
      <c r="EM341" s="60"/>
      <c r="EN341" s="60"/>
      <c r="EO341" s="60"/>
      <c r="EP341" s="60"/>
      <c r="EQ341" s="60"/>
      <c r="ER341" s="60"/>
      <c r="ES341" s="60"/>
      <c r="ET341" s="60"/>
      <c r="EU341" s="60"/>
      <c r="EV341" s="60"/>
      <c r="EW341" s="60"/>
      <c r="EX341" s="60"/>
      <c r="EY341" s="60"/>
      <c r="EZ341" s="60"/>
      <c r="FA341" s="60"/>
      <c r="FB341" s="60"/>
      <c r="FC341" s="60"/>
      <c r="FD341" s="60"/>
      <c r="FE341" s="60"/>
      <c r="FF341" s="60"/>
      <c r="FG341" s="60"/>
      <c r="FH341" s="60"/>
      <c r="FI341" s="60"/>
      <c r="FJ341" s="60"/>
      <c r="FK341" s="60"/>
      <c r="FL341" s="60"/>
      <c r="FM341" s="60"/>
      <c r="FN341" s="60"/>
      <c r="FO341" s="60"/>
      <c r="FP341" s="60"/>
      <c r="FQ341" s="60"/>
      <c r="FR341" s="60"/>
      <c r="FS341" s="60"/>
      <c r="FT341" s="60"/>
      <c r="FU341" s="60"/>
      <c r="FV341" s="60"/>
      <c r="FW341" s="60"/>
      <c r="FX341" s="60"/>
      <c r="FY341" s="60"/>
      <c r="FZ341" s="60"/>
      <c r="GA341" s="60"/>
      <c r="GB341" s="60"/>
      <c r="GC341" s="60"/>
      <c r="GD341" s="60"/>
      <c r="GE341" s="60"/>
      <c r="GF341" s="60"/>
      <c r="GG341" s="60"/>
      <c r="GH341" s="60"/>
      <c r="GI341" s="60"/>
      <c r="GJ341" s="60"/>
      <c r="GK341" s="60"/>
      <c r="GL341" s="60"/>
      <c r="GM341" s="60"/>
      <c r="GN341" s="60"/>
      <c r="GO341" s="60"/>
      <c r="GP341" s="60"/>
      <c r="GQ341" s="60"/>
      <c r="GR341" s="60"/>
      <c r="GS341" s="60"/>
      <c r="GT341" s="60"/>
      <c r="GU341" s="60"/>
      <c r="GV341" s="60"/>
      <c r="GW341" s="60"/>
      <c r="GX341" s="60"/>
      <c r="GY341" s="60"/>
      <c r="GZ341" s="60"/>
      <c r="HA341" s="60"/>
      <c r="HB341" s="60"/>
      <c r="HC341" s="60"/>
      <c r="HD341" s="60"/>
      <c r="HE341" s="60"/>
      <c r="HF341" s="60"/>
      <c r="HG341" s="60"/>
      <c r="HH341" s="60"/>
      <c r="HI341" s="60"/>
      <c r="HJ341" s="60"/>
      <c r="HK341" s="60"/>
      <c r="HL341" s="60"/>
    </row>
    <row r="342" spans="1:220" s="53" customFormat="1" ht="51.75" customHeight="1" x14ac:dyDescent="0.15">
      <c r="A342" s="99"/>
      <c r="B342" s="91" t="s">
        <v>676</v>
      </c>
      <c r="C342" s="59" t="s">
        <v>308</v>
      </c>
      <c r="D342" s="53" t="s">
        <v>306</v>
      </c>
      <c r="G342" s="88" t="s">
        <v>477</v>
      </c>
      <c r="J342" s="59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/>
      <c r="BJ342" s="60"/>
      <c r="BK342" s="60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0"/>
      <c r="BX342" s="60"/>
      <c r="BY342" s="60"/>
      <c r="BZ342" s="60"/>
      <c r="CA342" s="60"/>
      <c r="CB342" s="60"/>
      <c r="CC342" s="60"/>
      <c r="CD342" s="60"/>
      <c r="CE342" s="60"/>
      <c r="CF342" s="60"/>
      <c r="CG342" s="60"/>
      <c r="CH342" s="60"/>
      <c r="CI342" s="60"/>
      <c r="CJ342" s="60"/>
      <c r="CK342" s="60"/>
      <c r="CL342" s="60"/>
      <c r="CM342" s="60"/>
      <c r="CN342" s="60"/>
      <c r="CO342" s="60"/>
      <c r="CP342" s="60"/>
      <c r="CQ342" s="60"/>
      <c r="CR342" s="60"/>
      <c r="CS342" s="60"/>
      <c r="CT342" s="60"/>
      <c r="CU342" s="60"/>
      <c r="CV342" s="60"/>
      <c r="CW342" s="60"/>
      <c r="CX342" s="60"/>
      <c r="CY342" s="60"/>
      <c r="CZ342" s="60"/>
      <c r="DA342" s="60"/>
      <c r="DB342" s="60"/>
      <c r="DC342" s="60"/>
      <c r="DD342" s="60"/>
      <c r="DE342" s="60"/>
      <c r="DF342" s="60"/>
      <c r="DG342" s="60"/>
      <c r="DH342" s="60"/>
      <c r="DI342" s="60"/>
      <c r="DJ342" s="60"/>
      <c r="DK342" s="60"/>
      <c r="DL342" s="60"/>
      <c r="DM342" s="60"/>
      <c r="DN342" s="60"/>
      <c r="DO342" s="60"/>
      <c r="DP342" s="60"/>
      <c r="DQ342" s="60"/>
      <c r="DR342" s="60"/>
      <c r="DS342" s="60"/>
      <c r="DT342" s="60"/>
      <c r="DU342" s="60"/>
      <c r="DV342" s="60"/>
      <c r="DW342" s="60"/>
      <c r="DX342" s="60"/>
      <c r="DY342" s="60"/>
      <c r="DZ342" s="60"/>
      <c r="EA342" s="60"/>
      <c r="EB342" s="60"/>
      <c r="EC342" s="60"/>
      <c r="ED342" s="60"/>
      <c r="EE342" s="60"/>
      <c r="EF342" s="60"/>
      <c r="EG342" s="60"/>
      <c r="EH342" s="60"/>
      <c r="EI342" s="60"/>
      <c r="EJ342" s="60"/>
      <c r="EK342" s="60"/>
      <c r="EL342" s="60"/>
      <c r="EM342" s="60"/>
      <c r="EN342" s="60"/>
      <c r="EO342" s="60"/>
      <c r="EP342" s="60"/>
      <c r="EQ342" s="60"/>
      <c r="ER342" s="60"/>
      <c r="ES342" s="60"/>
      <c r="ET342" s="60"/>
      <c r="EU342" s="60"/>
      <c r="EV342" s="60"/>
      <c r="EW342" s="60"/>
      <c r="EX342" s="60"/>
      <c r="EY342" s="60"/>
      <c r="EZ342" s="60"/>
      <c r="FA342" s="60"/>
      <c r="FB342" s="60"/>
      <c r="FC342" s="60"/>
      <c r="FD342" s="60"/>
      <c r="FE342" s="60"/>
      <c r="FF342" s="60"/>
      <c r="FG342" s="60"/>
      <c r="FH342" s="60"/>
      <c r="FI342" s="60"/>
      <c r="FJ342" s="60"/>
      <c r="FK342" s="60"/>
      <c r="FL342" s="60"/>
      <c r="FM342" s="60"/>
      <c r="FN342" s="60"/>
      <c r="FO342" s="60"/>
      <c r="FP342" s="60"/>
      <c r="FQ342" s="60"/>
      <c r="FR342" s="60"/>
      <c r="FS342" s="60"/>
      <c r="FT342" s="60"/>
      <c r="FU342" s="60"/>
      <c r="FV342" s="60"/>
      <c r="FW342" s="60"/>
      <c r="FX342" s="60"/>
      <c r="FY342" s="60"/>
      <c r="FZ342" s="60"/>
      <c r="GA342" s="60"/>
      <c r="GB342" s="60"/>
      <c r="GC342" s="60"/>
      <c r="GD342" s="60"/>
      <c r="GE342" s="60"/>
      <c r="GF342" s="60"/>
      <c r="GG342" s="60"/>
      <c r="GH342" s="60"/>
      <c r="GI342" s="60"/>
      <c r="GJ342" s="60"/>
      <c r="GK342" s="60"/>
      <c r="GL342" s="60"/>
      <c r="GM342" s="60"/>
      <c r="GN342" s="60"/>
      <c r="GO342" s="60"/>
      <c r="GP342" s="60"/>
      <c r="GQ342" s="60"/>
      <c r="GR342" s="60"/>
      <c r="GS342" s="60"/>
      <c r="GT342" s="60"/>
      <c r="GU342" s="60"/>
      <c r="GV342" s="60"/>
      <c r="GW342" s="60"/>
      <c r="GX342" s="60"/>
      <c r="GY342" s="60"/>
      <c r="GZ342" s="60"/>
      <c r="HA342" s="60"/>
      <c r="HB342" s="60"/>
      <c r="HC342" s="60"/>
      <c r="HD342" s="60"/>
      <c r="HE342" s="60"/>
      <c r="HF342" s="60"/>
      <c r="HG342" s="60"/>
      <c r="HH342" s="60"/>
      <c r="HI342" s="60"/>
      <c r="HJ342" s="60"/>
      <c r="HK342" s="60"/>
      <c r="HL342" s="60"/>
    </row>
    <row r="343" spans="1:220" s="53" customFormat="1" ht="16.5" customHeight="1" x14ac:dyDescent="0.15">
      <c r="A343" s="99"/>
      <c r="B343" s="91" t="s">
        <v>721</v>
      </c>
      <c r="C343" s="53" t="s">
        <v>318</v>
      </c>
      <c r="D343" s="53" t="s">
        <v>316</v>
      </c>
      <c r="G343" s="88" t="s">
        <v>477</v>
      </c>
      <c r="J343" s="59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0"/>
      <c r="CD343" s="60"/>
      <c r="CE343" s="60"/>
      <c r="CF343" s="60"/>
      <c r="CG343" s="60"/>
      <c r="CH343" s="60"/>
      <c r="CI343" s="60"/>
      <c r="CJ343" s="60"/>
      <c r="CK343" s="60"/>
      <c r="CL343" s="60"/>
      <c r="CM343" s="60"/>
      <c r="CN343" s="60"/>
      <c r="CO343" s="60"/>
      <c r="CP343" s="60"/>
      <c r="CQ343" s="60"/>
      <c r="CR343" s="60"/>
      <c r="CS343" s="60"/>
      <c r="CT343" s="60"/>
      <c r="CU343" s="60"/>
      <c r="CV343" s="60"/>
      <c r="CW343" s="60"/>
      <c r="CX343" s="60"/>
      <c r="CY343" s="60"/>
      <c r="CZ343" s="60"/>
      <c r="DA343" s="60"/>
      <c r="DB343" s="60"/>
      <c r="DC343" s="60"/>
      <c r="DD343" s="60"/>
      <c r="DE343" s="60"/>
      <c r="DF343" s="60"/>
      <c r="DG343" s="60"/>
      <c r="DH343" s="60"/>
      <c r="DI343" s="60"/>
      <c r="DJ343" s="60"/>
      <c r="DK343" s="60"/>
      <c r="DL343" s="60"/>
      <c r="DM343" s="60"/>
      <c r="DN343" s="60"/>
      <c r="DO343" s="60"/>
      <c r="DP343" s="60"/>
      <c r="DQ343" s="60"/>
      <c r="DR343" s="60"/>
      <c r="DS343" s="60"/>
      <c r="DT343" s="60"/>
      <c r="DU343" s="60"/>
      <c r="DV343" s="60"/>
      <c r="DW343" s="60"/>
      <c r="DX343" s="60"/>
      <c r="DY343" s="60"/>
      <c r="DZ343" s="60"/>
      <c r="EA343" s="60"/>
      <c r="EB343" s="60"/>
      <c r="EC343" s="60"/>
      <c r="ED343" s="60"/>
      <c r="EE343" s="60"/>
      <c r="EF343" s="60"/>
      <c r="EG343" s="60"/>
      <c r="EH343" s="60"/>
      <c r="EI343" s="60"/>
      <c r="EJ343" s="60"/>
      <c r="EK343" s="60"/>
      <c r="EL343" s="60"/>
      <c r="EM343" s="60"/>
      <c r="EN343" s="60"/>
      <c r="EO343" s="60"/>
      <c r="EP343" s="60"/>
      <c r="EQ343" s="60"/>
      <c r="ER343" s="60"/>
      <c r="ES343" s="60"/>
      <c r="ET343" s="60"/>
      <c r="EU343" s="60"/>
      <c r="EV343" s="60"/>
      <c r="EW343" s="60"/>
      <c r="EX343" s="60"/>
      <c r="EY343" s="60"/>
      <c r="EZ343" s="60"/>
      <c r="FA343" s="60"/>
      <c r="FB343" s="60"/>
      <c r="FC343" s="60"/>
      <c r="FD343" s="60"/>
      <c r="FE343" s="60"/>
      <c r="FF343" s="60"/>
      <c r="FG343" s="60"/>
      <c r="FH343" s="60"/>
      <c r="FI343" s="60"/>
      <c r="FJ343" s="60"/>
      <c r="FK343" s="60"/>
      <c r="FL343" s="60"/>
      <c r="FM343" s="60"/>
      <c r="FN343" s="60"/>
      <c r="FO343" s="60"/>
      <c r="FP343" s="60"/>
      <c r="FQ343" s="60"/>
      <c r="FR343" s="60"/>
      <c r="FS343" s="60"/>
      <c r="FT343" s="60"/>
      <c r="FU343" s="60"/>
      <c r="FV343" s="60"/>
      <c r="FW343" s="60"/>
      <c r="FX343" s="60"/>
      <c r="FY343" s="60"/>
      <c r="FZ343" s="60"/>
      <c r="GA343" s="60"/>
      <c r="GB343" s="60"/>
      <c r="GC343" s="60"/>
      <c r="GD343" s="60"/>
      <c r="GE343" s="60"/>
      <c r="GF343" s="60"/>
      <c r="GG343" s="60"/>
      <c r="GH343" s="60"/>
      <c r="GI343" s="60"/>
      <c r="GJ343" s="60"/>
      <c r="GK343" s="60"/>
      <c r="GL343" s="60"/>
      <c r="GM343" s="60"/>
      <c r="GN343" s="60"/>
      <c r="GO343" s="60"/>
      <c r="GP343" s="60"/>
      <c r="GQ343" s="60"/>
      <c r="GR343" s="60"/>
      <c r="GS343" s="60"/>
      <c r="GT343" s="60"/>
      <c r="GU343" s="60"/>
      <c r="GV343" s="60"/>
      <c r="GW343" s="60"/>
      <c r="GX343" s="60"/>
      <c r="GY343" s="60"/>
      <c r="GZ343" s="60"/>
      <c r="HA343" s="60"/>
      <c r="HB343" s="60"/>
      <c r="HC343" s="60"/>
      <c r="HD343" s="60"/>
      <c r="HE343" s="60"/>
      <c r="HF343" s="60"/>
      <c r="HG343" s="60"/>
      <c r="HH343" s="60"/>
      <c r="HI343" s="60"/>
      <c r="HJ343" s="60"/>
      <c r="HK343" s="60"/>
      <c r="HL343" s="60"/>
    </row>
    <row r="344" spans="1:220" s="53" customFormat="1" ht="16.5" customHeight="1" x14ac:dyDescent="0.15">
      <c r="A344" s="99"/>
      <c r="B344" s="91" t="s">
        <v>677</v>
      </c>
      <c r="C344" s="53" t="s">
        <v>317</v>
      </c>
      <c r="D344" s="53" t="s">
        <v>319</v>
      </c>
      <c r="G344" s="88" t="s">
        <v>477</v>
      </c>
      <c r="J344" s="59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  <c r="BX344" s="60"/>
      <c r="BY344" s="60"/>
      <c r="BZ344" s="60"/>
      <c r="CA344" s="60"/>
      <c r="CB344" s="60"/>
      <c r="CC344" s="60"/>
      <c r="CD344" s="60"/>
      <c r="CE344" s="60"/>
      <c r="CF344" s="60"/>
      <c r="CG344" s="60"/>
      <c r="CH344" s="60"/>
      <c r="CI344" s="60"/>
      <c r="CJ344" s="60"/>
      <c r="CK344" s="60"/>
      <c r="CL344" s="60"/>
      <c r="CM344" s="60"/>
      <c r="CN344" s="60"/>
      <c r="CO344" s="60"/>
      <c r="CP344" s="60"/>
      <c r="CQ344" s="60"/>
      <c r="CR344" s="60"/>
      <c r="CS344" s="60"/>
      <c r="CT344" s="60"/>
      <c r="CU344" s="60"/>
      <c r="CV344" s="60"/>
      <c r="CW344" s="60"/>
      <c r="CX344" s="60"/>
      <c r="CY344" s="60"/>
      <c r="CZ344" s="60"/>
      <c r="DA344" s="60"/>
      <c r="DB344" s="60"/>
      <c r="DC344" s="60"/>
      <c r="DD344" s="60"/>
      <c r="DE344" s="60"/>
      <c r="DF344" s="60"/>
      <c r="DG344" s="60"/>
      <c r="DH344" s="60"/>
      <c r="DI344" s="60"/>
      <c r="DJ344" s="60"/>
      <c r="DK344" s="60"/>
      <c r="DL344" s="60"/>
      <c r="DM344" s="60"/>
      <c r="DN344" s="60"/>
      <c r="DO344" s="60"/>
      <c r="DP344" s="60"/>
      <c r="DQ344" s="60"/>
      <c r="DR344" s="60"/>
      <c r="DS344" s="60"/>
      <c r="DT344" s="60"/>
      <c r="DU344" s="60"/>
      <c r="DV344" s="60"/>
      <c r="DW344" s="60"/>
      <c r="DX344" s="60"/>
      <c r="DY344" s="60"/>
      <c r="DZ344" s="60"/>
      <c r="EA344" s="60"/>
      <c r="EB344" s="60"/>
      <c r="EC344" s="60"/>
      <c r="ED344" s="60"/>
      <c r="EE344" s="60"/>
      <c r="EF344" s="60"/>
      <c r="EG344" s="60"/>
      <c r="EH344" s="60"/>
      <c r="EI344" s="60"/>
      <c r="EJ344" s="60"/>
      <c r="EK344" s="60"/>
      <c r="EL344" s="60"/>
      <c r="EM344" s="60"/>
      <c r="EN344" s="60"/>
      <c r="EO344" s="60"/>
      <c r="EP344" s="60"/>
      <c r="EQ344" s="60"/>
      <c r="ER344" s="60"/>
      <c r="ES344" s="60"/>
      <c r="ET344" s="60"/>
      <c r="EU344" s="60"/>
      <c r="EV344" s="60"/>
      <c r="EW344" s="60"/>
      <c r="EX344" s="60"/>
      <c r="EY344" s="60"/>
      <c r="EZ344" s="60"/>
      <c r="FA344" s="60"/>
      <c r="FB344" s="60"/>
      <c r="FC344" s="60"/>
      <c r="FD344" s="60"/>
      <c r="FE344" s="60"/>
      <c r="FF344" s="60"/>
      <c r="FG344" s="60"/>
      <c r="FH344" s="60"/>
      <c r="FI344" s="60"/>
      <c r="FJ344" s="60"/>
      <c r="FK344" s="60"/>
      <c r="FL344" s="60"/>
      <c r="FM344" s="60"/>
      <c r="FN344" s="60"/>
      <c r="FO344" s="60"/>
      <c r="FP344" s="60"/>
      <c r="FQ344" s="60"/>
      <c r="FR344" s="60"/>
      <c r="FS344" s="60"/>
      <c r="FT344" s="60"/>
      <c r="FU344" s="60"/>
      <c r="FV344" s="60"/>
      <c r="FW344" s="60"/>
      <c r="FX344" s="60"/>
      <c r="FY344" s="60"/>
      <c r="FZ344" s="60"/>
      <c r="GA344" s="60"/>
      <c r="GB344" s="60"/>
      <c r="GC344" s="60"/>
      <c r="GD344" s="60"/>
      <c r="GE344" s="60"/>
      <c r="GF344" s="60"/>
      <c r="GG344" s="60"/>
      <c r="GH344" s="60"/>
      <c r="GI344" s="60"/>
      <c r="GJ344" s="60"/>
      <c r="GK344" s="60"/>
      <c r="GL344" s="60"/>
      <c r="GM344" s="60"/>
      <c r="GN344" s="60"/>
      <c r="GO344" s="60"/>
      <c r="GP344" s="60"/>
      <c r="GQ344" s="60"/>
      <c r="GR344" s="60"/>
      <c r="GS344" s="60"/>
      <c r="GT344" s="60"/>
      <c r="GU344" s="60"/>
      <c r="GV344" s="60"/>
      <c r="GW344" s="60"/>
      <c r="GX344" s="60"/>
      <c r="GY344" s="60"/>
      <c r="GZ344" s="60"/>
      <c r="HA344" s="60"/>
      <c r="HB344" s="60"/>
      <c r="HC344" s="60"/>
      <c r="HD344" s="60"/>
      <c r="HE344" s="60"/>
      <c r="HF344" s="60"/>
      <c r="HG344" s="60"/>
      <c r="HH344" s="60"/>
      <c r="HI344" s="60"/>
      <c r="HJ344" s="60"/>
      <c r="HK344" s="60"/>
      <c r="HL344" s="60"/>
    </row>
    <row r="345" spans="1:220" s="53" customFormat="1" ht="39.75" customHeight="1" x14ac:dyDescent="0.15">
      <c r="A345" s="99"/>
      <c r="B345" s="91" t="s">
        <v>678</v>
      </c>
      <c r="C345" s="65" t="s">
        <v>371</v>
      </c>
      <c r="D345" s="64" t="s">
        <v>372</v>
      </c>
      <c r="G345" s="88" t="s">
        <v>477</v>
      </c>
      <c r="H345" s="54"/>
      <c r="I345" s="54"/>
      <c r="J345" s="59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  <c r="BY345" s="60"/>
      <c r="BZ345" s="60"/>
      <c r="CA345" s="60"/>
      <c r="CB345" s="60"/>
      <c r="CC345" s="60"/>
      <c r="CD345" s="60"/>
      <c r="CE345" s="60"/>
      <c r="CF345" s="60"/>
      <c r="CG345" s="60"/>
      <c r="CH345" s="60"/>
      <c r="CI345" s="60"/>
      <c r="CJ345" s="60"/>
      <c r="CK345" s="60"/>
      <c r="CL345" s="60"/>
      <c r="CM345" s="60"/>
      <c r="CN345" s="60"/>
      <c r="CO345" s="60"/>
      <c r="CP345" s="60"/>
      <c r="CQ345" s="60"/>
      <c r="CR345" s="60"/>
      <c r="CS345" s="60"/>
      <c r="CT345" s="60"/>
      <c r="CU345" s="60"/>
      <c r="CV345" s="60"/>
      <c r="CW345" s="60"/>
      <c r="CX345" s="60"/>
      <c r="CY345" s="60"/>
      <c r="CZ345" s="60"/>
      <c r="DA345" s="60"/>
      <c r="DB345" s="60"/>
      <c r="DC345" s="60"/>
      <c r="DD345" s="60"/>
      <c r="DE345" s="60"/>
      <c r="DF345" s="60"/>
      <c r="DG345" s="60"/>
      <c r="DH345" s="60"/>
      <c r="DI345" s="60"/>
      <c r="DJ345" s="60"/>
      <c r="DK345" s="60"/>
      <c r="DL345" s="60"/>
      <c r="DM345" s="60"/>
      <c r="DN345" s="60"/>
      <c r="DO345" s="60"/>
      <c r="DP345" s="60"/>
      <c r="DQ345" s="60"/>
      <c r="DR345" s="60"/>
      <c r="DS345" s="60"/>
      <c r="DT345" s="60"/>
      <c r="DU345" s="60"/>
      <c r="DV345" s="60"/>
      <c r="DW345" s="60"/>
      <c r="DX345" s="60"/>
      <c r="DY345" s="60"/>
      <c r="DZ345" s="60"/>
      <c r="EA345" s="60"/>
      <c r="EB345" s="60"/>
      <c r="EC345" s="60"/>
      <c r="ED345" s="60"/>
      <c r="EE345" s="60"/>
      <c r="EF345" s="60"/>
      <c r="EG345" s="60"/>
      <c r="EH345" s="60"/>
      <c r="EI345" s="60"/>
      <c r="EJ345" s="60"/>
      <c r="EK345" s="60"/>
      <c r="EL345" s="60"/>
      <c r="EM345" s="60"/>
      <c r="EN345" s="60"/>
      <c r="EO345" s="60"/>
      <c r="EP345" s="60"/>
      <c r="EQ345" s="60"/>
      <c r="ER345" s="60"/>
      <c r="ES345" s="60"/>
      <c r="ET345" s="60"/>
      <c r="EU345" s="60"/>
      <c r="EV345" s="60"/>
      <c r="EW345" s="60"/>
      <c r="EX345" s="60"/>
      <c r="EY345" s="60"/>
      <c r="EZ345" s="60"/>
      <c r="FA345" s="60"/>
      <c r="FB345" s="60"/>
      <c r="FC345" s="60"/>
      <c r="FD345" s="60"/>
      <c r="FE345" s="60"/>
      <c r="FF345" s="60"/>
      <c r="FG345" s="60"/>
      <c r="FH345" s="60"/>
      <c r="FI345" s="60"/>
      <c r="FJ345" s="60"/>
      <c r="FK345" s="60"/>
      <c r="FL345" s="60"/>
      <c r="FM345" s="60"/>
      <c r="FN345" s="60"/>
      <c r="FO345" s="60"/>
      <c r="FP345" s="60"/>
      <c r="FQ345" s="60"/>
      <c r="FR345" s="60"/>
      <c r="FS345" s="60"/>
      <c r="FT345" s="60"/>
      <c r="FU345" s="60"/>
      <c r="FV345" s="60"/>
      <c r="FW345" s="60"/>
      <c r="FX345" s="60"/>
      <c r="FY345" s="60"/>
      <c r="FZ345" s="60"/>
      <c r="GA345" s="60"/>
      <c r="GB345" s="60"/>
      <c r="GC345" s="60"/>
      <c r="GD345" s="60"/>
      <c r="GE345" s="60"/>
      <c r="GF345" s="60"/>
      <c r="GG345" s="60"/>
      <c r="GH345" s="60"/>
      <c r="GI345" s="60"/>
      <c r="GJ345" s="60"/>
      <c r="GK345" s="60"/>
      <c r="GL345" s="60"/>
      <c r="GM345" s="60"/>
      <c r="GN345" s="60"/>
      <c r="GO345" s="60"/>
      <c r="GP345" s="60"/>
      <c r="GQ345" s="60"/>
      <c r="GR345" s="60"/>
      <c r="GS345" s="60"/>
      <c r="GT345" s="60"/>
      <c r="GU345" s="60"/>
      <c r="GV345" s="60"/>
      <c r="GW345" s="60"/>
      <c r="GX345" s="60"/>
      <c r="GY345" s="60"/>
      <c r="GZ345" s="60"/>
      <c r="HA345" s="60"/>
      <c r="HB345" s="60"/>
      <c r="HC345" s="60"/>
      <c r="HD345" s="60"/>
      <c r="HE345" s="60"/>
      <c r="HF345" s="60"/>
      <c r="HG345" s="60"/>
      <c r="HH345" s="60"/>
      <c r="HI345" s="60"/>
      <c r="HJ345" s="60"/>
      <c r="HK345" s="60"/>
      <c r="HL345" s="60"/>
    </row>
    <row r="346" spans="1:220" s="81" customFormat="1" ht="39.75" customHeight="1" x14ac:dyDescent="0.15">
      <c r="A346" s="99"/>
      <c r="B346" s="91" t="s">
        <v>684</v>
      </c>
      <c r="C346" s="65" t="s">
        <v>373</v>
      </c>
      <c r="D346" s="67" t="s">
        <v>374</v>
      </c>
      <c r="G346" s="88" t="s">
        <v>477</v>
      </c>
      <c r="H346" s="82"/>
      <c r="I346" s="82"/>
      <c r="J346" s="83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  <c r="FU346" s="84"/>
      <c r="FV346" s="84"/>
      <c r="FW346" s="84"/>
      <c r="FX346" s="84"/>
      <c r="FY346" s="84"/>
      <c r="FZ346" s="84"/>
      <c r="GA346" s="84"/>
      <c r="GB346" s="84"/>
      <c r="GC346" s="84"/>
      <c r="GD346" s="84"/>
      <c r="GE346" s="84"/>
      <c r="GF346" s="84"/>
      <c r="GG346" s="84"/>
      <c r="GH346" s="84"/>
      <c r="GI346" s="84"/>
      <c r="GJ346" s="84"/>
      <c r="GK346" s="84"/>
      <c r="GL346" s="84"/>
      <c r="GM346" s="84"/>
      <c r="GN346" s="84"/>
      <c r="GO346" s="84"/>
      <c r="GP346" s="84"/>
      <c r="GQ346" s="84"/>
      <c r="GR346" s="84"/>
      <c r="GS346" s="84"/>
      <c r="GT346" s="84"/>
      <c r="GU346" s="84"/>
      <c r="GV346" s="84"/>
      <c r="GW346" s="84"/>
      <c r="GX346" s="84"/>
      <c r="GY346" s="84"/>
      <c r="GZ346" s="84"/>
      <c r="HA346" s="84"/>
      <c r="HB346" s="84"/>
      <c r="HC346" s="84"/>
      <c r="HD346" s="84"/>
      <c r="HE346" s="84"/>
      <c r="HF346" s="84"/>
      <c r="HG346" s="84"/>
      <c r="HH346" s="84"/>
      <c r="HI346" s="84"/>
      <c r="HJ346" s="84"/>
      <c r="HK346" s="84"/>
      <c r="HL346" s="84"/>
    </row>
    <row r="347" spans="1:220" s="57" customFormat="1" ht="40.5" customHeight="1" x14ac:dyDescent="0.15">
      <c r="A347" s="99"/>
      <c r="B347" s="92" t="s">
        <v>727</v>
      </c>
      <c r="C347" s="42" t="s">
        <v>726</v>
      </c>
      <c r="D347" s="57" t="s">
        <v>731</v>
      </c>
      <c r="E347" s="53"/>
      <c r="F347" s="53"/>
      <c r="G347" s="93" t="s">
        <v>21</v>
      </c>
      <c r="H347" s="54"/>
      <c r="I347" s="54"/>
      <c r="J347" s="96" t="s">
        <v>730</v>
      </c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6"/>
      <c r="BR347" s="56"/>
      <c r="BS347" s="56"/>
      <c r="BT347" s="56"/>
      <c r="BU347" s="56"/>
      <c r="BV347" s="56"/>
      <c r="BW347" s="56"/>
      <c r="BX347" s="56"/>
      <c r="BY347" s="56"/>
      <c r="BZ347" s="56"/>
      <c r="CA347" s="56"/>
      <c r="CB347" s="56"/>
      <c r="CC347" s="56"/>
      <c r="CD347" s="56"/>
      <c r="CE347" s="56"/>
      <c r="CF347" s="56"/>
      <c r="CG347" s="56"/>
      <c r="CH347" s="56"/>
      <c r="CI347" s="56"/>
      <c r="CJ347" s="56"/>
      <c r="CK347" s="56"/>
      <c r="CL347" s="56"/>
      <c r="CM347" s="56"/>
      <c r="CN347" s="56"/>
      <c r="CO347" s="56"/>
      <c r="CP347" s="56"/>
      <c r="CQ347" s="56"/>
      <c r="CR347" s="56"/>
      <c r="CS347" s="56"/>
      <c r="CT347" s="56"/>
      <c r="CU347" s="56"/>
      <c r="CV347" s="56"/>
      <c r="CW347" s="56"/>
      <c r="CX347" s="56"/>
      <c r="CY347" s="56"/>
      <c r="CZ347" s="56"/>
      <c r="DA347" s="56"/>
      <c r="DB347" s="56"/>
      <c r="DC347" s="56"/>
      <c r="DD347" s="56"/>
      <c r="DE347" s="56"/>
      <c r="DF347" s="56"/>
      <c r="DG347" s="56"/>
      <c r="DH347" s="56"/>
      <c r="DI347" s="56"/>
      <c r="DJ347" s="56"/>
      <c r="DK347" s="56"/>
      <c r="DL347" s="56"/>
      <c r="DM347" s="56"/>
      <c r="DN347" s="56"/>
      <c r="DO347" s="56"/>
      <c r="DP347" s="56"/>
      <c r="DQ347" s="56"/>
      <c r="DR347" s="56"/>
      <c r="DS347" s="56"/>
      <c r="DT347" s="56"/>
      <c r="DU347" s="56"/>
      <c r="DV347" s="56"/>
      <c r="DW347" s="56"/>
      <c r="DX347" s="56"/>
      <c r="DY347" s="56"/>
      <c r="DZ347" s="56"/>
      <c r="EA347" s="56"/>
      <c r="EB347" s="56"/>
      <c r="EC347" s="56"/>
      <c r="ED347" s="56"/>
      <c r="EE347" s="56"/>
      <c r="EF347" s="56"/>
      <c r="EG347" s="56"/>
      <c r="EH347" s="56"/>
      <c r="EI347" s="56"/>
      <c r="EJ347" s="56"/>
      <c r="EK347" s="56"/>
      <c r="EL347" s="56"/>
      <c r="EM347" s="56"/>
      <c r="EN347" s="56"/>
      <c r="EO347" s="56"/>
      <c r="EP347" s="56"/>
      <c r="EQ347" s="56"/>
      <c r="ER347" s="56"/>
      <c r="ES347" s="56"/>
      <c r="ET347" s="56"/>
      <c r="EU347" s="56"/>
      <c r="EV347" s="56"/>
      <c r="EW347" s="56"/>
      <c r="EX347" s="56"/>
      <c r="EY347" s="56"/>
      <c r="EZ347" s="56"/>
      <c r="FA347" s="56"/>
      <c r="FB347" s="56"/>
      <c r="FC347" s="56"/>
      <c r="FD347" s="56"/>
      <c r="FE347" s="56"/>
      <c r="FF347" s="56"/>
      <c r="FG347" s="56"/>
      <c r="FH347" s="56"/>
      <c r="FI347" s="56"/>
      <c r="FJ347" s="56"/>
      <c r="FK347" s="56"/>
      <c r="FL347" s="56"/>
      <c r="FM347" s="56"/>
      <c r="FN347" s="56"/>
      <c r="FO347" s="56"/>
      <c r="FP347" s="56"/>
      <c r="FQ347" s="56"/>
      <c r="FR347" s="56"/>
      <c r="FS347" s="56"/>
      <c r="FT347" s="56"/>
      <c r="FU347" s="56"/>
      <c r="FV347" s="56"/>
      <c r="FW347" s="56"/>
      <c r="FX347" s="56"/>
      <c r="FY347" s="56"/>
      <c r="FZ347" s="56"/>
      <c r="GA347" s="56"/>
      <c r="GB347" s="56"/>
      <c r="GC347" s="56"/>
      <c r="GD347" s="56"/>
      <c r="GE347" s="56"/>
      <c r="GF347" s="56"/>
      <c r="GG347" s="56"/>
      <c r="GH347" s="56"/>
      <c r="GI347" s="56"/>
      <c r="GJ347" s="56"/>
      <c r="GK347" s="56"/>
      <c r="GL347" s="56"/>
      <c r="GM347" s="56"/>
      <c r="GN347" s="56"/>
      <c r="GO347" s="56"/>
      <c r="GP347" s="56"/>
      <c r="GQ347" s="56"/>
      <c r="GR347" s="56"/>
      <c r="GS347" s="56"/>
      <c r="GT347" s="56"/>
      <c r="GU347" s="56"/>
      <c r="GV347" s="56"/>
      <c r="GW347" s="56"/>
      <c r="GX347" s="56"/>
      <c r="GY347" s="56"/>
      <c r="GZ347" s="56"/>
      <c r="HA347" s="56"/>
      <c r="HB347" s="56"/>
      <c r="HC347" s="56"/>
      <c r="HD347" s="56"/>
      <c r="HE347" s="56"/>
      <c r="HF347" s="56"/>
      <c r="HG347" s="56"/>
      <c r="HH347" s="56"/>
      <c r="HI347" s="56"/>
      <c r="HJ347" s="56"/>
      <c r="HK347" s="56"/>
      <c r="HL347" s="56"/>
    </row>
    <row r="348" spans="1:220" s="20" customFormat="1" x14ac:dyDescent="0.15">
      <c r="A348" s="104" t="s">
        <v>234</v>
      </c>
      <c r="B348" s="105"/>
      <c r="C348" s="105"/>
      <c r="D348" s="105"/>
      <c r="E348" s="105"/>
      <c r="F348" s="105"/>
      <c r="G348" s="105"/>
      <c r="H348" s="105"/>
      <c r="I348" s="105"/>
      <c r="J348" s="10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/>
      <c r="EK348" s="16"/>
      <c r="EL348" s="16"/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/>
      <c r="EZ348" s="16"/>
      <c r="FA348" s="16"/>
      <c r="FB348" s="16"/>
      <c r="FC348" s="16"/>
      <c r="FD348" s="16"/>
      <c r="FE348" s="16"/>
      <c r="FF348" s="16"/>
      <c r="FG348" s="16"/>
      <c r="FH348" s="16"/>
      <c r="FI348" s="16"/>
      <c r="FJ348" s="16"/>
      <c r="FK348" s="16"/>
      <c r="FL348" s="16"/>
      <c r="FM348" s="16"/>
      <c r="FN348" s="16"/>
      <c r="FO348" s="16"/>
      <c r="FP348" s="16"/>
      <c r="FQ348" s="16"/>
      <c r="FR348" s="16"/>
      <c r="FS348" s="16"/>
      <c r="FT348" s="16"/>
      <c r="FU348" s="16"/>
      <c r="FV348" s="16"/>
      <c r="FW348" s="16"/>
      <c r="FX348" s="16"/>
      <c r="FY348" s="16"/>
      <c r="FZ348" s="16"/>
      <c r="GA348" s="16"/>
      <c r="GB348" s="16"/>
      <c r="GC348" s="16"/>
      <c r="GD348" s="16"/>
      <c r="GE348" s="16"/>
      <c r="GF348" s="16"/>
      <c r="GG348" s="16"/>
      <c r="GH348" s="16"/>
      <c r="GI348" s="16"/>
      <c r="GJ348" s="16"/>
      <c r="GK348" s="16"/>
      <c r="GL348" s="16"/>
      <c r="GM348" s="16"/>
      <c r="GN348" s="16"/>
      <c r="GO348" s="16"/>
      <c r="GP348" s="16"/>
      <c r="GQ348" s="16"/>
      <c r="GR348" s="16"/>
      <c r="GS348" s="16"/>
      <c r="GT348" s="16"/>
      <c r="GU348" s="16"/>
      <c r="GV348" s="16"/>
      <c r="GW348" s="16"/>
      <c r="GX348" s="16"/>
      <c r="GY348" s="16"/>
      <c r="GZ348" s="16"/>
      <c r="HA348" s="16"/>
      <c r="HB348" s="16"/>
      <c r="HC348" s="16"/>
      <c r="HD348" s="16"/>
      <c r="HE348" s="16"/>
      <c r="HF348" s="16"/>
      <c r="HG348" s="16"/>
      <c r="HH348" s="16"/>
      <c r="HI348" s="16"/>
      <c r="HJ348" s="16"/>
      <c r="HK348" s="16"/>
      <c r="HL348" s="16"/>
    </row>
    <row r="349" spans="1:220" ht="13.5" customHeight="1" x14ac:dyDescent="0.15">
      <c r="A349" s="12" t="s">
        <v>28</v>
      </c>
      <c r="B349" s="49" t="s">
        <v>29</v>
      </c>
      <c r="C349" s="13" t="s">
        <v>0</v>
      </c>
      <c r="D349" s="7" t="s">
        <v>30</v>
      </c>
      <c r="E349" s="49" t="s">
        <v>31</v>
      </c>
      <c r="F349" s="49" t="s">
        <v>32</v>
      </c>
      <c r="G349" s="107" t="s">
        <v>35</v>
      </c>
      <c r="H349" s="107"/>
      <c r="I349" s="107"/>
      <c r="J349" s="29" t="s">
        <v>10</v>
      </c>
    </row>
    <row r="350" spans="1:220" ht="36" customHeight="1" x14ac:dyDescent="0.15">
      <c r="A350" s="97" t="s">
        <v>224</v>
      </c>
      <c r="B350" s="58" t="s">
        <v>728</v>
      </c>
      <c r="C350" s="1" t="s">
        <v>362</v>
      </c>
      <c r="D350" s="1" t="s">
        <v>280</v>
      </c>
      <c r="G350" s="88" t="s">
        <v>477</v>
      </c>
      <c r="H350" s="14"/>
      <c r="I350" s="14"/>
    </row>
    <row r="351" spans="1:220" s="37" customFormat="1" ht="36" customHeight="1" x14ac:dyDescent="0.15">
      <c r="A351" s="97"/>
      <c r="B351" s="92" t="s">
        <v>685</v>
      </c>
      <c r="C351" s="64" t="s">
        <v>281</v>
      </c>
      <c r="D351" s="64" t="s">
        <v>280</v>
      </c>
      <c r="E351" s="8"/>
      <c r="F351" s="8"/>
      <c r="G351" s="88" t="s">
        <v>477</v>
      </c>
      <c r="H351" s="14"/>
      <c r="I351" s="14"/>
      <c r="J351" s="8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A351" s="34"/>
      <c r="DB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  <c r="DM351" s="34"/>
      <c r="DN351" s="34"/>
      <c r="DO351" s="34"/>
      <c r="DP351" s="34"/>
      <c r="DQ351" s="34"/>
      <c r="DR351" s="34"/>
      <c r="DS351" s="34"/>
      <c r="DT351" s="34"/>
      <c r="DU351" s="34"/>
      <c r="DV351" s="34"/>
      <c r="DW351" s="34"/>
      <c r="DX351" s="34"/>
      <c r="DY351" s="34"/>
      <c r="DZ351" s="34"/>
      <c r="EA351" s="34"/>
      <c r="EB351" s="34"/>
      <c r="EC351" s="34"/>
      <c r="ED351" s="34"/>
      <c r="EE351" s="34"/>
      <c r="EF351" s="34"/>
      <c r="EG351" s="34"/>
      <c r="EH351" s="34"/>
      <c r="EI351" s="34"/>
      <c r="EJ351" s="34"/>
      <c r="EK351" s="34"/>
      <c r="EL351" s="34"/>
      <c r="EM351" s="34"/>
      <c r="EN351" s="34"/>
      <c r="EO351" s="34"/>
      <c r="EP351" s="34"/>
      <c r="EQ351" s="34"/>
      <c r="ER351" s="34"/>
      <c r="ES351" s="34"/>
      <c r="ET351" s="34"/>
      <c r="EU351" s="34"/>
      <c r="EV351" s="34"/>
      <c r="EW351" s="34"/>
      <c r="EX351" s="34"/>
      <c r="EY351" s="34"/>
      <c r="EZ351" s="34"/>
      <c r="FA351" s="34"/>
      <c r="FB351" s="34"/>
      <c r="FC351" s="34"/>
      <c r="FD351" s="34"/>
      <c r="FE351" s="34"/>
      <c r="FF351" s="34"/>
      <c r="FG351" s="34"/>
      <c r="FH351" s="34"/>
      <c r="FI351" s="34"/>
      <c r="FJ351" s="34"/>
      <c r="FK351" s="34"/>
      <c r="FL351" s="34"/>
      <c r="FM351" s="34"/>
      <c r="FN351" s="34"/>
      <c r="FO351" s="34"/>
      <c r="FP351" s="34"/>
      <c r="FQ351" s="34"/>
      <c r="FR351" s="34"/>
      <c r="FS351" s="34"/>
      <c r="FT351" s="34"/>
      <c r="FU351" s="34"/>
      <c r="FV351" s="34"/>
      <c r="FW351" s="34"/>
      <c r="FX351" s="34"/>
      <c r="FY351" s="34"/>
      <c r="FZ351" s="34"/>
      <c r="GA351" s="34"/>
      <c r="GB351" s="34"/>
      <c r="GC351" s="34"/>
      <c r="GD351" s="34"/>
      <c r="GE351" s="34"/>
      <c r="GF351" s="34"/>
      <c r="GG351" s="34"/>
      <c r="GH351" s="34"/>
      <c r="GI351" s="34"/>
      <c r="GJ351" s="34"/>
      <c r="GK351" s="34"/>
      <c r="GL351" s="34"/>
      <c r="GM351" s="34"/>
      <c r="GN351" s="34"/>
      <c r="GO351" s="34"/>
      <c r="GP351" s="34"/>
      <c r="GQ351" s="34"/>
      <c r="GR351" s="34"/>
      <c r="GS351" s="34"/>
      <c r="GT351" s="34"/>
      <c r="GU351" s="34"/>
      <c r="GV351" s="34"/>
      <c r="GW351" s="34"/>
      <c r="GX351" s="34"/>
      <c r="GY351" s="34"/>
      <c r="GZ351" s="34"/>
      <c r="HA351" s="34"/>
      <c r="HB351" s="34"/>
      <c r="HC351" s="34"/>
      <c r="HD351" s="34"/>
      <c r="HE351" s="34"/>
      <c r="HF351" s="34"/>
      <c r="HG351" s="34"/>
      <c r="HH351" s="34"/>
      <c r="HI351" s="34"/>
      <c r="HJ351" s="34"/>
      <c r="HK351" s="34"/>
      <c r="HL351" s="34"/>
    </row>
    <row r="352" spans="1:220" s="21" customFormat="1" ht="36" customHeight="1" x14ac:dyDescent="0.15">
      <c r="A352" s="97"/>
      <c r="B352" s="92" t="s">
        <v>686</v>
      </c>
      <c r="C352" s="64" t="s">
        <v>282</v>
      </c>
      <c r="D352" s="64" t="s">
        <v>280</v>
      </c>
      <c r="E352" s="8"/>
      <c r="F352" s="8"/>
      <c r="G352" s="88" t="s">
        <v>477</v>
      </c>
      <c r="H352" s="14"/>
      <c r="I352" s="14"/>
      <c r="J352" s="30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  <c r="DZ352" s="17"/>
      <c r="EA352" s="17"/>
      <c r="EB352" s="17"/>
      <c r="EC352" s="17"/>
      <c r="ED352" s="17"/>
      <c r="EE352" s="17"/>
      <c r="EF352" s="17"/>
      <c r="EG352" s="17"/>
      <c r="EH352" s="17"/>
      <c r="EI352" s="17"/>
      <c r="EJ352" s="17"/>
      <c r="EK352" s="17"/>
      <c r="EL352" s="17"/>
      <c r="EM352" s="17"/>
      <c r="EN352" s="17"/>
      <c r="EO352" s="17"/>
      <c r="EP352" s="17"/>
      <c r="EQ352" s="17"/>
      <c r="ER352" s="17"/>
      <c r="ES352" s="17"/>
      <c r="ET352" s="17"/>
      <c r="EU352" s="17"/>
      <c r="EV352" s="17"/>
      <c r="EW352" s="17"/>
      <c r="EX352" s="17"/>
      <c r="EY352" s="17"/>
      <c r="EZ352" s="17"/>
      <c r="FA352" s="17"/>
      <c r="FB352" s="17"/>
      <c r="FC352" s="17"/>
      <c r="FD352" s="17"/>
      <c r="FE352" s="17"/>
      <c r="FF352" s="17"/>
      <c r="FG352" s="17"/>
      <c r="FH352" s="17"/>
      <c r="FI352" s="17"/>
      <c r="FJ352" s="17"/>
      <c r="FK352" s="17"/>
      <c r="FL352" s="17"/>
      <c r="FM352" s="17"/>
      <c r="FN352" s="17"/>
      <c r="FO352" s="17"/>
      <c r="FP352" s="17"/>
      <c r="FQ352" s="17"/>
      <c r="FR352" s="17"/>
      <c r="FS352" s="17"/>
      <c r="FT352" s="17"/>
      <c r="FU352" s="17"/>
      <c r="FV352" s="17"/>
      <c r="FW352" s="17"/>
      <c r="FX352" s="17"/>
      <c r="FY352" s="17"/>
      <c r="FZ352" s="17"/>
      <c r="GA352" s="17"/>
      <c r="GB352" s="17"/>
      <c r="GC352" s="17"/>
      <c r="GD352" s="17"/>
      <c r="GE352" s="17"/>
      <c r="GF352" s="17"/>
      <c r="GG352" s="17"/>
      <c r="GH352" s="17"/>
      <c r="GI352" s="17"/>
      <c r="GJ352" s="17"/>
      <c r="GK352" s="17"/>
      <c r="GL352" s="17"/>
      <c r="GM352" s="17"/>
      <c r="GN352" s="17"/>
      <c r="GO352" s="17"/>
      <c r="GP352" s="17"/>
      <c r="GQ352" s="17"/>
      <c r="GR352" s="17"/>
      <c r="GS352" s="17"/>
      <c r="GT352" s="17"/>
      <c r="GU352" s="17"/>
      <c r="GV352" s="17"/>
      <c r="GW352" s="17"/>
      <c r="GX352" s="17"/>
      <c r="GY352" s="17"/>
      <c r="GZ352" s="17"/>
      <c r="HA352" s="17"/>
      <c r="HB352" s="17"/>
      <c r="HC352" s="17"/>
      <c r="HD352" s="17"/>
      <c r="HE352" s="17"/>
      <c r="HF352" s="17"/>
      <c r="HG352" s="17"/>
      <c r="HH352" s="17"/>
      <c r="HI352" s="17"/>
      <c r="HJ352" s="17"/>
      <c r="HK352" s="17"/>
      <c r="HL352" s="17"/>
    </row>
    <row r="353" spans="1:220" s="57" customFormat="1" ht="36" customHeight="1" x14ac:dyDescent="0.15">
      <c r="A353" s="97"/>
      <c r="B353" s="92" t="s">
        <v>687</v>
      </c>
      <c r="C353" s="64" t="s">
        <v>284</v>
      </c>
      <c r="D353" s="64" t="s">
        <v>280</v>
      </c>
      <c r="E353" s="53"/>
      <c r="F353" s="53"/>
      <c r="G353" s="82" t="s">
        <v>514</v>
      </c>
      <c r="H353" s="54"/>
      <c r="I353" s="54"/>
      <c r="J353" s="59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6"/>
      <c r="BR353" s="56"/>
      <c r="BS353" s="56"/>
      <c r="BT353" s="56"/>
      <c r="BU353" s="56"/>
      <c r="BV353" s="56"/>
      <c r="BW353" s="56"/>
      <c r="BX353" s="56"/>
      <c r="BY353" s="56"/>
      <c r="BZ353" s="56"/>
      <c r="CA353" s="56"/>
      <c r="CB353" s="56"/>
      <c r="CC353" s="56"/>
      <c r="CD353" s="56"/>
      <c r="CE353" s="56"/>
      <c r="CF353" s="56"/>
      <c r="CG353" s="56"/>
      <c r="CH353" s="56"/>
      <c r="CI353" s="56"/>
      <c r="CJ353" s="56"/>
      <c r="CK353" s="56"/>
      <c r="CL353" s="56"/>
      <c r="CM353" s="56"/>
      <c r="CN353" s="56"/>
      <c r="CO353" s="56"/>
      <c r="CP353" s="56"/>
      <c r="CQ353" s="56"/>
      <c r="CR353" s="56"/>
      <c r="CS353" s="56"/>
      <c r="CT353" s="56"/>
      <c r="CU353" s="56"/>
      <c r="CV353" s="56"/>
      <c r="CW353" s="56"/>
      <c r="CX353" s="56"/>
      <c r="CY353" s="56"/>
      <c r="CZ353" s="56"/>
      <c r="DA353" s="56"/>
      <c r="DB353" s="56"/>
      <c r="DC353" s="56"/>
      <c r="DD353" s="56"/>
      <c r="DE353" s="56"/>
      <c r="DF353" s="56"/>
      <c r="DG353" s="56"/>
      <c r="DH353" s="56"/>
      <c r="DI353" s="56"/>
      <c r="DJ353" s="56"/>
      <c r="DK353" s="56"/>
      <c r="DL353" s="56"/>
      <c r="DM353" s="56"/>
      <c r="DN353" s="56"/>
      <c r="DO353" s="56"/>
      <c r="DP353" s="56"/>
      <c r="DQ353" s="56"/>
      <c r="DR353" s="56"/>
      <c r="DS353" s="56"/>
      <c r="DT353" s="56"/>
      <c r="DU353" s="56"/>
      <c r="DV353" s="56"/>
      <c r="DW353" s="56"/>
      <c r="DX353" s="56"/>
      <c r="DY353" s="56"/>
      <c r="DZ353" s="56"/>
      <c r="EA353" s="56"/>
      <c r="EB353" s="56"/>
      <c r="EC353" s="56"/>
      <c r="ED353" s="56"/>
      <c r="EE353" s="56"/>
      <c r="EF353" s="56"/>
      <c r="EG353" s="56"/>
      <c r="EH353" s="56"/>
      <c r="EI353" s="56"/>
      <c r="EJ353" s="56"/>
      <c r="EK353" s="56"/>
      <c r="EL353" s="56"/>
      <c r="EM353" s="56"/>
      <c r="EN353" s="56"/>
      <c r="EO353" s="56"/>
      <c r="EP353" s="56"/>
      <c r="EQ353" s="56"/>
      <c r="ER353" s="56"/>
      <c r="ES353" s="56"/>
      <c r="ET353" s="56"/>
      <c r="EU353" s="56"/>
      <c r="EV353" s="56"/>
      <c r="EW353" s="56"/>
      <c r="EX353" s="56"/>
      <c r="EY353" s="56"/>
      <c r="EZ353" s="56"/>
      <c r="FA353" s="56"/>
      <c r="FB353" s="56"/>
      <c r="FC353" s="56"/>
      <c r="FD353" s="56"/>
      <c r="FE353" s="56"/>
      <c r="FF353" s="56"/>
      <c r="FG353" s="56"/>
      <c r="FH353" s="56"/>
      <c r="FI353" s="56"/>
      <c r="FJ353" s="56"/>
      <c r="FK353" s="56"/>
      <c r="FL353" s="56"/>
      <c r="FM353" s="56"/>
      <c r="FN353" s="56"/>
      <c r="FO353" s="56"/>
      <c r="FP353" s="56"/>
      <c r="FQ353" s="56"/>
      <c r="FR353" s="56"/>
      <c r="FS353" s="56"/>
      <c r="FT353" s="56"/>
      <c r="FU353" s="56"/>
      <c r="FV353" s="56"/>
      <c r="FW353" s="56"/>
      <c r="FX353" s="56"/>
      <c r="FY353" s="56"/>
      <c r="FZ353" s="56"/>
      <c r="GA353" s="56"/>
      <c r="GB353" s="56"/>
      <c r="GC353" s="56"/>
      <c r="GD353" s="56"/>
      <c r="GE353" s="56"/>
      <c r="GF353" s="56"/>
      <c r="GG353" s="56"/>
      <c r="GH353" s="56"/>
      <c r="GI353" s="56"/>
      <c r="GJ353" s="56"/>
      <c r="GK353" s="56"/>
      <c r="GL353" s="56"/>
      <c r="GM353" s="56"/>
      <c r="GN353" s="56"/>
      <c r="GO353" s="56"/>
      <c r="GP353" s="56"/>
      <c r="GQ353" s="56"/>
      <c r="GR353" s="56"/>
      <c r="GS353" s="56"/>
      <c r="GT353" s="56"/>
      <c r="GU353" s="56"/>
      <c r="GV353" s="56"/>
      <c r="GW353" s="56"/>
      <c r="GX353" s="56"/>
      <c r="GY353" s="56"/>
      <c r="GZ353" s="56"/>
      <c r="HA353" s="56"/>
      <c r="HB353" s="56"/>
      <c r="HC353" s="56"/>
      <c r="HD353" s="56"/>
      <c r="HE353" s="56"/>
      <c r="HF353" s="56"/>
      <c r="HG353" s="56"/>
      <c r="HH353" s="56"/>
      <c r="HI353" s="56"/>
      <c r="HJ353" s="56"/>
      <c r="HK353" s="56"/>
      <c r="HL353" s="56"/>
    </row>
    <row r="354" spans="1:220" ht="36" customHeight="1" x14ac:dyDescent="0.15">
      <c r="A354" s="97"/>
      <c r="B354" s="92" t="s">
        <v>688</v>
      </c>
      <c r="C354" s="64" t="s">
        <v>283</v>
      </c>
      <c r="D354" s="64" t="s">
        <v>280</v>
      </c>
      <c r="G354" s="82" t="s">
        <v>514</v>
      </c>
      <c r="H354" s="8"/>
    </row>
    <row r="355" spans="1:220" ht="36" customHeight="1" x14ac:dyDescent="0.15">
      <c r="A355" s="97"/>
      <c r="B355" s="92" t="s">
        <v>689</v>
      </c>
      <c r="C355" s="64" t="s">
        <v>300</v>
      </c>
      <c r="D355" s="64" t="s">
        <v>301</v>
      </c>
      <c r="G355" s="88" t="s">
        <v>477</v>
      </c>
      <c r="H355" s="8"/>
    </row>
    <row r="356" spans="1:220" ht="36" customHeight="1" x14ac:dyDescent="0.15">
      <c r="A356" s="97"/>
      <c r="B356" s="92" t="s">
        <v>690</v>
      </c>
      <c r="C356" s="64" t="s">
        <v>302</v>
      </c>
      <c r="D356" s="64" t="s">
        <v>301</v>
      </c>
      <c r="G356" s="88" t="s">
        <v>477</v>
      </c>
      <c r="H356" s="8"/>
    </row>
    <row r="357" spans="1:220" ht="36" customHeight="1" x14ac:dyDescent="0.15">
      <c r="A357" s="97"/>
      <c r="B357" s="92" t="s">
        <v>691</v>
      </c>
      <c r="C357" s="64" t="s">
        <v>303</v>
      </c>
      <c r="D357" s="64" t="s">
        <v>301</v>
      </c>
      <c r="G357" s="88" t="s">
        <v>477</v>
      </c>
      <c r="H357" s="8"/>
    </row>
    <row r="358" spans="1:220" ht="36" customHeight="1" x14ac:dyDescent="0.15">
      <c r="A358" s="97"/>
      <c r="B358" s="92" t="s">
        <v>692</v>
      </c>
      <c r="C358" s="64" t="s">
        <v>304</v>
      </c>
      <c r="D358" s="64" t="s">
        <v>301</v>
      </c>
      <c r="G358" s="82" t="s">
        <v>514</v>
      </c>
      <c r="H358" s="8"/>
    </row>
    <row r="359" spans="1:220" ht="36" customHeight="1" x14ac:dyDescent="0.15">
      <c r="A359" s="97"/>
      <c r="B359" s="92" t="s">
        <v>693</v>
      </c>
      <c r="C359" s="64" t="s">
        <v>305</v>
      </c>
      <c r="D359" s="64" t="s">
        <v>301</v>
      </c>
      <c r="G359" s="82" t="s">
        <v>514</v>
      </c>
      <c r="H359" s="8"/>
    </row>
    <row r="360" spans="1:220" ht="36" customHeight="1" x14ac:dyDescent="0.15">
      <c r="A360" s="97"/>
      <c r="B360" s="92" t="s">
        <v>722</v>
      </c>
      <c r="C360" s="67" t="s">
        <v>363</v>
      </c>
      <c r="D360" s="67" t="s">
        <v>370</v>
      </c>
      <c r="G360" s="88" t="s">
        <v>477</v>
      </c>
      <c r="H360" s="8"/>
    </row>
    <row r="361" spans="1:220" ht="36" customHeight="1" x14ac:dyDescent="0.15">
      <c r="A361" s="97"/>
      <c r="B361" s="92" t="s">
        <v>723</v>
      </c>
      <c r="C361" s="67" t="s">
        <v>364</v>
      </c>
      <c r="D361" s="67" t="s">
        <v>369</v>
      </c>
      <c r="G361" s="88" t="s">
        <v>477</v>
      </c>
      <c r="H361" s="8"/>
    </row>
    <row r="362" spans="1:220" ht="36" customHeight="1" x14ac:dyDescent="0.15">
      <c r="A362" s="97"/>
      <c r="B362" s="92" t="s">
        <v>724</v>
      </c>
      <c r="C362" s="67" t="s">
        <v>365</v>
      </c>
      <c r="D362" s="67" t="s">
        <v>368</v>
      </c>
      <c r="G362" s="88" t="s">
        <v>477</v>
      </c>
      <c r="H362" s="8"/>
    </row>
    <row r="363" spans="1:220" ht="36" customHeight="1" x14ac:dyDescent="0.15">
      <c r="A363" s="97"/>
      <c r="B363" s="92" t="s">
        <v>725</v>
      </c>
      <c r="C363" s="67" t="s">
        <v>366</v>
      </c>
      <c r="D363" s="67" t="s">
        <v>368</v>
      </c>
      <c r="G363" s="82" t="s">
        <v>514</v>
      </c>
      <c r="H363" s="8"/>
    </row>
    <row r="364" spans="1:220" ht="36" customHeight="1" x14ac:dyDescent="0.15">
      <c r="A364" s="97"/>
      <c r="B364" s="92" t="s">
        <v>729</v>
      </c>
      <c r="C364" s="67" t="s">
        <v>367</v>
      </c>
      <c r="D364" s="67" t="s">
        <v>368</v>
      </c>
      <c r="G364" s="82" t="s">
        <v>514</v>
      </c>
      <c r="H364" s="8"/>
    </row>
    <row r="365" spans="1:220" x14ac:dyDescent="0.15">
      <c r="A365" s="34"/>
      <c r="B365" s="34"/>
      <c r="C365" s="34"/>
      <c r="D365" s="34"/>
      <c r="E365" s="34"/>
      <c r="F365" s="34"/>
      <c r="G365" s="34"/>
      <c r="H365" s="34"/>
      <c r="I365" s="34"/>
      <c r="J365" s="31"/>
    </row>
    <row r="366" spans="1:220" x14ac:dyDescent="0.15">
      <c r="A366" s="34"/>
      <c r="B366" s="34"/>
      <c r="C366" s="34"/>
      <c r="D366" s="34"/>
      <c r="E366" s="34"/>
      <c r="F366" s="34"/>
      <c r="G366" s="34"/>
      <c r="H366" s="34"/>
      <c r="I366" s="34"/>
      <c r="J366" s="31"/>
    </row>
    <row r="367" spans="1:220" x14ac:dyDescent="0.15">
      <c r="A367" s="34"/>
      <c r="B367" s="34"/>
      <c r="C367" s="34"/>
      <c r="D367" s="34"/>
      <c r="E367" s="34"/>
      <c r="F367" s="34"/>
      <c r="G367" s="34"/>
      <c r="H367" s="34"/>
      <c r="I367" s="34"/>
      <c r="J367" s="31"/>
    </row>
    <row r="368" spans="1:220" x14ac:dyDescent="0.15">
      <c r="A368" s="34"/>
      <c r="B368" s="34"/>
      <c r="C368" s="34"/>
      <c r="D368" s="34"/>
      <c r="E368" s="34"/>
      <c r="F368" s="34"/>
      <c r="G368" s="34"/>
      <c r="H368" s="34"/>
      <c r="I368" s="34"/>
      <c r="J368" s="31"/>
    </row>
    <row r="369" spans="1:10" x14ac:dyDescent="0.15">
      <c r="A369" s="34"/>
      <c r="B369" s="34"/>
      <c r="C369" s="34"/>
      <c r="D369" s="34"/>
      <c r="E369" s="34"/>
      <c r="F369" s="34"/>
      <c r="G369" s="34"/>
      <c r="H369" s="34"/>
      <c r="I369" s="34"/>
      <c r="J369" s="31"/>
    </row>
    <row r="370" spans="1:10" x14ac:dyDescent="0.15">
      <c r="A370" s="34"/>
      <c r="B370" s="34"/>
      <c r="C370" s="34"/>
      <c r="D370" s="34"/>
      <c r="E370" s="34"/>
      <c r="F370" s="34"/>
      <c r="G370" s="34"/>
      <c r="H370" s="34"/>
      <c r="I370" s="34"/>
      <c r="J370" s="31"/>
    </row>
    <row r="371" spans="1:10" x14ac:dyDescent="0.15">
      <c r="A371" s="34"/>
      <c r="B371" s="34"/>
      <c r="C371" s="34"/>
      <c r="D371" s="34"/>
      <c r="E371" s="34"/>
      <c r="F371" s="34"/>
      <c r="G371" s="34"/>
      <c r="H371" s="34"/>
      <c r="I371" s="34"/>
      <c r="J371" s="31"/>
    </row>
    <row r="372" spans="1:10" x14ac:dyDescent="0.15">
      <c r="A372" s="34"/>
      <c r="B372" s="34"/>
      <c r="C372" s="34"/>
      <c r="D372" s="34"/>
      <c r="E372" s="34"/>
      <c r="F372" s="34"/>
      <c r="G372" s="34"/>
      <c r="H372" s="34"/>
      <c r="I372" s="34"/>
      <c r="J372" s="31"/>
    </row>
    <row r="373" spans="1:10" x14ac:dyDescent="0.15">
      <c r="A373" s="34"/>
      <c r="B373" s="34"/>
      <c r="C373" s="34"/>
      <c r="D373" s="34"/>
      <c r="E373" s="34"/>
      <c r="F373" s="34"/>
      <c r="G373" s="34"/>
      <c r="H373" s="34"/>
      <c r="I373" s="34"/>
      <c r="J373" s="31"/>
    </row>
    <row r="374" spans="1:10" x14ac:dyDescent="0.15">
      <c r="A374" s="34"/>
      <c r="B374" s="34"/>
      <c r="C374" s="34"/>
      <c r="D374" s="34"/>
      <c r="E374" s="34"/>
      <c r="F374" s="34"/>
      <c r="G374" s="34"/>
      <c r="H374" s="34"/>
      <c r="I374" s="34"/>
      <c r="J374" s="31"/>
    </row>
    <row r="375" spans="1:10" x14ac:dyDescent="0.15">
      <c r="A375" s="34"/>
      <c r="B375" s="34"/>
      <c r="C375" s="34"/>
      <c r="D375" s="34"/>
      <c r="E375" s="34"/>
      <c r="F375" s="34"/>
      <c r="G375" s="34"/>
      <c r="H375" s="34"/>
      <c r="I375" s="34"/>
      <c r="J375" s="31"/>
    </row>
    <row r="376" spans="1:10" x14ac:dyDescent="0.15">
      <c r="A376" s="34"/>
      <c r="B376" s="34"/>
      <c r="C376" s="34"/>
      <c r="D376" s="34"/>
      <c r="E376" s="34"/>
      <c r="F376" s="34"/>
      <c r="G376" s="34"/>
      <c r="H376" s="34"/>
      <c r="I376" s="34"/>
      <c r="J376" s="31"/>
    </row>
    <row r="377" spans="1:10" x14ac:dyDescent="0.15">
      <c r="A377" s="34"/>
      <c r="B377" s="34"/>
      <c r="C377" s="34"/>
      <c r="D377" s="34"/>
      <c r="E377" s="34"/>
      <c r="F377" s="34"/>
      <c r="G377" s="34"/>
      <c r="H377" s="34"/>
      <c r="I377" s="34"/>
      <c r="J377" s="31"/>
    </row>
    <row r="378" spans="1:10" x14ac:dyDescent="0.15">
      <c r="A378" s="34"/>
      <c r="B378" s="34"/>
      <c r="C378" s="34"/>
      <c r="D378" s="34"/>
      <c r="E378" s="34"/>
      <c r="F378" s="34"/>
      <c r="G378" s="34"/>
      <c r="H378" s="34"/>
      <c r="I378" s="34"/>
      <c r="J378" s="31"/>
    </row>
    <row r="379" spans="1:10" x14ac:dyDescent="0.15">
      <c r="A379" s="34"/>
      <c r="B379" s="34"/>
      <c r="C379" s="34"/>
      <c r="D379" s="34"/>
      <c r="E379" s="34"/>
      <c r="F379" s="34"/>
      <c r="G379" s="34"/>
      <c r="H379" s="34"/>
      <c r="I379" s="34"/>
      <c r="J379" s="31"/>
    </row>
    <row r="380" spans="1:10" x14ac:dyDescent="0.15">
      <c r="A380" s="34"/>
      <c r="B380" s="34"/>
      <c r="C380" s="34"/>
      <c r="D380" s="34"/>
      <c r="E380" s="34"/>
      <c r="F380" s="34"/>
      <c r="G380" s="34"/>
      <c r="H380" s="34"/>
      <c r="I380" s="34"/>
      <c r="J380" s="31"/>
    </row>
    <row r="381" spans="1:10" x14ac:dyDescent="0.15">
      <c r="A381" s="34"/>
      <c r="B381" s="34"/>
      <c r="C381" s="34"/>
      <c r="D381" s="34"/>
      <c r="E381" s="34"/>
      <c r="F381" s="34"/>
      <c r="G381" s="34"/>
      <c r="H381" s="34"/>
      <c r="I381" s="34"/>
      <c r="J381" s="31"/>
    </row>
    <row r="382" spans="1:10" x14ac:dyDescent="0.15">
      <c r="A382" s="34"/>
      <c r="B382" s="34"/>
      <c r="C382" s="34"/>
      <c r="D382" s="34"/>
      <c r="E382" s="34"/>
      <c r="F382" s="34"/>
      <c r="G382" s="34"/>
      <c r="H382" s="34"/>
      <c r="I382" s="34"/>
      <c r="J382" s="31"/>
    </row>
    <row r="383" spans="1:10" x14ac:dyDescent="0.15">
      <c r="A383" s="34"/>
      <c r="B383" s="34"/>
      <c r="C383" s="34"/>
      <c r="D383" s="34"/>
      <c r="E383" s="34"/>
      <c r="F383" s="34"/>
      <c r="G383" s="34"/>
      <c r="H383" s="34"/>
      <c r="I383" s="34"/>
      <c r="J383" s="31"/>
    </row>
    <row r="384" spans="1:10" x14ac:dyDescent="0.15">
      <c r="A384" s="34"/>
      <c r="B384" s="34"/>
      <c r="C384" s="34"/>
      <c r="D384" s="34"/>
      <c r="E384" s="34"/>
      <c r="F384" s="34"/>
      <c r="G384" s="34"/>
      <c r="H384" s="34"/>
      <c r="I384" s="34"/>
      <c r="J384" s="31"/>
    </row>
    <row r="385" spans="1:10" x14ac:dyDescent="0.15">
      <c r="A385" s="34"/>
      <c r="B385" s="34"/>
      <c r="C385" s="34"/>
      <c r="D385" s="34"/>
      <c r="E385" s="34"/>
      <c r="F385" s="34"/>
      <c r="G385" s="34"/>
      <c r="H385" s="34"/>
      <c r="I385" s="34"/>
      <c r="J385" s="31"/>
    </row>
    <row r="386" spans="1:10" x14ac:dyDescent="0.15">
      <c r="A386" s="34"/>
      <c r="B386" s="34"/>
      <c r="C386" s="34"/>
      <c r="D386" s="34"/>
      <c r="E386" s="34"/>
      <c r="F386" s="34"/>
      <c r="G386" s="34"/>
      <c r="H386" s="34"/>
      <c r="I386" s="34"/>
      <c r="J386" s="31"/>
    </row>
    <row r="387" spans="1:10" x14ac:dyDescent="0.15">
      <c r="A387" s="34"/>
      <c r="B387" s="34"/>
      <c r="C387" s="34"/>
      <c r="D387" s="34"/>
      <c r="E387" s="34"/>
      <c r="F387" s="34"/>
      <c r="G387" s="34"/>
      <c r="H387" s="34"/>
      <c r="I387" s="34"/>
      <c r="J387" s="31"/>
    </row>
    <row r="388" spans="1:10" x14ac:dyDescent="0.15">
      <c r="A388" s="34"/>
      <c r="B388" s="34"/>
      <c r="C388" s="34"/>
      <c r="D388" s="34"/>
      <c r="E388" s="34"/>
      <c r="F388" s="34"/>
      <c r="G388" s="34"/>
      <c r="H388" s="34"/>
      <c r="I388" s="34"/>
      <c r="J388" s="31"/>
    </row>
    <row r="389" spans="1:10" x14ac:dyDescent="0.15">
      <c r="A389" s="34"/>
      <c r="B389" s="34"/>
      <c r="C389" s="34"/>
      <c r="D389" s="34"/>
      <c r="E389" s="34"/>
      <c r="F389" s="34"/>
      <c r="G389" s="34"/>
      <c r="H389" s="34"/>
      <c r="I389" s="34"/>
      <c r="J389" s="31"/>
    </row>
    <row r="390" spans="1:10" x14ac:dyDescent="0.15">
      <c r="A390" s="34"/>
      <c r="B390" s="34"/>
      <c r="C390" s="34"/>
      <c r="D390" s="34"/>
      <c r="E390" s="34"/>
      <c r="F390" s="34"/>
      <c r="G390" s="34"/>
      <c r="H390" s="34"/>
      <c r="I390" s="34"/>
      <c r="J390" s="31"/>
    </row>
    <row r="391" spans="1:10" x14ac:dyDescent="0.15">
      <c r="A391" s="34"/>
      <c r="B391" s="34"/>
      <c r="C391" s="34"/>
      <c r="D391" s="34"/>
      <c r="E391" s="34"/>
      <c r="F391" s="34"/>
      <c r="G391" s="34"/>
      <c r="H391" s="34"/>
      <c r="I391" s="34"/>
      <c r="J391" s="31"/>
    </row>
    <row r="392" spans="1:10" x14ac:dyDescent="0.15">
      <c r="A392" s="34"/>
      <c r="B392" s="34"/>
      <c r="C392" s="34"/>
      <c r="D392" s="34"/>
      <c r="E392" s="34"/>
      <c r="F392" s="34"/>
      <c r="G392" s="34"/>
      <c r="H392" s="34"/>
      <c r="I392" s="34"/>
      <c r="J392" s="31"/>
    </row>
    <row r="393" spans="1:10" x14ac:dyDescent="0.15">
      <c r="A393" s="34"/>
      <c r="B393" s="34"/>
      <c r="C393" s="34"/>
      <c r="D393" s="34"/>
      <c r="E393" s="34"/>
      <c r="F393" s="34"/>
      <c r="G393" s="34"/>
      <c r="H393" s="34"/>
      <c r="I393" s="34"/>
      <c r="J393" s="31"/>
    </row>
    <row r="394" spans="1:10" x14ac:dyDescent="0.15">
      <c r="A394" s="34"/>
      <c r="B394" s="34"/>
      <c r="C394" s="34"/>
      <c r="D394" s="34"/>
      <c r="E394" s="34"/>
      <c r="F394" s="34"/>
      <c r="G394" s="34"/>
      <c r="H394" s="34"/>
      <c r="I394" s="34"/>
      <c r="J394" s="31"/>
    </row>
    <row r="395" spans="1:10" x14ac:dyDescent="0.15">
      <c r="A395" s="34"/>
      <c r="B395" s="34"/>
      <c r="C395" s="34"/>
      <c r="D395" s="34"/>
      <c r="E395" s="34"/>
      <c r="F395" s="34"/>
      <c r="G395" s="34"/>
      <c r="H395" s="34"/>
      <c r="I395" s="34"/>
      <c r="J395" s="31"/>
    </row>
    <row r="396" spans="1:10" x14ac:dyDescent="0.15">
      <c r="A396" s="34"/>
      <c r="B396" s="34"/>
      <c r="C396" s="34"/>
      <c r="D396" s="34"/>
      <c r="E396" s="34"/>
      <c r="F396" s="34"/>
      <c r="G396" s="34"/>
      <c r="H396" s="34"/>
      <c r="I396" s="34"/>
      <c r="J396" s="31"/>
    </row>
    <row r="397" spans="1:10" x14ac:dyDescent="0.15">
      <c r="A397" s="34"/>
      <c r="B397" s="34"/>
      <c r="C397" s="34"/>
      <c r="D397" s="34"/>
      <c r="E397" s="34"/>
      <c r="F397" s="34"/>
      <c r="G397" s="34"/>
      <c r="H397" s="34"/>
      <c r="I397" s="34"/>
      <c r="J397" s="31"/>
    </row>
    <row r="398" spans="1:10" x14ac:dyDescent="0.15">
      <c r="A398" s="34"/>
      <c r="B398" s="34"/>
      <c r="C398" s="34"/>
      <c r="D398" s="34"/>
      <c r="E398" s="34"/>
      <c r="F398" s="34"/>
      <c r="G398" s="34"/>
      <c r="H398" s="34"/>
      <c r="I398" s="34"/>
      <c r="J398" s="31"/>
    </row>
    <row r="399" spans="1:10" x14ac:dyDescent="0.15">
      <c r="A399" s="34"/>
      <c r="B399" s="34"/>
      <c r="C399" s="34"/>
      <c r="D399" s="34"/>
      <c r="E399" s="34"/>
      <c r="F399" s="34"/>
      <c r="G399" s="34"/>
      <c r="H399" s="34"/>
      <c r="I399" s="34"/>
      <c r="J399" s="31"/>
    </row>
    <row r="400" spans="1:10" x14ac:dyDescent="0.15">
      <c r="A400" s="34"/>
      <c r="B400" s="34"/>
      <c r="C400" s="34"/>
      <c r="D400" s="34"/>
      <c r="E400" s="34"/>
      <c r="F400" s="34"/>
      <c r="G400" s="34"/>
      <c r="H400" s="34"/>
      <c r="I400" s="34"/>
      <c r="J400" s="31"/>
    </row>
    <row r="401" spans="1:10" x14ac:dyDescent="0.15">
      <c r="A401" s="34"/>
      <c r="B401" s="34"/>
      <c r="C401" s="34"/>
      <c r="D401" s="34"/>
      <c r="E401" s="34"/>
      <c r="F401" s="34"/>
      <c r="G401" s="34"/>
      <c r="H401" s="34"/>
      <c r="I401" s="34"/>
      <c r="J401" s="31"/>
    </row>
    <row r="402" spans="1:10" x14ac:dyDescent="0.15">
      <c r="A402" s="34"/>
      <c r="B402" s="34"/>
      <c r="C402" s="34"/>
      <c r="D402" s="34"/>
      <c r="E402" s="34"/>
      <c r="F402" s="34"/>
      <c r="G402" s="34"/>
      <c r="H402" s="34"/>
      <c r="I402" s="34"/>
      <c r="J402" s="31"/>
    </row>
    <row r="403" spans="1:10" x14ac:dyDescent="0.15">
      <c r="A403" s="34"/>
      <c r="B403" s="34"/>
      <c r="C403" s="34"/>
      <c r="D403" s="34"/>
      <c r="E403" s="34"/>
      <c r="F403" s="34"/>
      <c r="G403" s="34"/>
      <c r="H403" s="34"/>
      <c r="I403" s="34"/>
      <c r="J403" s="31"/>
    </row>
    <row r="404" spans="1:10" x14ac:dyDescent="0.15">
      <c r="A404" s="34"/>
      <c r="B404" s="34"/>
      <c r="C404" s="34"/>
      <c r="D404" s="34"/>
      <c r="E404" s="34"/>
      <c r="F404" s="34"/>
      <c r="G404" s="34"/>
      <c r="H404" s="34"/>
      <c r="I404" s="34"/>
      <c r="J404" s="31"/>
    </row>
    <row r="405" spans="1:10" x14ac:dyDescent="0.15">
      <c r="A405" s="34"/>
      <c r="B405" s="34"/>
      <c r="C405" s="34"/>
      <c r="D405" s="34"/>
      <c r="E405" s="34"/>
      <c r="F405" s="34"/>
      <c r="G405" s="34"/>
      <c r="H405" s="34"/>
      <c r="I405" s="34"/>
      <c r="J405" s="31"/>
    </row>
    <row r="406" spans="1:10" x14ac:dyDescent="0.15">
      <c r="A406" s="34"/>
      <c r="B406" s="34"/>
      <c r="C406" s="34"/>
      <c r="D406" s="34"/>
      <c r="E406" s="34"/>
      <c r="F406" s="34"/>
      <c r="G406" s="34"/>
      <c r="H406" s="34"/>
      <c r="I406" s="34"/>
      <c r="J406" s="31"/>
    </row>
    <row r="407" spans="1:10" x14ac:dyDescent="0.15">
      <c r="A407" s="34"/>
      <c r="B407" s="34"/>
      <c r="C407" s="34"/>
      <c r="D407" s="34"/>
      <c r="E407" s="34"/>
      <c r="F407" s="34"/>
      <c r="G407" s="34"/>
      <c r="H407" s="34"/>
      <c r="I407" s="34"/>
      <c r="J407" s="31"/>
    </row>
    <row r="408" spans="1:10" x14ac:dyDescent="0.15">
      <c r="A408" s="34"/>
      <c r="B408" s="34"/>
      <c r="C408" s="34"/>
      <c r="D408" s="34"/>
      <c r="E408" s="34"/>
      <c r="F408" s="34"/>
      <c r="G408" s="34"/>
      <c r="H408" s="34"/>
      <c r="I408" s="34"/>
      <c r="J408" s="31"/>
    </row>
    <row r="409" spans="1:10" x14ac:dyDescent="0.15">
      <c r="A409" s="34"/>
      <c r="B409" s="34"/>
      <c r="C409" s="34"/>
      <c r="D409" s="34"/>
      <c r="E409" s="34"/>
      <c r="F409" s="34"/>
      <c r="G409" s="34"/>
      <c r="H409" s="34"/>
      <c r="I409" s="34"/>
      <c r="J409" s="31"/>
    </row>
    <row r="410" spans="1:10" x14ac:dyDescent="0.15">
      <c r="A410" s="34"/>
      <c r="B410" s="34"/>
      <c r="C410" s="34"/>
      <c r="D410" s="34"/>
      <c r="E410" s="34"/>
      <c r="F410" s="34"/>
      <c r="G410" s="34"/>
      <c r="H410" s="34"/>
      <c r="I410" s="34"/>
      <c r="J410" s="31"/>
    </row>
    <row r="411" spans="1:10" x14ac:dyDescent="0.15">
      <c r="A411" s="34"/>
      <c r="B411" s="34"/>
      <c r="C411" s="34"/>
      <c r="D411" s="34"/>
      <c r="E411" s="34"/>
      <c r="F411" s="34"/>
      <c r="G411" s="34"/>
      <c r="H411" s="34"/>
      <c r="I411" s="34"/>
      <c r="J411" s="31"/>
    </row>
    <row r="412" spans="1:10" x14ac:dyDescent="0.15">
      <c r="A412" s="34"/>
      <c r="B412" s="34"/>
      <c r="C412" s="34"/>
      <c r="D412" s="34"/>
      <c r="E412" s="34"/>
      <c r="F412" s="34"/>
      <c r="G412" s="34"/>
      <c r="H412" s="34"/>
      <c r="I412" s="34"/>
      <c r="J412" s="31"/>
    </row>
    <row r="413" spans="1:10" x14ac:dyDescent="0.15">
      <c r="A413" s="34"/>
      <c r="B413" s="34"/>
      <c r="C413" s="34"/>
      <c r="D413" s="34"/>
      <c r="E413" s="34"/>
      <c r="F413" s="34"/>
      <c r="G413" s="34"/>
      <c r="H413" s="34"/>
      <c r="I413" s="34"/>
      <c r="J413" s="31"/>
    </row>
    <row r="414" spans="1:10" x14ac:dyDescent="0.15">
      <c r="A414" s="34"/>
      <c r="B414" s="34"/>
      <c r="C414" s="34"/>
      <c r="D414" s="34"/>
      <c r="E414" s="34"/>
      <c r="F414" s="34"/>
      <c r="G414" s="34"/>
      <c r="H414" s="34"/>
      <c r="I414" s="34"/>
      <c r="J414" s="31"/>
    </row>
    <row r="415" spans="1:10" x14ac:dyDescent="0.15">
      <c r="A415" s="34"/>
      <c r="B415" s="34"/>
      <c r="C415" s="34"/>
      <c r="D415" s="34"/>
      <c r="E415" s="34"/>
      <c r="F415" s="34"/>
      <c r="G415" s="34"/>
      <c r="H415" s="34"/>
      <c r="I415" s="34"/>
      <c r="J415" s="31"/>
    </row>
    <row r="416" spans="1:10" x14ac:dyDescent="0.15">
      <c r="A416" s="34"/>
      <c r="B416" s="34"/>
      <c r="C416" s="34"/>
      <c r="D416" s="34"/>
      <c r="E416" s="34"/>
      <c r="F416" s="34"/>
      <c r="G416" s="34"/>
      <c r="H416" s="34"/>
      <c r="I416" s="34"/>
      <c r="J416" s="31"/>
    </row>
    <row r="417" spans="1:10" x14ac:dyDescent="0.15">
      <c r="A417" s="34"/>
      <c r="B417" s="34"/>
      <c r="C417" s="34"/>
      <c r="D417" s="34"/>
      <c r="E417" s="34"/>
      <c r="F417" s="34"/>
      <c r="G417" s="34"/>
      <c r="H417" s="34"/>
      <c r="I417" s="34"/>
      <c r="J417" s="31"/>
    </row>
    <row r="418" spans="1:10" x14ac:dyDescent="0.15">
      <c r="A418" s="34"/>
      <c r="B418" s="34"/>
      <c r="C418" s="34"/>
      <c r="D418" s="34"/>
      <c r="E418" s="34"/>
      <c r="F418" s="34"/>
      <c r="G418" s="34"/>
      <c r="H418" s="34"/>
      <c r="I418" s="34"/>
      <c r="J418" s="31"/>
    </row>
    <row r="419" spans="1:10" x14ac:dyDescent="0.15">
      <c r="A419" s="34"/>
      <c r="B419" s="34"/>
      <c r="C419" s="34"/>
      <c r="D419" s="34"/>
      <c r="E419" s="34"/>
      <c r="F419" s="34"/>
      <c r="G419" s="34"/>
      <c r="H419" s="34"/>
      <c r="I419" s="34"/>
      <c r="J419" s="31"/>
    </row>
    <row r="420" spans="1:10" x14ac:dyDescent="0.15">
      <c r="A420" s="34"/>
      <c r="B420" s="34"/>
      <c r="C420" s="34"/>
      <c r="D420" s="34"/>
      <c r="E420" s="34"/>
      <c r="F420" s="34"/>
      <c r="G420" s="34"/>
      <c r="H420" s="34"/>
      <c r="I420" s="34"/>
      <c r="J420" s="31"/>
    </row>
    <row r="421" spans="1:10" x14ac:dyDescent="0.15">
      <c r="A421" s="34"/>
      <c r="B421" s="34"/>
      <c r="C421" s="34"/>
      <c r="D421" s="34"/>
      <c r="E421" s="34"/>
      <c r="F421" s="34"/>
      <c r="G421" s="34"/>
      <c r="H421" s="34"/>
      <c r="I421" s="34"/>
      <c r="J421" s="31"/>
    </row>
    <row r="422" spans="1:10" x14ac:dyDescent="0.15">
      <c r="A422" s="34"/>
      <c r="B422" s="34"/>
      <c r="C422" s="34"/>
      <c r="D422" s="34"/>
      <c r="E422" s="34"/>
      <c r="F422" s="34"/>
      <c r="G422" s="34"/>
      <c r="H422" s="34"/>
      <c r="I422" s="34"/>
      <c r="J422" s="31"/>
    </row>
    <row r="423" spans="1:10" x14ac:dyDescent="0.15">
      <c r="A423" s="34"/>
      <c r="B423" s="34"/>
      <c r="C423" s="34"/>
      <c r="D423" s="34"/>
      <c r="E423" s="34"/>
      <c r="F423" s="34"/>
      <c r="G423" s="34"/>
      <c r="H423" s="34"/>
      <c r="I423" s="34"/>
      <c r="J423" s="31"/>
    </row>
    <row r="424" spans="1:10" x14ac:dyDescent="0.15">
      <c r="A424" s="34"/>
      <c r="B424" s="34"/>
      <c r="C424" s="34"/>
      <c r="D424" s="34"/>
      <c r="E424" s="34"/>
      <c r="F424" s="34"/>
      <c r="G424" s="34"/>
      <c r="H424" s="34"/>
      <c r="I424" s="34"/>
      <c r="J424" s="31"/>
    </row>
    <row r="425" spans="1:10" x14ac:dyDescent="0.15">
      <c r="A425" s="34"/>
      <c r="B425" s="34"/>
      <c r="C425" s="34"/>
      <c r="D425" s="34"/>
      <c r="E425" s="34"/>
      <c r="F425" s="34"/>
      <c r="G425" s="34"/>
      <c r="H425" s="34"/>
      <c r="I425" s="34"/>
      <c r="J425" s="31"/>
    </row>
    <row r="426" spans="1:10" x14ac:dyDescent="0.15">
      <c r="A426" s="34"/>
      <c r="B426" s="34"/>
      <c r="C426" s="34"/>
      <c r="D426" s="34"/>
      <c r="E426" s="34"/>
      <c r="F426" s="34"/>
      <c r="G426" s="34"/>
      <c r="H426" s="34"/>
      <c r="I426" s="34"/>
      <c r="J426" s="31"/>
    </row>
    <row r="427" spans="1:10" x14ac:dyDescent="0.15">
      <c r="A427" s="34"/>
      <c r="B427" s="34"/>
      <c r="C427" s="34"/>
      <c r="D427" s="34"/>
      <c r="E427" s="34"/>
      <c r="F427" s="34"/>
      <c r="G427" s="34"/>
      <c r="H427" s="34"/>
      <c r="I427" s="34"/>
      <c r="J427" s="31"/>
    </row>
    <row r="428" spans="1:10" x14ac:dyDescent="0.15">
      <c r="A428" s="34"/>
      <c r="B428" s="34"/>
      <c r="C428" s="34"/>
      <c r="D428" s="34"/>
      <c r="E428" s="34"/>
      <c r="F428" s="34"/>
      <c r="G428" s="34"/>
      <c r="H428" s="34"/>
      <c r="I428" s="34"/>
      <c r="J428" s="31"/>
    </row>
    <row r="429" spans="1:10" x14ac:dyDescent="0.15">
      <c r="A429" s="34"/>
      <c r="B429" s="34"/>
      <c r="C429" s="34"/>
      <c r="D429" s="34"/>
      <c r="E429" s="34"/>
      <c r="F429" s="34"/>
      <c r="G429" s="34"/>
      <c r="H429" s="34"/>
      <c r="I429" s="34"/>
      <c r="J429" s="31"/>
    </row>
    <row r="430" spans="1:10" x14ac:dyDescent="0.15">
      <c r="A430" s="34"/>
      <c r="B430" s="34"/>
      <c r="C430" s="34"/>
      <c r="D430" s="34"/>
      <c r="E430" s="34"/>
      <c r="F430" s="34"/>
      <c r="G430" s="34"/>
      <c r="H430" s="34"/>
      <c r="I430" s="34"/>
      <c r="J430" s="31"/>
    </row>
    <row r="431" spans="1:10" x14ac:dyDescent="0.15">
      <c r="A431" s="34"/>
      <c r="B431" s="34"/>
      <c r="C431" s="34"/>
      <c r="D431" s="34"/>
      <c r="E431" s="34"/>
      <c r="F431" s="34"/>
      <c r="G431" s="34"/>
      <c r="H431" s="34"/>
      <c r="I431" s="34"/>
      <c r="J431" s="31"/>
    </row>
    <row r="432" spans="1:10" x14ac:dyDescent="0.15">
      <c r="A432" s="34"/>
      <c r="B432" s="34"/>
      <c r="C432" s="34"/>
      <c r="D432" s="34"/>
      <c r="E432" s="34"/>
      <c r="F432" s="34"/>
      <c r="G432" s="34"/>
      <c r="H432" s="34"/>
      <c r="I432" s="34"/>
      <c r="J432" s="31"/>
    </row>
    <row r="433" spans="1:10" x14ac:dyDescent="0.15">
      <c r="A433" s="34"/>
      <c r="B433" s="34"/>
      <c r="C433" s="34"/>
      <c r="D433" s="34"/>
      <c r="E433" s="34"/>
      <c r="F433" s="34"/>
      <c r="G433" s="34"/>
      <c r="H433" s="34"/>
      <c r="I433" s="34"/>
      <c r="J433" s="31"/>
    </row>
    <row r="434" spans="1:10" x14ac:dyDescent="0.15">
      <c r="A434" s="34"/>
      <c r="B434" s="34"/>
      <c r="C434" s="34"/>
      <c r="D434" s="34"/>
      <c r="E434" s="34"/>
      <c r="F434" s="34"/>
      <c r="G434" s="34"/>
      <c r="H434" s="34"/>
      <c r="I434" s="34"/>
      <c r="J434" s="31"/>
    </row>
    <row r="435" spans="1:10" x14ac:dyDescent="0.15">
      <c r="A435" s="34"/>
      <c r="B435" s="34"/>
      <c r="C435" s="34"/>
      <c r="D435" s="34"/>
      <c r="E435" s="34"/>
      <c r="F435" s="34"/>
      <c r="G435" s="34"/>
      <c r="H435" s="34"/>
      <c r="I435" s="34"/>
      <c r="J435" s="31"/>
    </row>
    <row r="436" spans="1:10" x14ac:dyDescent="0.15">
      <c r="A436" s="34"/>
      <c r="B436" s="34"/>
      <c r="C436" s="34"/>
      <c r="D436" s="34"/>
      <c r="E436" s="34"/>
      <c r="F436" s="34"/>
      <c r="G436" s="34"/>
      <c r="H436" s="34"/>
      <c r="I436" s="34"/>
      <c r="J436" s="31"/>
    </row>
    <row r="437" spans="1:10" x14ac:dyDescent="0.15">
      <c r="A437" s="34"/>
      <c r="B437" s="34"/>
      <c r="C437" s="34"/>
      <c r="D437" s="34"/>
      <c r="E437" s="34"/>
      <c r="F437" s="34"/>
      <c r="G437" s="34"/>
      <c r="H437" s="34"/>
      <c r="I437" s="34"/>
      <c r="J437" s="31"/>
    </row>
    <row r="438" spans="1:10" x14ac:dyDescent="0.15">
      <c r="A438" s="34"/>
      <c r="B438" s="34"/>
      <c r="C438" s="34"/>
      <c r="D438" s="34"/>
      <c r="E438" s="34"/>
      <c r="F438" s="34"/>
      <c r="G438" s="34"/>
      <c r="H438" s="34"/>
      <c r="I438" s="34"/>
      <c r="J438" s="31"/>
    </row>
    <row r="439" spans="1:10" x14ac:dyDescent="0.15">
      <c r="A439" s="34"/>
      <c r="B439" s="34"/>
      <c r="C439" s="34"/>
      <c r="D439" s="34"/>
      <c r="E439" s="34"/>
      <c r="F439" s="34"/>
      <c r="G439" s="34"/>
      <c r="H439" s="34"/>
      <c r="I439" s="34"/>
      <c r="J439" s="31"/>
    </row>
    <row r="440" spans="1:10" x14ac:dyDescent="0.15">
      <c r="A440" s="34"/>
      <c r="B440" s="34"/>
      <c r="C440" s="34"/>
      <c r="D440" s="34"/>
      <c r="E440" s="34"/>
      <c r="F440" s="34"/>
      <c r="G440" s="34"/>
      <c r="H440" s="34"/>
      <c r="I440" s="34"/>
      <c r="J440" s="31"/>
    </row>
    <row r="441" spans="1:10" x14ac:dyDescent="0.15">
      <c r="A441" s="34"/>
      <c r="B441" s="34"/>
      <c r="C441" s="34"/>
      <c r="D441" s="34"/>
      <c r="E441" s="34"/>
      <c r="F441" s="34"/>
      <c r="G441" s="34"/>
      <c r="H441" s="34"/>
      <c r="I441" s="34"/>
      <c r="J441" s="31"/>
    </row>
    <row r="442" spans="1:10" x14ac:dyDescent="0.15">
      <c r="A442" s="34"/>
      <c r="B442" s="34"/>
      <c r="C442" s="34"/>
      <c r="D442" s="34"/>
      <c r="E442" s="34"/>
      <c r="F442" s="34"/>
      <c r="G442" s="34"/>
      <c r="H442" s="34"/>
      <c r="I442" s="34"/>
      <c r="J442" s="31"/>
    </row>
    <row r="443" spans="1:10" x14ac:dyDescent="0.15">
      <c r="A443" s="34"/>
      <c r="B443" s="34"/>
      <c r="C443" s="34"/>
      <c r="D443" s="34"/>
      <c r="E443" s="34"/>
      <c r="F443" s="34"/>
      <c r="G443" s="34"/>
      <c r="H443" s="34"/>
      <c r="I443" s="34"/>
      <c r="J443" s="31"/>
    </row>
    <row r="444" spans="1:10" x14ac:dyDescent="0.15">
      <c r="A444" s="34"/>
      <c r="B444" s="34"/>
      <c r="C444" s="34"/>
      <c r="D444" s="34"/>
      <c r="E444" s="34"/>
      <c r="F444" s="34"/>
      <c r="G444" s="34"/>
      <c r="H444" s="34"/>
      <c r="I444" s="34"/>
      <c r="J444" s="31"/>
    </row>
    <row r="445" spans="1:10" x14ac:dyDescent="0.15">
      <c r="A445" s="34"/>
      <c r="B445" s="34"/>
      <c r="C445" s="34"/>
      <c r="D445" s="34"/>
      <c r="E445" s="34"/>
      <c r="F445" s="34"/>
      <c r="G445" s="34"/>
      <c r="H445" s="34"/>
      <c r="I445" s="34"/>
      <c r="J445" s="31"/>
    </row>
    <row r="446" spans="1:10" x14ac:dyDescent="0.15">
      <c r="A446" s="34"/>
      <c r="B446" s="34"/>
      <c r="C446" s="34"/>
      <c r="D446" s="34"/>
      <c r="E446" s="34"/>
      <c r="F446" s="34"/>
      <c r="G446" s="34"/>
      <c r="H446" s="34"/>
      <c r="I446" s="34"/>
      <c r="J446" s="31"/>
    </row>
    <row r="447" spans="1:10" x14ac:dyDescent="0.15">
      <c r="A447" s="34"/>
      <c r="B447" s="34"/>
      <c r="C447" s="34"/>
      <c r="D447" s="34"/>
      <c r="E447" s="34"/>
      <c r="F447" s="34"/>
      <c r="G447" s="34"/>
      <c r="H447" s="34"/>
      <c r="I447" s="34"/>
      <c r="J447" s="31"/>
    </row>
    <row r="448" spans="1:10" x14ac:dyDescent="0.15">
      <c r="A448" s="34"/>
      <c r="B448" s="34"/>
      <c r="C448" s="34"/>
      <c r="D448" s="34"/>
      <c r="E448" s="34"/>
      <c r="F448" s="34"/>
      <c r="G448" s="34"/>
      <c r="H448" s="34"/>
      <c r="I448" s="34"/>
      <c r="J448" s="31"/>
    </row>
    <row r="449" spans="1:10" x14ac:dyDescent="0.15">
      <c r="A449" s="34"/>
      <c r="B449" s="34"/>
      <c r="C449" s="34"/>
      <c r="D449" s="34"/>
      <c r="E449" s="34"/>
      <c r="F449" s="34"/>
      <c r="G449" s="34"/>
      <c r="H449" s="34"/>
      <c r="I449" s="34"/>
      <c r="J449" s="31"/>
    </row>
    <row r="450" spans="1:10" x14ac:dyDescent="0.15">
      <c r="A450" s="34"/>
      <c r="B450" s="34"/>
      <c r="C450" s="34"/>
      <c r="D450" s="34"/>
      <c r="E450" s="34"/>
      <c r="F450" s="34"/>
      <c r="G450" s="34"/>
      <c r="H450" s="34"/>
      <c r="I450" s="34"/>
      <c r="J450" s="31"/>
    </row>
    <row r="451" spans="1:10" x14ac:dyDescent="0.15">
      <c r="A451" s="34"/>
      <c r="B451" s="34"/>
      <c r="C451" s="34"/>
      <c r="D451" s="34"/>
      <c r="E451" s="34"/>
      <c r="F451" s="34"/>
      <c r="G451" s="34"/>
      <c r="H451" s="34"/>
      <c r="I451" s="34"/>
      <c r="J451" s="31"/>
    </row>
    <row r="452" spans="1:10" x14ac:dyDescent="0.15">
      <c r="A452" s="34"/>
      <c r="B452" s="34"/>
      <c r="C452" s="34"/>
      <c r="D452" s="34"/>
      <c r="E452" s="34"/>
      <c r="F452" s="34"/>
      <c r="G452" s="34"/>
      <c r="H452" s="34"/>
      <c r="I452" s="34"/>
      <c r="J452" s="31"/>
    </row>
    <row r="453" spans="1:10" x14ac:dyDescent="0.15">
      <c r="A453" s="34"/>
      <c r="B453" s="34"/>
      <c r="C453" s="34"/>
      <c r="D453" s="34"/>
      <c r="E453" s="34"/>
      <c r="F453" s="34"/>
      <c r="G453" s="34"/>
      <c r="H453" s="34"/>
      <c r="I453" s="34"/>
      <c r="J453" s="31"/>
    </row>
    <row r="454" spans="1:10" x14ac:dyDescent="0.15">
      <c r="A454" s="34"/>
      <c r="B454" s="34"/>
      <c r="C454" s="34"/>
      <c r="D454" s="34"/>
      <c r="E454" s="34"/>
      <c r="F454" s="34"/>
      <c r="G454" s="34"/>
      <c r="H454" s="34"/>
      <c r="I454" s="34"/>
      <c r="J454" s="31"/>
    </row>
    <row r="455" spans="1:10" x14ac:dyDescent="0.15">
      <c r="A455" s="34"/>
      <c r="B455" s="34"/>
      <c r="C455" s="34"/>
      <c r="D455" s="34"/>
      <c r="E455" s="34"/>
      <c r="F455" s="34"/>
      <c r="G455" s="34"/>
      <c r="H455" s="34"/>
      <c r="I455" s="34"/>
      <c r="J455" s="31"/>
    </row>
    <row r="456" spans="1:10" x14ac:dyDescent="0.15">
      <c r="A456" s="34"/>
      <c r="B456" s="34"/>
      <c r="C456" s="34"/>
      <c r="D456" s="34"/>
      <c r="E456" s="34"/>
      <c r="F456" s="34"/>
      <c r="G456" s="34"/>
      <c r="H456" s="34"/>
      <c r="I456" s="34"/>
      <c r="J456" s="31"/>
    </row>
    <row r="457" spans="1:10" x14ac:dyDescent="0.15">
      <c r="A457" s="34"/>
      <c r="B457" s="34"/>
      <c r="C457" s="34"/>
      <c r="D457" s="34"/>
      <c r="E457" s="34"/>
      <c r="F457" s="34"/>
      <c r="G457" s="34"/>
      <c r="H457" s="34"/>
      <c r="I457" s="34"/>
      <c r="J457" s="31"/>
    </row>
    <row r="458" spans="1:10" x14ac:dyDescent="0.15">
      <c r="A458" s="34"/>
      <c r="B458" s="34"/>
      <c r="C458" s="34"/>
      <c r="D458" s="34"/>
      <c r="E458" s="34"/>
      <c r="F458" s="34"/>
      <c r="G458" s="34"/>
      <c r="H458" s="34"/>
      <c r="I458" s="34"/>
      <c r="J458" s="31"/>
    </row>
    <row r="459" spans="1:10" x14ac:dyDescent="0.15">
      <c r="A459" s="34"/>
      <c r="B459" s="34"/>
      <c r="C459" s="34"/>
      <c r="D459" s="34"/>
      <c r="E459" s="34"/>
      <c r="F459" s="34"/>
      <c r="G459" s="34"/>
      <c r="H459" s="34"/>
      <c r="I459" s="34"/>
      <c r="J459" s="31"/>
    </row>
    <row r="460" spans="1:10" x14ac:dyDescent="0.15">
      <c r="A460" s="34"/>
      <c r="B460" s="34"/>
      <c r="C460" s="34"/>
      <c r="D460" s="34"/>
      <c r="E460" s="34"/>
      <c r="F460" s="34"/>
      <c r="G460" s="34"/>
      <c r="H460" s="34"/>
      <c r="I460" s="34"/>
      <c r="J460" s="31"/>
    </row>
    <row r="461" spans="1:10" x14ac:dyDescent="0.15">
      <c r="A461" s="34"/>
      <c r="B461" s="34"/>
      <c r="C461" s="34"/>
      <c r="D461" s="34"/>
      <c r="E461" s="34"/>
      <c r="F461" s="34"/>
      <c r="G461" s="34"/>
      <c r="H461" s="34"/>
      <c r="I461" s="34"/>
      <c r="J461" s="31"/>
    </row>
    <row r="462" spans="1:10" x14ac:dyDescent="0.15">
      <c r="A462" s="34"/>
      <c r="B462" s="34"/>
      <c r="C462" s="34"/>
      <c r="D462" s="34"/>
      <c r="E462" s="34"/>
      <c r="F462" s="34"/>
      <c r="G462" s="34"/>
      <c r="H462" s="34"/>
      <c r="I462" s="34"/>
      <c r="J462" s="31"/>
    </row>
    <row r="463" spans="1:10" x14ac:dyDescent="0.15">
      <c r="A463" s="34"/>
      <c r="B463" s="34"/>
      <c r="C463" s="34"/>
      <c r="D463" s="34"/>
      <c r="E463" s="34"/>
      <c r="F463" s="34"/>
      <c r="G463" s="34"/>
      <c r="H463" s="34"/>
      <c r="I463" s="34"/>
      <c r="J463" s="31"/>
    </row>
    <row r="464" spans="1:10" x14ac:dyDescent="0.15">
      <c r="A464" s="34"/>
      <c r="B464" s="34"/>
      <c r="C464" s="34"/>
      <c r="D464" s="34"/>
      <c r="E464" s="34"/>
      <c r="F464" s="34"/>
      <c r="G464" s="34"/>
      <c r="H464" s="34"/>
      <c r="I464" s="34"/>
      <c r="J464" s="31"/>
    </row>
    <row r="465" spans="1:10" x14ac:dyDescent="0.15">
      <c r="A465" s="34"/>
      <c r="B465" s="34"/>
      <c r="C465" s="34"/>
      <c r="D465" s="34"/>
      <c r="E465" s="34"/>
      <c r="F465" s="34"/>
      <c r="G465" s="34"/>
      <c r="H465" s="34"/>
      <c r="I465" s="34"/>
      <c r="J465" s="31"/>
    </row>
    <row r="466" spans="1:10" x14ac:dyDescent="0.15">
      <c r="A466" s="34"/>
      <c r="B466" s="34"/>
      <c r="C466" s="34"/>
      <c r="D466" s="34"/>
      <c r="E466" s="34"/>
      <c r="F466" s="34"/>
      <c r="G466" s="34"/>
      <c r="H466" s="34"/>
      <c r="I466" s="34"/>
      <c r="J466" s="31"/>
    </row>
    <row r="467" spans="1:10" x14ac:dyDescent="0.15">
      <c r="A467" s="34"/>
      <c r="B467" s="34"/>
      <c r="C467" s="34"/>
      <c r="D467" s="34"/>
      <c r="E467" s="34"/>
      <c r="F467" s="34"/>
      <c r="G467" s="34"/>
      <c r="H467" s="34"/>
      <c r="I467" s="34"/>
      <c r="J467" s="31"/>
    </row>
    <row r="468" spans="1:10" x14ac:dyDescent="0.15">
      <c r="A468" s="34"/>
      <c r="B468" s="34"/>
      <c r="C468" s="34"/>
      <c r="D468" s="34"/>
      <c r="E468" s="34"/>
      <c r="F468" s="34"/>
      <c r="G468" s="34"/>
      <c r="H468" s="34"/>
      <c r="I468" s="34"/>
      <c r="J468" s="31"/>
    </row>
    <row r="469" spans="1:10" x14ac:dyDescent="0.15">
      <c r="A469" s="34"/>
      <c r="B469" s="34"/>
      <c r="C469" s="34"/>
      <c r="D469" s="34"/>
      <c r="E469" s="34"/>
      <c r="F469" s="34"/>
      <c r="G469" s="34"/>
      <c r="H469" s="34"/>
      <c r="I469" s="34"/>
      <c r="J469" s="31"/>
    </row>
    <row r="470" spans="1:10" x14ac:dyDescent="0.15">
      <c r="A470" s="34"/>
      <c r="B470" s="34"/>
      <c r="C470" s="34"/>
      <c r="D470" s="34"/>
      <c r="E470" s="34"/>
      <c r="F470" s="34"/>
      <c r="G470" s="34"/>
      <c r="H470" s="34"/>
      <c r="I470" s="34"/>
      <c r="J470" s="31"/>
    </row>
    <row r="471" spans="1:10" x14ac:dyDescent="0.15">
      <c r="A471" s="34"/>
      <c r="B471" s="34"/>
      <c r="C471" s="34"/>
      <c r="D471" s="34"/>
      <c r="E471" s="34"/>
      <c r="F471" s="34"/>
      <c r="G471" s="34"/>
      <c r="H471" s="34"/>
      <c r="I471" s="34"/>
      <c r="J471" s="31"/>
    </row>
    <row r="472" spans="1:10" x14ac:dyDescent="0.15">
      <c r="A472" s="34"/>
      <c r="B472" s="34"/>
      <c r="C472" s="34"/>
      <c r="D472" s="34"/>
      <c r="E472" s="34"/>
      <c r="F472" s="34"/>
      <c r="G472" s="34"/>
      <c r="H472" s="34"/>
      <c r="I472" s="34"/>
      <c r="J472" s="31"/>
    </row>
    <row r="473" spans="1:10" x14ac:dyDescent="0.15">
      <c r="A473" s="34"/>
      <c r="B473" s="34"/>
      <c r="C473" s="34"/>
      <c r="D473" s="34"/>
      <c r="E473" s="34"/>
      <c r="F473" s="34"/>
      <c r="G473" s="34"/>
      <c r="H473" s="34"/>
      <c r="I473" s="34"/>
      <c r="J473" s="31"/>
    </row>
    <row r="474" spans="1:10" x14ac:dyDescent="0.15">
      <c r="A474" s="34"/>
      <c r="B474" s="34"/>
      <c r="C474" s="34"/>
      <c r="D474" s="34"/>
      <c r="E474" s="34"/>
      <c r="F474" s="34"/>
      <c r="G474" s="34"/>
      <c r="H474" s="34"/>
      <c r="I474" s="34"/>
      <c r="J474" s="31"/>
    </row>
    <row r="475" spans="1:10" x14ac:dyDescent="0.15">
      <c r="A475" s="34"/>
      <c r="B475" s="34"/>
      <c r="C475" s="34"/>
      <c r="D475" s="34"/>
      <c r="E475" s="34"/>
      <c r="F475" s="34"/>
      <c r="G475" s="34"/>
      <c r="H475" s="34"/>
      <c r="I475" s="34"/>
      <c r="J475" s="31"/>
    </row>
    <row r="476" spans="1:10" x14ac:dyDescent="0.15">
      <c r="A476" s="34"/>
      <c r="B476" s="34"/>
      <c r="C476" s="34"/>
      <c r="D476" s="34"/>
      <c r="E476" s="34"/>
      <c r="F476" s="34"/>
      <c r="G476" s="34"/>
      <c r="H476" s="34"/>
      <c r="I476" s="34"/>
      <c r="J476" s="31"/>
    </row>
    <row r="477" spans="1:10" x14ac:dyDescent="0.15">
      <c r="A477" s="34"/>
      <c r="B477" s="34"/>
      <c r="C477" s="34"/>
      <c r="D477" s="34"/>
      <c r="E477" s="34"/>
      <c r="F477" s="34"/>
      <c r="G477" s="34"/>
      <c r="H477" s="34"/>
      <c r="I477" s="34"/>
      <c r="J477" s="31"/>
    </row>
    <row r="478" spans="1:10" x14ac:dyDescent="0.15">
      <c r="A478" s="34"/>
      <c r="B478" s="34"/>
      <c r="C478" s="34"/>
      <c r="D478" s="34"/>
      <c r="E478" s="34"/>
      <c r="F478" s="34"/>
      <c r="G478" s="34"/>
      <c r="H478" s="34"/>
      <c r="I478" s="34"/>
      <c r="J478" s="31"/>
    </row>
    <row r="479" spans="1:10" x14ac:dyDescent="0.15">
      <c r="A479" s="34"/>
      <c r="B479" s="34"/>
      <c r="C479" s="34"/>
      <c r="D479" s="34"/>
      <c r="E479" s="34"/>
      <c r="F479" s="34"/>
      <c r="G479" s="34"/>
      <c r="H479" s="34"/>
      <c r="I479" s="34"/>
      <c r="J479" s="31"/>
    </row>
    <row r="480" spans="1:10" x14ac:dyDescent="0.15">
      <c r="A480" s="34"/>
      <c r="B480" s="34"/>
      <c r="C480" s="34"/>
      <c r="D480" s="34"/>
      <c r="E480" s="34"/>
      <c r="F480" s="34"/>
      <c r="G480" s="34"/>
      <c r="H480" s="34"/>
      <c r="I480" s="34"/>
      <c r="J480" s="31"/>
    </row>
    <row r="481" spans="1:10" x14ac:dyDescent="0.15">
      <c r="A481" s="34"/>
      <c r="B481" s="34"/>
      <c r="C481" s="34"/>
      <c r="D481" s="34"/>
      <c r="E481" s="34"/>
      <c r="F481" s="34"/>
      <c r="G481" s="34"/>
      <c r="H481" s="34"/>
      <c r="I481" s="34"/>
      <c r="J481" s="31"/>
    </row>
    <row r="482" spans="1:10" x14ac:dyDescent="0.15">
      <c r="A482" s="34"/>
      <c r="B482" s="34"/>
      <c r="C482" s="34"/>
      <c r="D482" s="34"/>
      <c r="E482" s="34"/>
      <c r="F482" s="34"/>
      <c r="G482" s="34"/>
      <c r="H482" s="34"/>
      <c r="I482" s="34"/>
      <c r="J482" s="31"/>
    </row>
    <row r="483" spans="1:10" x14ac:dyDescent="0.15">
      <c r="A483" s="34"/>
      <c r="B483" s="34"/>
      <c r="C483" s="34"/>
      <c r="D483" s="34"/>
      <c r="E483" s="34"/>
      <c r="F483" s="34"/>
      <c r="G483" s="34"/>
      <c r="H483" s="34"/>
      <c r="I483" s="34"/>
      <c r="J483" s="31"/>
    </row>
    <row r="484" spans="1:10" x14ac:dyDescent="0.15">
      <c r="A484" s="34"/>
      <c r="B484" s="34"/>
      <c r="C484" s="34"/>
      <c r="D484" s="34"/>
      <c r="E484" s="34"/>
      <c r="F484" s="34"/>
      <c r="G484" s="34"/>
      <c r="H484" s="34"/>
      <c r="I484" s="34"/>
      <c r="J484" s="31"/>
    </row>
    <row r="485" spans="1:10" x14ac:dyDescent="0.15">
      <c r="A485" s="34"/>
      <c r="B485" s="34"/>
      <c r="C485" s="34"/>
      <c r="D485" s="34"/>
      <c r="E485" s="34"/>
      <c r="F485" s="34"/>
      <c r="G485" s="34"/>
      <c r="H485" s="34"/>
      <c r="I485" s="34"/>
      <c r="J485" s="31"/>
    </row>
    <row r="486" spans="1:10" x14ac:dyDescent="0.15">
      <c r="A486" s="34"/>
      <c r="B486" s="34"/>
      <c r="C486" s="34"/>
      <c r="D486" s="34"/>
      <c r="E486" s="34"/>
      <c r="F486" s="34"/>
      <c r="G486" s="34"/>
      <c r="H486" s="34"/>
      <c r="I486" s="34"/>
      <c r="J486" s="31"/>
    </row>
    <row r="487" spans="1:10" x14ac:dyDescent="0.15">
      <c r="A487" s="34"/>
      <c r="B487" s="34"/>
      <c r="C487" s="34"/>
      <c r="D487" s="34"/>
      <c r="E487" s="34"/>
      <c r="F487" s="34"/>
      <c r="G487" s="34"/>
      <c r="H487" s="34"/>
      <c r="I487" s="34"/>
      <c r="J487" s="31"/>
    </row>
    <row r="488" spans="1:10" x14ac:dyDescent="0.15">
      <c r="A488" s="34"/>
      <c r="B488" s="34"/>
      <c r="C488" s="34"/>
      <c r="D488" s="34"/>
      <c r="E488" s="34"/>
      <c r="F488" s="34"/>
      <c r="G488" s="34"/>
      <c r="H488" s="34"/>
      <c r="I488" s="34"/>
      <c r="J488" s="31"/>
    </row>
    <row r="489" spans="1:10" x14ac:dyDescent="0.15">
      <c r="A489" s="34"/>
      <c r="B489" s="34"/>
      <c r="C489" s="34"/>
      <c r="D489" s="34"/>
      <c r="E489" s="34"/>
      <c r="F489" s="34"/>
      <c r="G489" s="34"/>
      <c r="H489" s="34"/>
      <c r="I489" s="34"/>
      <c r="J489" s="31"/>
    </row>
    <row r="490" spans="1:10" x14ac:dyDescent="0.15">
      <c r="A490" s="34"/>
      <c r="B490" s="34"/>
      <c r="C490" s="34"/>
      <c r="D490" s="34"/>
      <c r="E490" s="34"/>
      <c r="F490" s="34"/>
      <c r="G490" s="34"/>
      <c r="H490" s="34"/>
      <c r="I490" s="34"/>
      <c r="J490" s="31"/>
    </row>
    <row r="491" spans="1:10" x14ac:dyDescent="0.15">
      <c r="A491" s="34"/>
      <c r="B491" s="34"/>
      <c r="C491" s="34"/>
      <c r="D491" s="34"/>
      <c r="E491" s="34"/>
      <c r="F491" s="34"/>
      <c r="G491" s="34"/>
      <c r="H491" s="34"/>
      <c r="I491" s="34"/>
      <c r="J491" s="31"/>
    </row>
    <row r="492" spans="1:10" x14ac:dyDescent="0.15">
      <c r="A492" s="34"/>
      <c r="B492" s="34"/>
      <c r="C492" s="34"/>
      <c r="D492" s="34"/>
      <c r="E492" s="34"/>
      <c r="F492" s="34"/>
      <c r="G492" s="34"/>
      <c r="H492" s="34"/>
      <c r="I492" s="34"/>
      <c r="J492" s="31"/>
    </row>
    <row r="493" spans="1:10" x14ac:dyDescent="0.15">
      <c r="A493" s="34"/>
      <c r="B493" s="34"/>
      <c r="C493" s="34"/>
      <c r="D493" s="34"/>
      <c r="E493" s="34"/>
      <c r="F493" s="34"/>
      <c r="G493" s="34"/>
      <c r="H493" s="34"/>
      <c r="I493" s="34"/>
      <c r="J493" s="31"/>
    </row>
    <row r="494" spans="1:10" x14ac:dyDescent="0.15">
      <c r="A494" s="34"/>
      <c r="B494" s="34"/>
      <c r="C494" s="34"/>
      <c r="D494" s="34"/>
      <c r="E494" s="34"/>
      <c r="F494" s="34"/>
      <c r="G494" s="34"/>
      <c r="H494" s="34"/>
      <c r="I494" s="34"/>
      <c r="J494" s="31"/>
    </row>
    <row r="495" spans="1:10" x14ac:dyDescent="0.15">
      <c r="A495" s="34"/>
      <c r="B495" s="34"/>
      <c r="C495" s="34"/>
      <c r="D495" s="34"/>
      <c r="E495" s="34"/>
      <c r="F495" s="34"/>
      <c r="G495" s="34"/>
      <c r="H495" s="34"/>
      <c r="I495" s="34"/>
      <c r="J495" s="31"/>
    </row>
    <row r="496" spans="1:10" x14ac:dyDescent="0.15">
      <c r="A496" s="34"/>
      <c r="B496" s="34"/>
      <c r="C496" s="34"/>
      <c r="D496" s="34"/>
      <c r="E496" s="34"/>
      <c r="F496" s="34"/>
      <c r="G496" s="34"/>
      <c r="H496" s="34"/>
      <c r="I496" s="34"/>
      <c r="J496" s="31"/>
    </row>
    <row r="497" spans="1:10" x14ac:dyDescent="0.15">
      <c r="A497" s="34"/>
      <c r="B497" s="34"/>
      <c r="C497" s="34"/>
      <c r="D497" s="34"/>
      <c r="E497" s="34"/>
      <c r="F497" s="34"/>
      <c r="G497" s="34"/>
      <c r="H497" s="34"/>
      <c r="I497" s="34"/>
      <c r="J497" s="31"/>
    </row>
    <row r="498" spans="1:10" x14ac:dyDescent="0.15">
      <c r="A498" s="34"/>
      <c r="B498" s="34"/>
      <c r="C498" s="34"/>
      <c r="D498" s="34"/>
      <c r="E498" s="34"/>
      <c r="F498" s="34"/>
      <c r="G498" s="34"/>
      <c r="H498" s="34"/>
      <c r="I498" s="34"/>
      <c r="J498" s="31"/>
    </row>
    <row r="499" spans="1:10" x14ac:dyDescent="0.15">
      <c r="A499" s="34"/>
      <c r="B499" s="34"/>
      <c r="C499" s="34"/>
      <c r="D499" s="34"/>
      <c r="E499" s="34"/>
      <c r="F499" s="34"/>
      <c r="G499" s="34"/>
      <c r="H499" s="34"/>
      <c r="I499" s="34"/>
      <c r="J499" s="31"/>
    </row>
    <row r="500" spans="1:10" x14ac:dyDescent="0.15">
      <c r="A500" s="34"/>
      <c r="B500" s="34"/>
      <c r="C500" s="34"/>
      <c r="D500" s="34"/>
      <c r="E500" s="34"/>
      <c r="F500" s="34"/>
      <c r="G500" s="34"/>
      <c r="H500" s="34"/>
      <c r="I500" s="34"/>
      <c r="J500" s="31"/>
    </row>
    <row r="501" spans="1:10" x14ac:dyDescent="0.15">
      <c r="A501" s="34"/>
      <c r="B501" s="34"/>
      <c r="C501" s="34"/>
      <c r="D501" s="34"/>
      <c r="E501" s="34"/>
      <c r="F501" s="34"/>
      <c r="G501" s="34"/>
      <c r="H501" s="34"/>
      <c r="I501" s="34"/>
      <c r="J501" s="31"/>
    </row>
    <row r="502" spans="1:10" x14ac:dyDescent="0.15">
      <c r="A502" s="34"/>
      <c r="B502" s="34"/>
      <c r="C502" s="34"/>
      <c r="D502" s="34"/>
      <c r="E502" s="34"/>
      <c r="F502" s="34"/>
      <c r="G502" s="34"/>
      <c r="H502" s="34"/>
      <c r="I502" s="34"/>
      <c r="J502" s="31"/>
    </row>
    <row r="503" spans="1:10" x14ac:dyDescent="0.15">
      <c r="A503" s="34"/>
      <c r="B503" s="34"/>
      <c r="C503" s="34"/>
      <c r="D503" s="34"/>
      <c r="E503" s="34"/>
      <c r="F503" s="34"/>
      <c r="G503" s="34"/>
      <c r="H503" s="34"/>
      <c r="I503" s="34"/>
      <c r="J503" s="31"/>
    </row>
    <row r="504" spans="1:10" x14ac:dyDescent="0.15">
      <c r="A504" s="34"/>
      <c r="B504" s="34"/>
      <c r="C504" s="34"/>
      <c r="D504" s="34"/>
      <c r="E504" s="34"/>
      <c r="F504" s="34"/>
      <c r="G504" s="34"/>
      <c r="H504" s="34"/>
      <c r="I504" s="34"/>
      <c r="J504" s="31"/>
    </row>
    <row r="505" spans="1:10" x14ac:dyDescent="0.15">
      <c r="A505" s="34"/>
      <c r="B505" s="34"/>
      <c r="C505" s="34"/>
      <c r="D505" s="34"/>
      <c r="E505" s="34"/>
      <c r="F505" s="34"/>
      <c r="G505" s="34"/>
      <c r="H505" s="34"/>
      <c r="I505" s="34"/>
      <c r="J505" s="31"/>
    </row>
    <row r="506" spans="1:10" x14ac:dyDescent="0.15">
      <c r="A506" s="34"/>
      <c r="B506" s="34"/>
      <c r="C506" s="34"/>
      <c r="D506" s="34"/>
      <c r="E506" s="34"/>
      <c r="F506" s="34"/>
      <c r="G506" s="34"/>
      <c r="H506" s="34"/>
      <c r="I506" s="34"/>
      <c r="J506" s="31"/>
    </row>
    <row r="507" spans="1:10" x14ac:dyDescent="0.15">
      <c r="A507" s="34"/>
      <c r="B507" s="34"/>
      <c r="C507" s="34"/>
      <c r="D507" s="34"/>
      <c r="E507" s="34"/>
      <c r="F507" s="34"/>
      <c r="G507" s="34"/>
      <c r="H507" s="34"/>
      <c r="I507" s="34"/>
      <c r="J507" s="31"/>
    </row>
    <row r="508" spans="1:10" x14ac:dyDescent="0.15">
      <c r="A508" s="34"/>
      <c r="B508" s="34"/>
      <c r="C508" s="34"/>
      <c r="D508" s="34"/>
      <c r="E508" s="34"/>
      <c r="F508" s="34"/>
      <c r="G508" s="34"/>
      <c r="H508" s="34"/>
      <c r="I508" s="34"/>
      <c r="J508" s="31"/>
    </row>
    <row r="509" spans="1:10" x14ac:dyDescent="0.15">
      <c r="A509" s="34"/>
      <c r="B509" s="34"/>
      <c r="C509" s="34"/>
      <c r="D509" s="34"/>
      <c r="E509" s="34"/>
      <c r="F509" s="34"/>
      <c r="G509" s="34"/>
      <c r="H509" s="34"/>
      <c r="I509" s="34"/>
      <c r="J509" s="31"/>
    </row>
    <row r="510" spans="1:10" x14ac:dyDescent="0.15">
      <c r="A510" s="34"/>
      <c r="B510" s="34"/>
      <c r="C510" s="34"/>
      <c r="D510" s="34"/>
      <c r="E510" s="34"/>
      <c r="F510" s="34"/>
      <c r="G510" s="34"/>
      <c r="H510" s="34"/>
      <c r="I510" s="34"/>
      <c r="J510" s="31"/>
    </row>
    <row r="511" spans="1:10" x14ac:dyDescent="0.15">
      <c r="A511" s="34"/>
      <c r="B511" s="34"/>
      <c r="C511" s="34"/>
      <c r="D511" s="34"/>
      <c r="E511" s="34"/>
      <c r="F511" s="34"/>
      <c r="G511" s="34"/>
      <c r="H511" s="34"/>
      <c r="I511" s="34"/>
      <c r="J511" s="31"/>
    </row>
    <row r="512" spans="1:10" x14ac:dyDescent="0.15">
      <c r="A512" s="34"/>
      <c r="B512" s="34"/>
      <c r="C512" s="34"/>
      <c r="D512" s="34"/>
      <c r="E512" s="34"/>
      <c r="F512" s="34"/>
      <c r="G512" s="34"/>
      <c r="H512" s="34"/>
      <c r="I512" s="34"/>
      <c r="J512" s="31"/>
    </row>
    <row r="513" spans="1:10" x14ac:dyDescent="0.15">
      <c r="A513" s="34"/>
      <c r="B513" s="34"/>
      <c r="C513" s="34"/>
      <c r="D513" s="34"/>
      <c r="E513" s="34"/>
      <c r="F513" s="34"/>
      <c r="G513" s="34"/>
      <c r="H513" s="34"/>
      <c r="I513" s="34"/>
      <c r="J513" s="31"/>
    </row>
    <row r="514" spans="1:10" x14ac:dyDescent="0.15">
      <c r="A514" s="34"/>
      <c r="B514" s="34"/>
      <c r="C514" s="34"/>
      <c r="D514" s="34"/>
      <c r="E514" s="34"/>
      <c r="F514" s="34"/>
      <c r="G514" s="34"/>
      <c r="H514" s="34"/>
      <c r="I514" s="34"/>
      <c r="J514" s="31"/>
    </row>
    <row r="515" spans="1:10" x14ac:dyDescent="0.15">
      <c r="A515" s="34"/>
      <c r="B515" s="34"/>
      <c r="C515" s="34"/>
      <c r="D515" s="34"/>
      <c r="E515" s="34"/>
      <c r="F515" s="34"/>
      <c r="G515" s="34"/>
      <c r="H515" s="34"/>
      <c r="I515" s="34"/>
      <c r="J515" s="31"/>
    </row>
    <row r="516" spans="1:10" x14ac:dyDescent="0.15">
      <c r="A516" s="34"/>
      <c r="B516" s="34"/>
      <c r="C516" s="34"/>
      <c r="D516" s="34"/>
      <c r="E516" s="34"/>
      <c r="F516" s="34"/>
      <c r="G516" s="34"/>
      <c r="H516" s="34"/>
      <c r="I516" s="34"/>
      <c r="J516" s="31"/>
    </row>
    <row r="517" spans="1:10" x14ac:dyDescent="0.15">
      <c r="A517" s="34"/>
      <c r="B517" s="34"/>
      <c r="C517" s="34"/>
      <c r="D517" s="34"/>
      <c r="E517" s="34"/>
      <c r="F517" s="34"/>
      <c r="G517" s="34"/>
      <c r="H517" s="34"/>
      <c r="I517" s="34"/>
      <c r="J517" s="31"/>
    </row>
    <row r="518" spans="1:10" x14ac:dyDescent="0.15">
      <c r="A518" s="34"/>
      <c r="B518" s="34"/>
      <c r="C518" s="34"/>
      <c r="D518" s="34"/>
      <c r="E518" s="34"/>
      <c r="F518" s="34"/>
      <c r="G518" s="34"/>
      <c r="H518" s="34"/>
      <c r="I518" s="34"/>
      <c r="J518" s="31"/>
    </row>
    <row r="519" spans="1:10" x14ac:dyDescent="0.15">
      <c r="A519" s="34"/>
      <c r="B519" s="34"/>
      <c r="C519" s="34"/>
      <c r="D519" s="34"/>
      <c r="E519" s="34"/>
      <c r="F519" s="34"/>
      <c r="G519" s="34"/>
      <c r="H519" s="34"/>
      <c r="I519" s="34"/>
      <c r="J519" s="31"/>
    </row>
    <row r="520" spans="1:10" x14ac:dyDescent="0.15">
      <c r="A520" s="34"/>
      <c r="B520" s="34"/>
      <c r="C520" s="34"/>
      <c r="D520" s="34"/>
      <c r="E520" s="34"/>
      <c r="F520" s="34"/>
      <c r="G520" s="34"/>
      <c r="H520" s="34"/>
      <c r="I520" s="34"/>
      <c r="J520" s="31"/>
    </row>
    <row r="521" spans="1:10" x14ac:dyDescent="0.15">
      <c r="A521" s="34"/>
      <c r="B521" s="34"/>
      <c r="C521" s="34"/>
      <c r="D521" s="34"/>
      <c r="E521" s="34"/>
      <c r="F521" s="34"/>
      <c r="G521" s="34"/>
      <c r="H521" s="34"/>
      <c r="I521" s="34"/>
      <c r="J521" s="31"/>
    </row>
    <row r="522" spans="1:10" x14ac:dyDescent="0.15">
      <c r="A522" s="34"/>
      <c r="B522" s="34"/>
      <c r="C522" s="34"/>
      <c r="D522" s="34"/>
      <c r="E522" s="34"/>
      <c r="F522" s="34"/>
      <c r="G522" s="34"/>
      <c r="H522" s="34"/>
      <c r="I522" s="34"/>
      <c r="J522" s="31"/>
    </row>
    <row r="523" spans="1:10" x14ac:dyDescent="0.15">
      <c r="A523" s="34"/>
      <c r="B523" s="34"/>
      <c r="C523" s="34"/>
      <c r="D523" s="34"/>
      <c r="E523" s="34"/>
      <c r="F523" s="34"/>
      <c r="G523" s="34"/>
      <c r="H523" s="34"/>
      <c r="I523" s="34"/>
      <c r="J523" s="31"/>
    </row>
    <row r="524" spans="1:10" x14ac:dyDescent="0.15">
      <c r="A524" s="34"/>
      <c r="B524" s="34"/>
      <c r="C524" s="34"/>
      <c r="D524" s="34"/>
      <c r="E524" s="34"/>
      <c r="F524" s="34"/>
      <c r="G524" s="34"/>
      <c r="H524" s="34"/>
      <c r="I524" s="34"/>
      <c r="J524" s="31"/>
    </row>
    <row r="525" spans="1:10" x14ac:dyDescent="0.15">
      <c r="A525" s="34"/>
      <c r="B525" s="34"/>
      <c r="C525" s="34"/>
      <c r="D525" s="34"/>
      <c r="E525" s="34"/>
      <c r="F525" s="34"/>
      <c r="G525" s="34"/>
      <c r="H525" s="34"/>
      <c r="I525" s="34"/>
      <c r="J525" s="31"/>
    </row>
    <row r="526" spans="1:10" x14ac:dyDescent="0.15">
      <c r="A526" s="34"/>
      <c r="B526" s="34"/>
      <c r="C526" s="34"/>
      <c r="D526" s="34"/>
      <c r="E526" s="34"/>
      <c r="F526" s="34"/>
      <c r="G526" s="34"/>
      <c r="H526" s="34"/>
      <c r="I526" s="34"/>
      <c r="J526" s="31"/>
    </row>
    <row r="527" spans="1:10" x14ac:dyDescent="0.15">
      <c r="A527" s="34"/>
      <c r="B527" s="34"/>
      <c r="C527" s="34"/>
      <c r="D527" s="34"/>
      <c r="E527" s="34"/>
      <c r="F527" s="34"/>
      <c r="G527" s="34"/>
      <c r="H527" s="34"/>
      <c r="I527" s="34"/>
      <c r="J527" s="31"/>
    </row>
    <row r="528" spans="1:10" x14ac:dyDescent="0.15">
      <c r="A528" s="34"/>
      <c r="B528" s="34"/>
      <c r="C528" s="34"/>
      <c r="D528" s="34"/>
      <c r="E528" s="34"/>
      <c r="F528" s="34"/>
      <c r="G528" s="34"/>
      <c r="H528" s="34"/>
      <c r="I528" s="34"/>
      <c r="J528" s="31"/>
    </row>
    <row r="529" spans="1:10" x14ac:dyDescent="0.15">
      <c r="A529" s="34"/>
      <c r="B529" s="34"/>
      <c r="C529" s="34"/>
      <c r="D529" s="34"/>
      <c r="E529" s="34"/>
      <c r="F529" s="34"/>
      <c r="G529" s="34"/>
      <c r="H529" s="34"/>
      <c r="I529" s="34"/>
      <c r="J529" s="31"/>
    </row>
    <row r="530" spans="1:10" x14ac:dyDescent="0.15">
      <c r="A530" s="34"/>
      <c r="B530" s="34"/>
      <c r="C530" s="34"/>
      <c r="D530" s="34"/>
      <c r="E530" s="34"/>
      <c r="F530" s="34"/>
      <c r="G530" s="34"/>
      <c r="H530" s="34"/>
      <c r="I530" s="34"/>
      <c r="J530" s="31"/>
    </row>
    <row r="531" spans="1:10" x14ac:dyDescent="0.15">
      <c r="A531" s="34"/>
      <c r="B531" s="34"/>
      <c r="C531" s="34"/>
      <c r="D531" s="34"/>
      <c r="E531" s="34"/>
      <c r="F531" s="34"/>
      <c r="G531" s="34"/>
      <c r="H531" s="34"/>
      <c r="I531" s="34"/>
      <c r="J531" s="31"/>
    </row>
    <row r="532" spans="1:10" x14ac:dyDescent="0.15">
      <c r="A532" s="34"/>
      <c r="B532" s="34"/>
      <c r="C532" s="34"/>
      <c r="D532" s="34"/>
      <c r="E532" s="34"/>
      <c r="F532" s="34"/>
      <c r="G532" s="34"/>
      <c r="H532" s="34"/>
      <c r="I532" s="34"/>
      <c r="J532" s="31"/>
    </row>
    <row r="533" spans="1:10" x14ac:dyDescent="0.15">
      <c r="A533" s="34"/>
      <c r="B533" s="34"/>
      <c r="C533" s="34"/>
      <c r="D533" s="34"/>
      <c r="E533" s="34"/>
      <c r="F533" s="34"/>
      <c r="G533" s="34"/>
      <c r="H533" s="34"/>
      <c r="I533" s="34"/>
      <c r="J533" s="31"/>
    </row>
    <row r="534" spans="1:10" x14ac:dyDescent="0.15">
      <c r="A534" s="34"/>
      <c r="B534" s="34"/>
      <c r="C534" s="34"/>
      <c r="D534" s="34"/>
      <c r="E534" s="34"/>
      <c r="F534" s="34"/>
      <c r="G534" s="34"/>
      <c r="H534" s="34"/>
      <c r="I534" s="34"/>
      <c r="J534" s="31"/>
    </row>
    <row r="535" spans="1:10" x14ac:dyDescent="0.15">
      <c r="A535" s="34"/>
      <c r="B535" s="34"/>
      <c r="C535" s="34"/>
      <c r="D535" s="34"/>
      <c r="E535" s="34"/>
      <c r="F535" s="34"/>
      <c r="G535" s="34"/>
      <c r="H535" s="34"/>
      <c r="I535" s="34"/>
      <c r="J535" s="31"/>
    </row>
    <row r="536" spans="1:10" x14ac:dyDescent="0.15">
      <c r="A536" s="34"/>
      <c r="B536" s="34"/>
      <c r="C536" s="34"/>
      <c r="D536" s="34"/>
      <c r="E536" s="34"/>
      <c r="F536" s="34"/>
      <c r="G536" s="34"/>
      <c r="H536" s="34"/>
      <c r="I536" s="34"/>
      <c r="J536" s="31"/>
    </row>
    <row r="537" spans="1:10" x14ac:dyDescent="0.15">
      <c r="A537" s="34"/>
      <c r="B537" s="34"/>
      <c r="C537" s="34"/>
      <c r="D537" s="34"/>
      <c r="E537" s="34"/>
      <c r="F537" s="34"/>
      <c r="G537" s="34"/>
      <c r="H537" s="34"/>
      <c r="I537" s="34"/>
      <c r="J537" s="31"/>
    </row>
    <row r="538" spans="1:10" x14ac:dyDescent="0.15">
      <c r="A538" s="34"/>
      <c r="B538" s="34"/>
      <c r="C538" s="34"/>
      <c r="D538" s="34"/>
      <c r="E538" s="34"/>
      <c r="F538" s="34"/>
      <c r="G538" s="34"/>
      <c r="H538" s="34"/>
      <c r="I538" s="34"/>
      <c r="J538" s="31"/>
    </row>
    <row r="539" spans="1:10" x14ac:dyDescent="0.15">
      <c r="A539" s="34"/>
      <c r="B539" s="34"/>
      <c r="C539" s="34"/>
      <c r="D539" s="34"/>
      <c r="E539" s="34"/>
      <c r="F539" s="34"/>
      <c r="G539" s="34"/>
      <c r="H539" s="34"/>
      <c r="I539" s="34"/>
      <c r="J539" s="31"/>
    </row>
    <row r="540" spans="1:10" x14ac:dyDescent="0.15">
      <c r="A540" s="34"/>
      <c r="B540" s="34"/>
      <c r="C540" s="34"/>
      <c r="D540" s="34"/>
      <c r="E540" s="34"/>
      <c r="F540" s="34"/>
      <c r="G540" s="34"/>
      <c r="H540" s="34"/>
      <c r="I540" s="34"/>
      <c r="J540" s="31"/>
    </row>
    <row r="541" spans="1:10" x14ac:dyDescent="0.15">
      <c r="A541" s="34"/>
      <c r="B541" s="34"/>
      <c r="C541" s="34"/>
      <c r="D541" s="34"/>
      <c r="E541" s="34"/>
      <c r="F541" s="34"/>
      <c r="G541" s="34"/>
      <c r="H541" s="34"/>
      <c r="I541" s="34"/>
      <c r="J541" s="31"/>
    </row>
    <row r="542" spans="1:10" x14ac:dyDescent="0.15">
      <c r="A542" s="34"/>
      <c r="B542" s="34"/>
      <c r="C542" s="34"/>
      <c r="D542" s="34"/>
      <c r="E542" s="34"/>
      <c r="F542" s="34"/>
      <c r="G542" s="34"/>
      <c r="H542" s="34"/>
      <c r="I542" s="34"/>
      <c r="J542" s="31"/>
    </row>
    <row r="543" spans="1:10" x14ac:dyDescent="0.15">
      <c r="A543" s="34"/>
      <c r="B543" s="34"/>
      <c r="C543" s="34"/>
      <c r="D543" s="34"/>
      <c r="E543" s="34"/>
      <c r="F543" s="34"/>
      <c r="G543" s="34"/>
      <c r="H543" s="34"/>
      <c r="I543" s="34"/>
      <c r="J543" s="31"/>
    </row>
    <row r="544" spans="1:10" x14ac:dyDescent="0.15">
      <c r="A544" s="34"/>
      <c r="B544" s="34"/>
      <c r="C544" s="34"/>
      <c r="D544" s="34"/>
      <c r="E544" s="34"/>
      <c r="F544" s="34"/>
      <c r="G544" s="34"/>
      <c r="H544" s="34"/>
      <c r="I544" s="34"/>
      <c r="J544" s="31"/>
    </row>
    <row r="545" spans="1:10" x14ac:dyDescent="0.15">
      <c r="A545" s="34"/>
      <c r="B545" s="34"/>
      <c r="C545" s="34"/>
      <c r="D545" s="34"/>
      <c r="E545" s="34"/>
      <c r="F545" s="34"/>
      <c r="G545" s="34"/>
      <c r="H545" s="34"/>
      <c r="I545" s="34"/>
      <c r="J545" s="31"/>
    </row>
    <row r="546" spans="1:10" x14ac:dyDescent="0.15">
      <c r="A546" s="34"/>
      <c r="B546" s="34"/>
      <c r="C546" s="34"/>
      <c r="D546" s="34"/>
      <c r="E546" s="34"/>
      <c r="F546" s="34"/>
      <c r="G546" s="34"/>
      <c r="H546" s="34"/>
      <c r="I546" s="34"/>
      <c r="J546" s="31"/>
    </row>
    <row r="547" spans="1:10" x14ac:dyDescent="0.15">
      <c r="A547" s="34"/>
      <c r="B547" s="34"/>
      <c r="C547" s="34"/>
      <c r="D547" s="34"/>
      <c r="E547" s="34"/>
      <c r="F547" s="34"/>
      <c r="G547" s="34"/>
      <c r="H547" s="34"/>
      <c r="I547" s="34"/>
      <c r="J547" s="31"/>
    </row>
    <row r="548" spans="1:10" x14ac:dyDescent="0.15">
      <c r="A548" s="34"/>
      <c r="B548" s="34"/>
      <c r="C548" s="34"/>
      <c r="D548" s="34"/>
      <c r="E548" s="34"/>
      <c r="F548" s="34"/>
      <c r="G548" s="34"/>
      <c r="H548" s="34"/>
      <c r="I548" s="34"/>
      <c r="J548" s="31"/>
    </row>
    <row r="549" spans="1:10" x14ac:dyDescent="0.15">
      <c r="A549" s="34"/>
      <c r="B549" s="34"/>
      <c r="C549" s="34"/>
      <c r="D549" s="34"/>
      <c r="E549" s="34"/>
      <c r="F549" s="34"/>
      <c r="G549" s="34"/>
      <c r="H549" s="34"/>
      <c r="I549" s="34"/>
      <c r="J549" s="31"/>
    </row>
    <row r="550" spans="1:10" x14ac:dyDescent="0.15">
      <c r="A550" s="34"/>
      <c r="B550" s="34"/>
      <c r="C550" s="34"/>
      <c r="D550" s="34"/>
      <c r="E550" s="34"/>
      <c r="F550" s="34"/>
      <c r="G550" s="34"/>
      <c r="H550" s="34"/>
      <c r="I550" s="34"/>
      <c r="J550" s="31"/>
    </row>
    <row r="551" spans="1:10" x14ac:dyDescent="0.15">
      <c r="A551" s="34"/>
      <c r="B551" s="34"/>
      <c r="C551" s="34"/>
      <c r="D551" s="34"/>
      <c r="E551" s="34"/>
      <c r="F551" s="34"/>
      <c r="G551" s="34"/>
      <c r="H551" s="34"/>
      <c r="I551" s="34"/>
      <c r="J551" s="31"/>
    </row>
    <row r="552" spans="1:10" x14ac:dyDescent="0.15">
      <c r="A552" s="34"/>
      <c r="B552" s="34"/>
      <c r="C552" s="34"/>
      <c r="D552" s="34"/>
      <c r="E552" s="34"/>
      <c r="F552" s="34"/>
      <c r="G552" s="34"/>
      <c r="H552" s="34"/>
      <c r="I552" s="34"/>
      <c r="J552" s="31"/>
    </row>
    <row r="553" spans="1:10" x14ac:dyDescent="0.15">
      <c r="A553" s="34"/>
      <c r="B553" s="34"/>
      <c r="C553" s="34"/>
      <c r="D553" s="34"/>
      <c r="E553" s="34"/>
      <c r="F553" s="34"/>
      <c r="G553" s="34"/>
      <c r="H553" s="34"/>
      <c r="I553" s="34"/>
      <c r="J553" s="31"/>
    </row>
    <row r="554" spans="1:10" x14ac:dyDescent="0.15">
      <c r="A554" s="34"/>
      <c r="B554" s="34"/>
      <c r="C554" s="34"/>
      <c r="D554" s="34"/>
      <c r="E554" s="34"/>
      <c r="F554" s="34"/>
      <c r="G554" s="34"/>
      <c r="H554" s="34"/>
      <c r="I554" s="34"/>
      <c r="J554" s="31"/>
    </row>
    <row r="555" spans="1:10" x14ac:dyDescent="0.15">
      <c r="A555" s="34"/>
      <c r="B555" s="34"/>
      <c r="C555" s="34"/>
      <c r="D555" s="34"/>
      <c r="E555" s="34"/>
      <c r="F555" s="34"/>
      <c r="G555" s="34"/>
      <c r="H555" s="34"/>
      <c r="I555" s="34"/>
      <c r="J555" s="31"/>
    </row>
    <row r="556" spans="1:10" x14ac:dyDescent="0.15">
      <c r="A556" s="34"/>
      <c r="B556" s="34"/>
      <c r="C556" s="34"/>
      <c r="D556" s="34"/>
      <c r="E556" s="34"/>
      <c r="F556" s="34"/>
      <c r="G556" s="34"/>
      <c r="H556" s="34"/>
      <c r="I556" s="34"/>
      <c r="J556" s="31"/>
    </row>
    <row r="557" spans="1:10" x14ac:dyDescent="0.15">
      <c r="A557" s="34"/>
      <c r="B557" s="34"/>
      <c r="C557" s="34"/>
      <c r="D557" s="34"/>
      <c r="E557" s="34"/>
      <c r="F557" s="34"/>
      <c r="G557" s="34"/>
      <c r="H557" s="34"/>
      <c r="I557" s="34"/>
      <c r="J557" s="31"/>
    </row>
    <row r="558" spans="1:10" x14ac:dyDescent="0.15">
      <c r="A558" s="34"/>
      <c r="B558" s="34"/>
      <c r="C558" s="34"/>
      <c r="D558" s="34"/>
      <c r="E558" s="34"/>
      <c r="F558" s="34"/>
      <c r="G558" s="34"/>
      <c r="H558" s="34"/>
      <c r="I558" s="34"/>
      <c r="J558" s="31"/>
    </row>
    <row r="559" spans="1:10" x14ac:dyDescent="0.15">
      <c r="A559" s="34"/>
      <c r="B559" s="34"/>
      <c r="C559" s="34"/>
      <c r="D559" s="34"/>
      <c r="E559" s="34"/>
      <c r="F559" s="34"/>
      <c r="G559" s="34"/>
      <c r="H559" s="34"/>
      <c r="I559" s="34"/>
      <c r="J559" s="31"/>
    </row>
    <row r="560" spans="1:10" x14ac:dyDescent="0.15">
      <c r="A560" s="34"/>
      <c r="B560" s="34"/>
      <c r="C560" s="34"/>
      <c r="D560" s="34"/>
      <c r="E560" s="34"/>
      <c r="F560" s="34"/>
      <c r="G560" s="34"/>
      <c r="H560" s="34"/>
      <c r="I560" s="34"/>
      <c r="J560" s="31"/>
    </row>
    <row r="561" spans="1:10" x14ac:dyDescent="0.15">
      <c r="A561" s="34"/>
      <c r="B561" s="34"/>
      <c r="C561" s="34"/>
      <c r="D561" s="34"/>
      <c r="E561" s="34"/>
      <c r="F561" s="34"/>
      <c r="G561" s="34"/>
      <c r="H561" s="34"/>
      <c r="I561" s="34"/>
      <c r="J561" s="31"/>
    </row>
    <row r="562" spans="1:10" x14ac:dyDescent="0.15">
      <c r="A562" s="34"/>
      <c r="B562" s="34"/>
      <c r="C562" s="34"/>
      <c r="D562" s="34"/>
      <c r="E562" s="34"/>
      <c r="F562" s="34"/>
      <c r="G562" s="34"/>
      <c r="H562" s="34"/>
      <c r="I562" s="34"/>
      <c r="J562" s="31"/>
    </row>
    <row r="563" spans="1:10" x14ac:dyDescent="0.15">
      <c r="A563" s="34"/>
      <c r="B563" s="34"/>
      <c r="C563" s="34"/>
      <c r="D563" s="34"/>
      <c r="E563" s="34"/>
      <c r="F563" s="34"/>
      <c r="G563" s="34"/>
      <c r="H563" s="34"/>
      <c r="I563" s="34"/>
      <c r="J563" s="31"/>
    </row>
    <row r="564" spans="1:10" x14ac:dyDescent="0.15">
      <c r="A564" s="34"/>
      <c r="B564" s="34"/>
      <c r="C564" s="34"/>
      <c r="D564" s="34"/>
      <c r="E564" s="34"/>
      <c r="F564" s="34"/>
      <c r="G564" s="34"/>
      <c r="H564" s="34"/>
      <c r="I564" s="34"/>
      <c r="J564" s="31"/>
    </row>
    <row r="565" spans="1:10" x14ac:dyDescent="0.15">
      <c r="A565" s="34"/>
      <c r="B565" s="34"/>
      <c r="C565" s="34"/>
      <c r="D565" s="34"/>
      <c r="E565" s="34"/>
      <c r="F565" s="34"/>
      <c r="G565" s="34"/>
      <c r="H565" s="34"/>
      <c r="I565" s="34"/>
      <c r="J565" s="31"/>
    </row>
    <row r="566" spans="1:10" x14ac:dyDescent="0.15">
      <c r="A566" s="34"/>
      <c r="B566" s="34"/>
      <c r="C566" s="34"/>
      <c r="D566" s="34"/>
      <c r="E566" s="34"/>
      <c r="F566" s="34"/>
      <c r="G566" s="34"/>
      <c r="H566" s="34"/>
      <c r="I566" s="34"/>
      <c r="J566" s="31"/>
    </row>
    <row r="567" spans="1:10" x14ac:dyDescent="0.15">
      <c r="A567" s="34"/>
      <c r="B567" s="34"/>
      <c r="C567" s="34"/>
      <c r="D567" s="34"/>
      <c r="E567" s="34"/>
      <c r="F567" s="34"/>
      <c r="G567" s="34"/>
      <c r="H567" s="34"/>
      <c r="I567" s="34"/>
      <c r="J567" s="31"/>
    </row>
    <row r="568" spans="1:10" x14ac:dyDescent="0.15">
      <c r="A568" s="34"/>
      <c r="B568" s="34"/>
      <c r="C568" s="34"/>
      <c r="D568" s="34"/>
      <c r="E568" s="34"/>
      <c r="F568" s="34"/>
      <c r="G568" s="34"/>
      <c r="H568" s="34"/>
      <c r="I568" s="34"/>
      <c r="J568" s="31"/>
    </row>
    <row r="569" spans="1:10" x14ac:dyDescent="0.15">
      <c r="A569" s="34"/>
      <c r="B569" s="34"/>
      <c r="C569" s="34"/>
      <c r="D569" s="34"/>
      <c r="E569" s="34"/>
      <c r="F569" s="34"/>
      <c r="G569" s="34"/>
      <c r="H569" s="34"/>
      <c r="I569" s="34"/>
      <c r="J569" s="31"/>
    </row>
    <row r="570" spans="1:10" x14ac:dyDescent="0.15">
      <c r="A570" s="34"/>
      <c r="B570" s="34"/>
      <c r="C570" s="34"/>
      <c r="D570" s="34"/>
      <c r="E570" s="34"/>
      <c r="F570" s="34"/>
      <c r="G570" s="34"/>
      <c r="H570" s="34"/>
      <c r="I570" s="34"/>
      <c r="J570" s="31"/>
    </row>
    <row r="571" spans="1:10" x14ac:dyDescent="0.15">
      <c r="A571" s="34"/>
      <c r="B571" s="34"/>
      <c r="C571" s="34"/>
      <c r="D571" s="34"/>
      <c r="E571" s="34"/>
      <c r="F571" s="34"/>
      <c r="G571" s="34"/>
      <c r="H571" s="34"/>
      <c r="I571" s="34"/>
      <c r="J571" s="31"/>
    </row>
    <row r="572" spans="1:10" x14ac:dyDescent="0.15">
      <c r="A572" s="34"/>
      <c r="B572" s="34"/>
      <c r="C572" s="34"/>
      <c r="D572" s="34"/>
      <c r="E572" s="34"/>
      <c r="F572" s="34"/>
      <c r="G572" s="34"/>
      <c r="H572" s="34"/>
      <c r="I572" s="34"/>
      <c r="J572" s="31"/>
    </row>
    <row r="573" spans="1:10" x14ac:dyDescent="0.15">
      <c r="A573" s="34"/>
      <c r="B573" s="34"/>
      <c r="C573" s="34"/>
      <c r="D573" s="34"/>
      <c r="E573" s="34"/>
      <c r="F573" s="34"/>
      <c r="G573" s="34"/>
      <c r="H573" s="34"/>
      <c r="I573" s="34"/>
      <c r="J573" s="31"/>
    </row>
    <row r="574" spans="1:10" x14ac:dyDescent="0.15">
      <c r="A574" s="34"/>
      <c r="B574" s="34"/>
      <c r="C574" s="34"/>
      <c r="D574" s="34"/>
      <c r="E574" s="34"/>
      <c r="F574" s="34"/>
      <c r="G574" s="34"/>
      <c r="H574" s="34"/>
      <c r="I574" s="34"/>
      <c r="J574" s="31"/>
    </row>
    <row r="575" spans="1:10" x14ac:dyDescent="0.15">
      <c r="A575" s="34"/>
      <c r="B575" s="34"/>
      <c r="C575" s="34"/>
      <c r="D575" s="34"/>
      <c r="E575" s="34"/>
      <c r="F575" s="34"/>
      <c r="G575" s="34"/>
      <c r="H575" s="34"/>
      <c r="I575" s="34"/>
      <c r="J575" s="31"/>
    </row>
    <row r="576" spans="1:10" x14ac:dyDescent="0.15">
      <c r="A576" s="34"/>
      <c r="B576" s="34"/>
      <c r="C576" s="34"/>
      <c r="D576" s="34"/>
      <c r="E576" s="34"/>
      <c r="F576" s="34"/>
      <c r="G576" s="34"/>
      <c r="H576" s="34"/>
      <c r="I576" s="34"/>
      <c r="J576" s="31"/>
    </row>
    <row r="577" spans="1:10" x14ac:dyDescent="0.15">
      <c r="A577" s="34"/>
      <c r="B577" s="34"/>
      <c r="C577" s="34"/>
      <c r="D577" s="34"/>
      <c r="E577" s="34"/>
      <c r="F577" s="34"/>
      <c r="G577" s="34"/>
      <c r="H577" s="34"/>
      <c r="I577" s="34"/>
      <c r="J577" s="31"/>
    </row>
    <row r="578" spans="1:10" x14ac:dyDescent="0.15">
      <c r="A578" s="34"/>
      <c r="B578" s="34"/>
      <c r="C578" s="34"/>
      <c r="D578" s="34"/>
      <c r="E578" s="34"/>
      <c r="F578" s="34"/>
      <c r="G578" s="34"/>
      <c r="H578" s="34"/>
      <c r="I578" s="34"/>
      <c r="J578" s="31"/>
    </row>
    <row r="579" spans="1:10" x14ac:dyDescent="0.15">
      <c r="A579" s="34"/>
      <c r="B579" s="34"/>
      <c r="C579" s="34"/>
      <c r="D579" s="34"/>
      <c r="E579" s="34"/>
      <c r="F579" s="34"/>
      <c r="G579" s="34"/>
      <c r="H579" s="34"/>
      <c r="I579" s="34"/>
      <c r="J579" s="31"/>
    </row>
    <row r="580" spans="1:10" x14ac:dyDescent="0.15">
      <c r="A580" s="34"/>
      <c r="B580" s="34"/>
      <c r="C580" s="34"/>
      <c r="D580" s="34"/>
      <c r="E580" s="34"/>
      <c r="F580" s="34"/>
      <c r="G580" s="34"/>
      <c r="H580" s="34"/>
      <c r="I580" s="34"/>
      <c r="J580" s="31"/>
    </row>
    <row r="581" spans="1:10" x14ac:dyDescent="0.15">
      <c r="A581" s="34"/>
      <c r="B581" s="34"/>
      <c r="C581" s="34"/>
      <c r="D581" s="34"/>
      <c r="E581" s="34"/>
      <c r="F581" s="34"/>
      <c r="G581" s="34"/>
      <c r="H581" s="34"/>
      <c r="I581" s="34"/>
      <c r="J581" s="31"/>
    </row>
    <row r="582" spans="1:10" x14ac:dyDescent="0.15">
      <c r="A582" s="34"/>
      <c r="B582" s="34"/>
      <c r="C582" s="34"/>
      <c r="D582" s="34"/>
      <c r="E582" s="34"/>
      <c r="F582" s="34"/>
      <c r="G582" s="34"/>
      <c r="H582" s="34"/>
      <c r="I582" s="34"/>
      <c r="J582" s="31"/>
    </row>
    <row r="583" spans="1:10" x14ac:dyDescent="0.15">
      <c r="A583" s="34"/>
      <c r="B583" s="34"/>
      <c r="C583" s="34"/>
      <c r="D583" s="34"/>
      <c r="E583" s="34"/>
      <c r="F583" s="34"/>
      <c r="G583" s="34"/>
      <c r="H583" s="34"/>
      <c r="I583" s="34"/>
      <c r="J583" s="31"/>
    </row>
    <row r="584" spans="1:10" x14ac:dyDescent="0.15">
      <c r="A584" s="34"/>
      <c r="B584" s="34"/>
      <c r="C584" s="34"/>
      <c r="D584" s="34"/>
      <c r="E584" s="34"/>
      <c r="F584" s="34"/>
      <c r="G584" s="34"/>
      <c r="H584" s="34"/>
      <c r="I584" s="34"/>
      <c r="J584" s="31"/>
    </row>
    <row r="585" spans="1:10" x14ac:dyDescent="0.15">
      <c r="A585" s="34"/>
      <c r="B585" s="34"/>
      <c r="C585" s="34"/>
      <c r="D585" s="34"/>
      <c r="E585" s="34"/>
      <c r="F585" s="34"/>
      <c r="G585" s="34"/>
      <c r="H585" s="34"/>
      <c r="I585" s="34"/>
      <c r="J585" s="31"/>
    </row>
    <row r="586" spans="1:10" x14ac:dyDescent="0.15">
      <c r="A586" s="34"/>
      <c r="B586" s="34"/>
      <c r="C586" s="34"/>
      <c r="D586" s="34"/>
      <c r="E586" s="34"/>
      <c r="F586" s="34"/>
      <c r="G586" s="34"/>
      <c r="H586" s="34"/>
      <c r="I586" s="34"/>
      <c r="J586" s="31"/>
    </row>
    <row r="587" spans="1:10" x14ac:dyDescent="0.15">
      <c r="A587" s="34"/>
      <c r="B587" s="34"/>
      <c r="C587" s="34"/>
      <c r="D587" s="34"/>
      <c r="E587" s="34"/>
      <c r="F587" s="34"/>
      <c r="G587" s="34"/>
      <c r="H587" s="34"/>
      <c r="I587" s="34"/>
      <c r="J587" s="31"/>
    </row>
    <row r="588" spans="1:10" x14ac:dyDescent="0.15">
      <c r="A588" s="34"/>
      <c r="B588" s="34"/>
      <c r="C588" s="34"/>
      <c r="D588" s="34"/>
      <c r="E588" s="34"/>
      <c r="F588" s="34"/>
      <c r="G588" s="34"/>
      <c r="H588" s="34"/>
      <c r="I588" s="34"/>
      <c r="J588" s="31"/>
    </row>
    <row r="589" spans="1:10" x14ac:dyDescent="0.15">
      <c r="A589" s="34"/>
      <c r="B589" s="34"/>
      <c r="C589" s="34"/>
      <c r="D589" s="34"/>
      <c r="E589" s="34"/>
      <c r="F589" s="34"/>
      <c r="G589" s="34"/>
      <c r="H589" s="34"/>
      <c r="I589" s="34"/>
      <c r="J589" s="31"/>
    </row>
    <row r="590" spans="1:10" x14ac:dyDescent="0.15">
      <c r="A590" s="34"/>
      <c r="B590" s="34"/>
      <c r="C590" s="34"/>
      <c r="D590" s="34"/>
      <c r="E590" s="34"/>
      <c r="F590" s="34"/>
      <c r="G590" s="34"/>
      <c r="H590" s="34"/>
      <c r="I590" s="34"/>
      <c r="J590" s="31"/>
    </row>
    <row r="591" spans="1:10" x14ac:dyDescent="0.15">
      <c r="A591" s="34"/>
      <c r="B591" s="34"/>
      <c r="C591" s="34"/>
      <c r="D591" s="34"/>
      <c r="E591" s="34"/>
      <c r="F591" s="34"/>
      <c r="G591" s="34"/>
      <c r="H591" s="34"/>
      <c r="I591" s="34"/>
      <c r="J591" s="31"/>
    </row>
    <row r="592" spans="1:10" x14ac:dyDescent="0.15">
      <c r="A592" s="34"/>
      <c r="B592" s="34"/>
      <c r="C592" s="34"/>
      <c r="D592" s="34"/>
      <c r="E592" s="34"/>
      <c r="F592" s="34"/>
      <c r="G592" s="34"/>
      <c r="H592" s="34"/>
      <c r="I592" s="34"/>
      <c r="J592" s="31"/>
    </row>
    <row r="593" spans="1:10" x14ac:dyDescent="0.15">
      <c r="A593" s="34"/>
      <c r="B593" s="34"/>
      <c r="C593" s="34"/>
      <c r="D593" s="34"/>
      <c r="E593" s="34"/>
      <c r="F593" s="34"/>
      <c r="G593" s="34"/>
      <c r="H593" s="34"/>
      <c r="I593" s="34"/>
      <c r="J593" s="31"/>
    </row>
    <row r="594" spans="1:10" x14ac:dyDescent="0.15">
      <c r="A594" s="34"/>
      <c r="B594" s="34"/>
      <c r="C594" s="34"/>
      <c r="D594" s="34"/>
      <c r="E594" s="34"/>
      <c r="F594" s="34"/>
      <c r="G594" s="34"/>
      <c r="H594" s="34"/>
      <c r="I594" s="34"/>
      <c r="J594" s="31"/>
    </row>
    <row r="595" spans="1:10" x14ac:dyDescent="0.15">
      <c r="A595" s="34"/>
      <c r="B595" s="34"/>
      <c r="C595" s="34"/>
      <c r="D595" s="34"/>
      <c r="E595" s="34"/>
      <c r="F595" s="34"/>
      <c r="G595" s="34"/>
      <c r="H595" s="34"/>
      <c r="I595" s="34"/>
      <c r="J595" s="31"/>
    </row>
    <row r="596" spans="1:10" x14ac:dyDescent="0.15">
      <c r="A596" s="34"/>
      <c r="B596" s="34"/>
      <c r="C596" s="34"/>
      <c r="D596" s="34"/>
      <c r="E596" s="34"/>
      <c r="F596" s="34"/>
      <c r="G596" s="34"/>
      <c r="H596" s="34"/>
      <c r="I596" s="34"/>
      <c r="J596" s="31"/>
    </row>
    <row r="597" spans="1:10" x14ac:dyDescent="0.15">
      <c r="A597" s="34"/>
      <c r="B597" s="34"/>
      <c r="C597" s="34"/>
      <c r="D597" s="34"/>
      <c r="E597" s="34"/>
      <c r="F597" s="34"/>
      <c r="G597" s="34"/>
      <c r="H597" s="34"/>
      <c r="I597" s="34"/>
      <c r="J597" s="31"/>
    </row>
    <row r="598" spans="1:10" x14ac:dyDescent="0.15">
      <c r="A598" s="34"/>
      <c r="B598" s="34"/>
      <c r="C598" s="34"/>
      <c r="D598" s="34"/>
      <c r="E598" s="34"/>
      <c r="F598" s="34"/>
      <c r="G598" s="34"/>
      <c r="H598" s="34"/>
      <c r="I598" s="34"/>
      <c r="J598" s="31"/>
    </row>
    <row r="599" spans="1:10" x14ac:dyDescent="0.15">
      <c r="A599" s="34"/>
      <c r="B599" s="34"/>
      <c r="C599" s="34"/>
      <c r="D599" s="34"/>
      <c r="E599" s="34"/>
      <c r="F599" s="34"/>
      <c r="G599" s="34"/>
      <c r="H599" s="34"/>
      <c r="I599" s="34"/>
      <c r="J599" s="31"/>
    </row>
    <row r="600" spans="1:10" x14ac:dyDescent="0.15">
      <c r="A600" s="34"/>
      <c r="B600" s="34"/>
      <c r="C600" s="34"/>
      <c r="D600" s="34"/>
      <c r="E600" s="34"/>
      <c r="F600" s="34"/>
      <c r="G600" s="34"/>
      <c r="H600" s="34"/>
      <c r="I600" s="34"/>
      <c r="J600" s="31"/>
    </row>
    <row r="601" spans="1:10" x14ac:dyDescent="0.15">
      <c r="A601" s="34"/>
      <c r="B601" s="34"/>
      <c r="C601" s="34"/>
      <c r="D601" s="34"/>
      <c r="E601" s="34"/>
      <c r="F601" s="34"/>
      <c r="G601" s="34"/>
      <c r="H601" s="34"/>
      <c r="I601" s="34"/>
      <c r="J601" s="31"/>
    </row>
    <row r="602" spans="1:10" x14ac:dyDescent="0.15">
      <c r="A602" s="34"/>
      <c r="B602" s="34"/>
      <c r="C602" s="34"/>
      <c r="D602" s="34"/>
      <c r="E602" s="34"/>
      <c r="F602" s="34"/>
      <c r="G602" s="34"/>
      <c r="H602" s="34"/>
      <c r="I602" s="34"/>
      <c r="J602" s="31"/>
    </row>
    <row r="603" spans="1:10" x14ac:dyDescent="0.15">
      <c r="A603" s="34"/>
      <c r="B603" s="34"/>
      <c r="C603" s="34"/>
      <c r="D603" s="34"/>
      <c r="E603" s="34"/>
      <c r="F603" s="34"/>
      <c r="G603" s="34"/>
      <c r="H603" s="34"/>
      <c r="I603" s="34"/>
      <c r="J603" s="31"/>
    </row>
    <row r="604" spans="1:10" x14ac:dyDescent="0.15">
      <c r="A604" s="34"/>
      <c r="B604" s="34"/>
      <c r="C604" s="34"/>
      <c r="D604" s="34"/>
      <c r="E604" s="34"/>
      <c r="F604" s="34"/>
      <c r="G604" s="34"/>
      <c r="H604" s="34"/>
      <c r="I604" s="34"/>
      <c r="J604" s="31"/>
    </row>
    <row r="605" spans="1:10" x14ac:dyDescent="0.15">
      <c r="A605" s="34"/>
      <c r="B605" s="34"/>
      <c r="C605" s="34"/>
      <c r="D605" s="34"/>
      <c r="E605" s="34"/>
      <c r="F605" s="34"/>
      <c r="G605" s="34"/>
      <c r="H605" s="34"/>
      <c r="I605" s="34"/>
      <c r="J605" s="31"/>
    </row>
    <row r="606" spans="1:10" x14ac:dyDescent="0.15">
      <c r="A606" s="34"/>
      <c r="B606" s="34"/>
      <c r="C606" s="34"/>
      <c r="D606" s="34"/>
      <c r="E606" s="34"/>
      <c r="F606" s="34"/>
      <c r="G606" s="34"/>
      <c r="H606" s="34"/>
      <c r="I606" s="34"/>
      <c r="J606" s="31"/>
    </row>
    <row r="607" spans="1:10" x14ac:dyDescent="0.15">
      <c r="A607" s="34"/>
      <c r="B607" s="34"/>
      <c r="C607" s="34"/>
      <c r="D607" s="34"/>
      <c r="E607" s="34"/>
      <c r="F607" s="34"/>
      <c r="G607" s="34"/>
      <c r="H607" s="34"/>
      <c r="I607" s="34"/>
      <c r="J607" s="31"/>
    </row>
    <row r="608" spans="1:10" x14ac:dyDescent="0.15">
      <c r="A608" s="34"/>
      <c r="B608" s="34"/>
      <c r="C608" s="34"/>
      <c r="D608" s="34"/>
      <c r="E608" s="34"/>
      <c r="F608" s="34"/>
      <c r="G608" s="34"/>
      <c r="H608" s="34"/>
      <c r="I608" s="34"/>
      <c r="J608" s="31"/>
    </row>
    <row r="609" spans="1:10" x14ac:dyDescent="0.15">
      <c r="A609" s="34"/>
      <c r="B609" s="34"/>
      <c r="C609" s="34"/>
      <c r="D609" s="34"/>
      <c r="E609" s="34"/>
      <c r="F609" s="34"/>
      <c r="G609" s="34"/>
      <c r="H609" s="34"/>
      <c r="I609" s="34"/>
      <c r="J609" s="31"/>
    </row>
    <row r="610" spans="1:10" x14ac:dyDescent="0.15">
      <c r="A610" s="34"/>
      <c r="B610" s="34"/>
      <c r="C610" s="34"/>
      <c r="D610" s="34"/>
      <c r="E610" s="34"/>
      <c r="F610" s="34"/>
      <c r="G610" s="34"/>
      <c r="H610" s="34"/>
      <c r="I610" s="34"/>
      <c r="J610" s="31"/>
    </row>
    <row r="611" spans="1:10" x14ac:dyDescent="0.15">
      <c r="A611" s="34"/>
      <c r="B611" s="34"/>
      <c r="C611" s="34"/>
      <c r="D611" s="34"/>
      <c r="E611" s="34"/>
      <c r="F611" s="34"/>
      <c r="G611" s="34"/>
      <c r="H611" s="34"/>
      <c r="I611" s="34"/>
      <c r="J611" s="31"/>
    </row>
    <row r="612" spans="1:10" x14ac:dyDescent="0.15">
      <c r="A612" s="34"/>
      <c r="B612" s="34"/>
      <c r="C612" s="34"/>
      <c r="D612" s="34"/>
      <c r="E612" s="34"/>
      <c r="F612" s="34"/>
      <c r="G612" s="34"/>
      <c r="H612" s="34"/>
      <c r="I612" s="34"/>
      <c r="J612" s="31"/>
    </row>
    <row r="613" spans="1:10" x14ac:dyDescent="0.15">
      <c r="A613" s="34"/>
      <c r="B613" s="34"/>
      <c r="C613" s="34"/>
      <c r="D613" s="34"/>
      <c r="E613" s="34"/>
      <c r="F613" s="34"/>
      <c r="G613" s="34"/>
      <c r="H613" s="34"/>
      <c r="I613" s="34"/>
      <c r="J613" s="31"/>
    </row>
    <row r="614" spans="1:10" x14ac:dyDescent="0.15">
      <c r="A614" s="34"/>
      <c r="B614" s="34"/>
      <c r="C614" s="34"/>
      <c r="D614" s="34"/>
      <c r="E614" s="34"/>
      <c r="F614" s="34"/>
      <c r="G614" s="34"/>
      <c r="H614" s="34"/>
      <c r="I614" s="34"/>
      <c r="J614" s="31"/>
    </row>
    <row r="615" spans="1:10" x14ac:dyDescent="0.15">
      <c r="A615" s="34"/>
      <c r="B615" s="34"/>
      <c r="C615" s="34"/>
      <c r="D615" s="34"/>
      <c r="E615" s="34"/>
      <c r="F615" s="34"/>
      <c r="G615" s="34"/>
      <c r="H615" s="34"/>
      <c r="I615" s="34"/>
      <c r="J615" s="31"/>
    </row>
    <row r="616" spans="1:10" x14ac:dyDescent="0.15">
      <c r="A616" s="34"/>
      <c r="B616" s="34"/>
      <c r="C616" s="34"/>
      <c r="D616" s="34"/>
      <c r="E616" s="34"/>
      <c r="F616" s="34"/>
      <c r="G616" s="34"/>
      <c r="H616" s="34"/>
      <c r="I616" s="34"/>
      <c r="J616" s="31"/>
    </row>
    <row r="617" spans="1:10" x14ac:dyDescent="0.15">
      <c r="A617" s="34"/>
      <c r="B617" s="34"/>
      <c r="C617" s="34"/>
      <c r="D617" s="34"/>
      <c r="E617" s="34"/>
      <c r="F617" s="34"/>
      <c r="G617" s="34"/>
      <c r="H617" s="34"/>
      <c r="I617" s="34"/>
      <c r="J617" s="31"/>
    </row>
    <row r="618" spans="1:10" x14ac:dyDescent="0.15">
      <c r="A618" s="34"/>
      <c r="B618" s="34"/>
      <c r="C618" s="34"/>
      <c r="D618" s="34"/>
      <c r="E618" s="34"/>
      <c r="F618" s="34"/>
      <c r="G618" s="34"/>
      <c r="H618" s="34"/>
      <c r="I618" s="34"/>
      <c r="J618" s="31"/>
    </row>
    <row r="619" spans="1:10" x14ac:dyDescent="0.15">
      <c r="A619" s="34"/>
      <c r="B619" s="34"/>
      <c r="C619" s="34"/>
      <c r="D619" s="34"/>
      <c r="E619" s="34"/>
      <c r="F619" s="34"/>
      <c r="G619" s="34"/>
      <c r="H619" s="34"/>
      <c r="I619" s="34"/>
      <c r="J619" s="31"/>
    </row>
    <row r="620" spans="1:10" x14ac:dyDescent="0.15">
      <c r="A620" s="34"/>
      <c r="B620" s="34"/>
      <c r="C620" s="34"/>
      <c r="D620" s="34"/>
      <c r="E620" s="34"/>
      <c r="F620" s="34"/>
      <c r="G620" s="34"/>
      <c r="H620" s="34"/>
      <c r="I620" s="34"/>
      <c r="J620" s="31"/>
    </row>
    <row r="621" spans="1:10" x14ac:dyDescent="0.15">
      <c r="A621" s="34"/>
      <c r="B621" s="34"/>
      <c r="C621" s="34"/>
      <c r="D621" s="34"/>
      <c r="E621" s="34"/>
      <c r="F621" s="34"/>
      <c r="G621" s="34"/>
      <c r="H621" s="34"/>
      <c r="I621" s="34"/>
      <c r="J621" s="31"/>
    </row>
    <row r="622" spans="1:10" x14ac:dyDescent="0.15">
      <c r="A622" s="34"/>
      <c r="B622" s="34"/>
      <c r="C622" s="34"/>
      <c r="D622" s="34"/>
      <c r="E622" s="34"/>
      <c r="F622" s="34"/>
      <c r="G622" s="34"/>
      <c r="H622" s="34"/>
      <c r="I622" s="34"/>
      <c r="J622" s="31"/>
    </row>
    <row r="623" spans="1:10" x14ac:dyDescent="0.15">
      <c r="A623" s="34"/>
      <c r="B623" s="34"/>
      <c r="C623" s="34"/>
      <c r="D623" s="34"/>
      <c r="E623" s="34"/>
      <c r="F623" s="34"/>
      <c r="G623" s="34"/>
      <c r="H623" s="34"/>
      <c r="I623" s="34"/>
      <c r="J623" s="31"/>
    </row>
    <row r="624" spans="1:10" x14ac:dyDescent="0.15">
      <c r="A624" s="34"/>
      <c r="B624" s="34"/>
      <c r="C624" s="34"/>
      <c r="D624" s="34"/>
      <c r="E624" s="34"/>
      <c r="F624" s="34"/>
      <c r="G624" s="34"/>
      <c r="H624" s="34"/>
      <c r="I624" s="34"/>
      <c r="J624" s="31"/>
    </row>
    <row r="625" spans="1:10" x14ac:dyDescent="0.15">
      <c r="A625" s="34"/>
      <c r="B625" s="34"/>
      <c r="C625" s="34"/>
      <c r="D625" s="34"/>
      <c r="E625" s="34"/>
      <c r="F625" s="34"/>
      <c r="G625" s="34"/>
      <c r="H625" s="34"/>
      <c r="I625" s="34"/>
      <c r="J625" s="31"/>
    </row>
    <row r="626" spans="1:10" x14ac:dyDescent="0.15">
      <c r="A626" s="34"/>
      <c r="B626" s="34"/>
      <c r="C626" s="34"/>
      <c r="D626" s="34"/>
      <c r="E626" s="34"/>
      <c r="F626" s="34"/>
      <c r="G626" s="34"/>
      <c r="H626" s="34"/>
      <c r="I626" s="34"/>
      <c r="J626" s="31"/>
    </row>
    <row r="627" spans="1:10" x14ac:dyDescent="0.15">
      <c r="A627" s="34"/>
      <c r="B627" s="34"/>
      <c r="C627" s="34"/>
      <c r="D627" s="34"/>
      <c r="E627" s="34"/>
      <c r="F627" s="34"/>
      <c r="G627" s="34"/>
      <c r="H627" s="34"/>
      <c r="I627" s="34"/>
      <c r="J627" s="31"/>
    </row>
    <row r="628" spans="1:10" x14ac:dyDescent="0.15">
      <c r="A628" s="34"/>
      <c r="B628" s="34"/>
      <c r="C628" s="34"/>
      <c r="D628" s="34"/>
      <c r="E628" s="34"/>
      <c r="F628" s="34"/>
      <c r="G628" s="34"/>
      <c r="H628" s="34"/>
      <c r="I628" s="34"/>
      <c r="J628" s="31"/>
    </row>
    <row r="629" spans="1:10" x14ac:dyDescent="0.15">
      <c r="A629" s="34"/>
      <c r="B629" s="34"/>
      <c r="C629" s="34"/>
      <c r="D629" s="34"/>
      <c r="E629" s="34"/>
      <c r="F629" s="34"/>
      <c r="G629" s="34"/>
      <c r="H629" s="34"/>
      <c r="I629" s="34"/>
      <c r="J629" s="31"/>
    </row>
    <row r="630" spans="1:10" x14ac:dyDescent="0.15">
      <c r="A630" s="34"/>
      <c r="B630" s="34"/>
      <c r="C630" s="34"/>
      <c r="D630" s="34"/>
      <c r="E630" s="34"/>
      <c r="F630" s="34"/>
      <c r="G630" s="34"/>
      <c r="H630" s="34"/>
      <c r="I630" s="34"/>
      <c r="J630" s="31"/>
    </row>
    <row r="631" spans="1:10" x14ac:dyDescent="0.15">
      <c r="A631" s="34"/>
      <c r="B631" s="34"/>
      <c r="C631" s="34"/>
      <c r="D631" s="34"/>
      <c r="E631" s="34"/>
      <c r="F631" s="34"/>
      <c r="G631" s="34"/>
      <c r="H631" s="34"/>
      <c r="I631" s="34"/>
      <c r="J631" s="31"/>
    </row>
    <row r="632" spans="1:10" x14ac:dyDescent="0.15">
      <c r="A632" s="34"/>
      <c r="B632" s="34"/>
      <c r="C632" s="34"/>
      <c r="D632" s="34"/>
      <c r="E632" s="34"/>
      <c r="F632" s="34"/>
      <c r="G632" s="34"/>
      <c r="H632" s="34"/>
      <c r="I632" s="34"/>
      <c r="J632" s="31"/>
    </row>
    <row r="633" spans="1:10" x14ac:dyDescent="0.15">
      <c r="A633" s="34"/>
      <c r="B633" s="34"/>
      <c r="C633" s="34"/>
      <c r="D633" s="34"/>
      <c r="E633" s="34"/>
      <c r="F633" s="34"/>
      <c r="G633" s="34"/>
      <c r="H633" s="34"/>
      <c r="I633" s="34"/>
      <c r="J633" s="31"/>
    </row>
    <row r="634" spans="1:10" x14ac:dyDescent="0.15">
      <c r="A634" s="34"/>
      <c r="B634" s="34"/>
      <c r="C634" s="34"/>
      <c r="D634" s="34"/>
      <c r="E634" s="34"/>
      <c r="F634" s="34"/>
      <c r="G634" s="34"/>
      <c r="H634" s="34"/>
      <c r="I634" s="34"/>
      <c r="J634" s="31"/>
    </row>
    <row r="635" spans="1:10" x14ac:dyDescent="0.15">
      <c r="A635" s="34"/>
      <c r="B635" s="34"/>
      <c r="C635" s="34"/>
      <c r="D635" s="34"/>
      <c r="E635" s="34"/>
      <c r="F635" s="34"/>
      <c r="G635" s="34"/>
      <c r="H635" s="34"/>
      <c r="I635" s="34"/>
      <c r="J635" s="31"/>
    </row>
    <row r="636" spans="1:10" x14ac:dyDescent="0.15">
      <c r="A636" s="34"/>
      <c r="B636" s="34"/>
      <c r="C636" s="34"/>
      <c r="D636" s="34"/>
      <c r="E636" s="34"/>
      <c r="F636" s="34"/>
      <c r="G636" s="34"/>
      <c r="H636" s="34"/>
      <c r="I636" s="34"/>
      <c r="J636" s="31"/>
    </row>
    <row r="637" spans="1:10" x14ac:dyDescent="0.15">
      <c r="A637" s="34"/>
      <c r="B637" s="34"/>
      <c r="C637" s="34"/>
      <c r="D637" s="34"/>
      <c r="E637" s="34"/>
      <c r="F637" s="34"/>
      <c r="G637" s="34"/>
      <c r="H637" s="34"/>
      <c r="I637" s="34"/>
      <c r="J637" s="31"/>
    </row>
    <row r="638" spans="1:10" x14ac:dyDescent="0.15">
      <c r="A638" s="34"/>
      <c r="B638" s="34"/>
      <c r="C638" s="34"/>
      <c r="D638" s="34"/>
      <c r="E638" s="34"/>
      <c r="F638" s="34"/>
      <c r="G638" s="34"/>
      <c r="H638" s="34"/>
      <c r="I638" s="34"/>
      <c r="J638" s="31"/>
    </row>
    <row r="639" spans="1:10" x14ac:dyDescent="0.15">
      <c r="A639" s="34"/>
      <c r="B639" s="34"/>
      <c r="C639" s="34"/>
      <c r="D639" s="34"/>
      <c r="E639" s="34"/>
      <c r="F639" s="34"/>
      <c r="G639" s="34"/>
      <c r="H639" s="34"/>
      <c r="I639" s="34"/>
      <c r="J639" s="31"/>
    </row>
    <row r="640" spans="1:10" x14ac:dyDescent="0.15">
      <c r="A640" s="34"/>
      <c r="B640" s="34"/>
      <c r="C640" s="34"/>
      <c r="D640" s="34"/>
      <c r="E640" s="34"/>
      <c r="F640" s="34"/>
      <c r="G640" s="34"/>
      <c r="H640" s="34"/>
      <c r="I640" s="34"/>
      <c r="J640" s="31"/>
    </row>
    <row r="641" spans="1:10" x14ac:dyDescent="0.15">
      <c r="A641" s="34"/>
      <c r="B641" s="34"/>
      <c r="C641" s="34"/>
      <c r="D641" s="34"/>
      <c r="E641" s="34"/>
      <c r="F641" s="34"/>
      <c r="G641" s="34"/>
      <c r="H641" s="34"/>
      <c r="I641" s="34"/>
      <c r="J641" s="31"/>
    </row>
    <row r="642" spans="1:10" x14ac:dyDescent="0.15">
      <c r="A642" s="34"/>
      <c r="B642" s="34"/>
      <c r="C642" s="34"/>
      <c r="D642" s="34"/>
      <c r="E642" s="34"/>
      <c r="F642" s="34"/>
      <c r="G642" s="34"/>
      <c r="H642" s="34"/>
      <c r="I642" s="34"/>
      <c r="J642" s="31"/>
    </row>
    <row r="643" spans="1:10" x14ac:dyDescent="0.15">
      <c r="A643" s="34"/>
      <c r="B643" s="34"/>
      <c r="C643" s="34"/>
      <c r="D643" s="34"/>
      <c r="E643" s="34"/>
      <c r="F643" s="34"/>
      <c r="G643" s="34"/>
      <c r="H643" s="34"/>
      <c r="I643" s="34"/>
      <c r="J643" s="31"/>
    </row>
    <row r="644" spans="1:10" x14ac:dyDescent="0.15">
      <c r="A644" s="34"/>
      <c r="B644" s="34"/>
      <c r="C644" s="34"/>
      <c r="D644" s="34"/>
      <c r="E644" s="34"/>
      <c r="F644" s="34"/>
      <c r="G644" s="34"/>
      <c r="H644" s="34"/>
      <c r="I644" s="34"/>
      <c r="J644" s="31"/>
    </row>
    <row r="645" spans="1:10" x14ac:dyDescent="0.15">
      <c r="A645" s="34"/>
      <c r="B645" s="34"/>
      <c r="C645" s="34"/>
      <c r="D645" s="34"/>
      <c r="E645" s="34"/>
      <c r="F645" s="34"/>
      <c r="G645" s="34"/>
      <c r="H645" s="34"/>
      <c r="I645" s="34"/>
      <c r="J645" s="31"/>
    </row>
    <row r="646" spans="1:10" x14ac:dyDescent="0.15">
      <c r="A646" s="34"/>
      <c r="B646" s="34"/>
      <c r="C646" s="34"/>
      <c r="D646" s="34"/>
      <c r="E646" s="34"/>
      <c r="F646" s="34"/>
      <c r="G646" s="34"/>
      <c r="H646" s="34"/>
      <c r="I646" s="34"/>
      <c r="J646" s="31"/>
    </row>
    <row r="647" spans="1:10" x14ac:dyDescent="0.15">
      <c r="A647" s="34"/>
      <c r="B647" s="34"/>
      <c r="C647" s="34"/>
      <c r="D647" s="34"/>
      <c r="E647" s="34"/>
      <c r="F647" s="34"/>
      <c r="G647" s="34"/>
      <c r="H647" s="34"/>
      <c r="I647" s="34"/>
      <c r="J647" s="31"/>
    </row>
    <row r="648" spans="1:10" x14ac:dyDescent="0.15">
      <c r="A648" s="34"/>
      <c r="B648" s="34"/>
      <c r="C648" s="34"/>
      <c r="D648" s="34"/>
      <c r="E648" s="34"/>
      <c r="F648" s="34"/>
      <c r="G648" s="34"/>
      <c r="H648" s="34"/>
      <c r="I648" s="34"/>
      <c r="J648" s="31"/>
    </row>
    <row r="649" spans="1:10" x14ac:dyDescent="0.15">
      <c r="A649" s="34"/>
      <c r="B649" s="34"/>
      <c r="C649" s="34"/>
      <c r="D649" s="34"/>
      <c r="E649" s="34"/>
      <c r="F649" s="34"/>
      <c r="G649" s="34"/>
      <c r="H649" s="34"/>
      <c r="I649" s="34"/>
      <c r="J649" s="31"/>
    </row>
    <row r="650" spans="1:10" x14ac:dyDescent="0.15">
      <c r="A650" s="34"/>
      <c r="B650" s="34"/>
      <c r="C650" s="34"/>
      <c r="D650" s="34"/>
      <c r="E650" s="34"/>
      <c r="F650" s="34"/>
      <c r="G650" s="34"/>
      <c r="H650" s="34"/>
      <c r="I650" s="34"/>
      <c r="J650" s="31"/>
    </row>
    <row r="651" spans="1:10" x14ac:dyDescent="0.15">
      <c r="A651" s="34"/>
      <c r="B651" s="34"/>
      <c r="C651" s="34"/>
      <c r="D651" s="34"/>
      <c r="E651" s="34"/>
      <c r="F651" s="34"/>
      <c r="G651" s="34"/>
      <c r="H651" s="34"/>
      <c r="I651" s="34"/>
      <c r="J651" s="31"/>
    </row>
    <row r="652" spans="1:10" x14ac:dyDescent="0.15">
      <c r="A652" s="34"/>
      <c r="B652" s="34"/>
      <c r="C652" s="34"/>
      <c r="D652" s="34"/>
      <c r="E652" s="34"/>
      <c r="F652" s="34"/>
      <c r="G652" s="34"/>
      <c r="H652" s="34"/>
      <c r="I652" s="34"/>
      <c r="J652" s="31"/>
    </row>
    <row r="653" spans="1:10" x14ac:dyDescent="0.15">
      <c r="A653" s="34"/>
      <c r="B653" s="34"/>
      <c r="C653" s="34"/>
      <c r="D653" s="34"/>
      <c r="E653" s="34"/>
      <c r="F653" s="34"/>
      <c r="G653" s="34"/>
      <c r="H653" s="34"/>
      <c r="I653" s="34"/>
      <c r="J653" s="31"/>
    </row>
    <row r="654" spans="1:10" x14ac:dyDescent="0.15">
      <c r="A654" s="34"/>
      <c r="B654" s="34"/>
      <c r="C654" s="34"/>
      <c r="D654" s="34"/>
      <c r="E654" s="34"/>
      <c r="F654" s="34"/>
      <c r="G654" s="34"/>
      <c r="H654" s="34"/>
      <c r="I654" s="34"/>
      <c r="J654" s="31"/>
    </row>
    <row r="655" spans="1:10" x14ac:dyDescent="0.15">
      <c r="A655" s="34"/>
      <c r="B655" s="34"/>
      <c r="C655" s="34"/>
      <c r="D655" s="34"/>
      <c r="E655" s="34"/>
      <c r="F655" s="34"/>
      <c r="G655" s="34"/>
      <c r="H655" s="34"/>
      <c r="I655" s="34"/>
      <c r="J655" s="31"/>
    </row>
    <row r="656" spans="1:10" x14ac:dyDescent="0.15">
      <c r="A656" s="34"/>
      <c r="B656" s="34"/>
      <c r="C656" s="34"/>
      <c r="D656" s="34"/>
      <c r="E656" s="34"/>
      <c r="F656" s="34"/>
      <c r="G656" s="34"/>
      <c r="H656" s="34"/>
      <c r="I656" s="34"/>
      <c r="J656" s="31"/>
    </row>
    <row r="657" spans="1:10" x14ac:dyDescent="0.15">
      <c r="A657" s="34"/>
      <c r="B657" s="34"/>
      <c r="C657" s="34"/>
      <c r="D657" s="34"/>
      <c r="E657" s="34"/>
      <c r="F657" s="34"/>
      <c r="G657" s="34"/>
      <c r="H657" s="34"/>
      <c r="I657" s="34"/>
      <c r="J657" s="31"/>
    </row>
    <row r="658" spans="1:10" x14ac:dyDescent="0.15">
      <c r="A658" s="34"/>
      <c r="B658" s="34"/>
      <c r="C658" s="34"/>
      <c r="D658" s="34"/>
      <c r="E658" s="34"/>
      <c r="F658" s="34"/>
      <c r="G658" s="34"/>
      <c r="H658" s="34"/>
      <c r="I658" s="34"/>
      <c r="J658" s="31"/>
    </row>
    <row r="659" spans="1:10" x14ac:dyDescent="0.15">
      <c r="A659" s="34"/>
      <c r="B659" s="34"/>
      <c r="C659" s="34"/>
      <c r="D659" s="34"/>
      <c r="E659" s="34"/>
      <c r="F659" s="34"/>
      <c r="G659" s="34"/>
      <c r="H659" s="34"/>
      <c r="I659" s="34"/>
      <c r="J659" s="31"/>
    </row>
    <row r="660" spans="1:10" x14ac:dyDescent="0.15">
      <c r="A660" s="34"/>
      <c r="B660" s="34"/>
      <c r="C660" s="34"/>
      <c r="D660" s="34"/>
      <c r="E660" s="34"/>
      <c r="F660" s="34"/>
      <c r="G660" s="34"/>
      <c r="H660" s="34"/>
      <c r="I660" s="34"/>
      <c r="J660" s="31"/>
    </row>
    <row r="661" spans="1:10" x14ac:dyDescent="0.15">
      <c r="A661" s="34"/>
      <c r="B661" s="34"/>
      <c r="C661" s="34"/>
      <c r="D661" s="34"/>
      <c r="E661" s="34"/>
      <c r="F661" s="34"/>
      <c r="G661" s="34"/>
      <c r="H661" s="34"/>
      <c r="I661" s="34"/>
      <c r="J661" s="31"/>
    </row>
    <row r="662" spans="1:10" x14ac:dyDescent="0.15">
      <c r="A662" s="34"/>
      <c r="B662" s="34"/>
      <c r="C662" s="34"/>
      <c r="D662" s="34"/>
      <c r="E662" s="34"/>
      <c r="F662" s="34"/>
      <c r="G662" s="34"/>
      <c r="H662" s="34"/>
      <c r="I662" s="34"/>
      <c r="J662" s="31"/>
    </row>
    <row r="663" spans="1:10" x14ac:dyDescent="0.15">
      <c r="A663" s="34"/>
      <c r="B663" s="34"/>
      <c r="C663" s="34"/>
      <c r="D663" s="34"/>
      <c r="E663" s="34"/>
      <c r="F663" s="34"/>
      <c r="G663" s="34"/>
      <c r="H663" s="34"/>
      <c r="I663" s="34"/>
      <c r="J663" s="31"/>
    </row>
    <row r="664" spans="1:10" x14ac:dyDescent="0.15">
      <c r="A664" s="34"/>
      <c r="B664" s="34"/>
      <c r="C664" s="34"/>
      <c r="D664" s="34"/>
      <c r="E664" s="34"/>
      <c r="F664" s="34"/>
      <c r="G664" s="34"/>
      <c r="H664" s="34"/>
      <c r="I664" s="34"/>
      <c r="J664" s="31"/>
    </row>
    <row r="665" spans="1:10" x14ac:dyDescent="0.15">
      <c r="A665" s="34"/>
      <c r="B665" s="34"/>
      <c r="C665" s="34"/>
      <c r="D665" s="34"/>
      <c r="E665" s="34"/>
      <c r="F665" s="34"/>
      <c r="G665" s="34"/>
      <c r="H665" s="34"/>
      <c r="I665" s="34"/>
      <c r="J665" s="31"/>
    </row>
    <row r="666" spans="1:10" x14ac:dyDescent="0.15">
      <c r="A666" s="34"/>
      <c r="B666" s="34"/>
      <c r="C666" s="34"/>
      <c r="D666" s="34"/>
      <c r="E666" s="34"/>
      <c r="F666" s="34"/>
      <c r="G666" s="34"/>
      <c r="H666" s="34"/>
      <c r="I666" s="34"/>
      <c r="J666" s="31"/>
    </row>
    <row r="667" spans="1:10" x14ac:dyDescent="0.15">
      <c r="A667" s="34"/>
      <c r="B667" s="34"/>
      <c r="C667" s="34"/>
      <c r="D667" s="34"/>
      <c r="E667" s="34"/>
      <c r="F667" s="34"/>
      <c r="G667" s="34"/>
      <c r="H667" s="34"/>
      <c r="I667" s="34"/>
      <c r="J667" s="31"/>
    </row>
    <row r="668" spans="1:10" x14ac:dyDescent="0.15">
      <c r="A668" s="34"/>
      <c r="B668" s="34"/>
      <c r="C668" s="34"/>
      <c r="D668" s="34"/>
      <c r="E668" s="34"/>
      <c r="F668" s="34"/>
      <c r="G668" s="34"/>
      <c r="H668" s="34"/>
      <c r="I668" s="34"/>
      <c r="J668" s="31"/>
    </row>
    <row r="669" spans="1:10" x14ac:dyDescent="0.15">
      <c r="A669" s="34"/>
      <c r="B669" s="34"/>
      <c r="C669" s="34"/>
      <c r="D669" s="34"/>
      <c r="E669" s="34"/>
      <c r="F669" s="34"/>
      <c r="G669" s="34"/>
      <c r="H669" s="34"/>
      <c r="I669" s="34"/>
      <c r="J669" s="31"/>
    </row>
    <row r="670" spans="1:10" x14ac:dyDescent="0.15">
      <c r="A670" s="34"/>
      <c r="B670" s="34"/>
      <c r="C670" s="34"/>
      <c r="D670" s="34"/>
      <c r="E670" s="34"/>
      <c r="F670" s="34"/>
      <c r="G670" s="34"/>
      <c r="H670" s="34"/>
      <c r="I670" s="34"/>
      <c r="J670" s="31"/>
    </row>
    <row r="671" spans="1:10" x14ac:dyDescent="0.15">
      <c r="A671" s="34"/>
      <c r="B671" s="34"/>
      <c r="C671" s="34"/>
      <c r="D671" s="34"/>
      <c r="E671" s="34"/>
      <c r="F671" s="34"/>
      <c r="G671" s="34"/>
      <c r="H671" s="34"/>
      <c r="I671" s="34"/>
      <c r="J671" s="31"/>
    </row>
    <row r="672" spans="1:10" x14ac:dyDescent="0.15">
      <c r="A672" s="34"/>
      <c r="B672" s="34"/>
      <c r="C672" s="34"/>
      <c r="D672" s="34"/>
      <c r="E672" s="34"/>
      <c r="F672" s="34"/>
      <c r="G672" s="34"/>
      <c r="H672" s="34"/>
      <c r="I672" s="34"/>
      <c r="J672" s="31"/>
    </row>
    <row r="673" spans="1:10" x14ac:dyDescent="0.15">
      <c r="A673" s="34"/>
      <c r="B673" s="34"/>
      <c r="C673" s="34"/>
      <c r="D673" s="34"/>
      <c r="E673" s="34"/>
      <c r="F673" s="34"/>
      <c r="G673" s="34"/>
      <c r="H673" s="34"/>
      <c r="I673" s="34"/>
      <c r="J673" s="31"/>
    </row>
    <row r="674" spans="1:10" x14ac:dyDescent="0.15">
      <c r="A674" s="34"/>
      <c r="B674" s="34"/>
      <c r="C674" s="34"/>
      <c r="D674" s="34"/>
      <c r="E674" s="34"/>
      <c r="F674" s="34"/>
      <c r="G674" s="34"/>
      <c r="H674" s="34"/>
      <c r="I674" s="34"/>
      <c r="J674" s="31"/>
    </row>
    <row r="675" spans="1:10" x14ac:dyDescent="0.15">
      <c r="A675" s="34"/>
      <c r="B675" s="34"/>
      <c r="C675" s="34"/>
      <c r="D675" s="34"/>
      <c r="E675" s="34"/>
      <c r="F675" s="34"/>
      <c r="G675" s="34"/>
      <c r="H675" s="34"/>
      <c r="I675" s="34"/>
      <c r="J675" s="31"/>
    </row>
    <row r="676" spans="1:10" x14ac:dyDescent="0.15">
      <c r="A676" s="34"/>
      <c r="B676" s="34"/>
      <c r="C676" s="34"/>
      <c r="D676" s="34"/>
      <c r="E676" s="34"/>
      <c r="F676" s="34"/>
      <c r="G676" s="34"/>
      <c r="H676" s="34"/>
      <c r="I676" s="34"/>
      <c r="J676" s="31"/>
    </row>
    <row r="677" spans="1:10" x14ac:dyDescent="0.15">
      <c r="A677" s="34"/>
      <c r="B677" s="34"/>
      <c r="C677" s="34"/>
      <c r="D677" s="34"/>
      <c r="E677" s="34"/>
      <c r="F677" s="34"/>
      <c r="G677" s="34"/>
      <c r="H677" s="34"/>
      <c r="I677" s="34"/>
      <c r="J677" s="31"/>
    </row>
    <row r="678" spans="1:10" x14ac:dyDescent="0.15">
      <c r="A678" s="34"/>
      <c r="B678" s="34"/>
      <c r="C678" s="34"/>
      <c r="D678" s="34"/>
      <c r="E678" s="34"/>
      <c r="F678" s="34"/>
      <c r="G678" s="34"/>
      <c r="H678" s="34"/>
      <c r="I678" s="34"/>
      <c r="J678" s="31"/>
    </row>
    <row r="679" spans="1:10" x14ac:dyDescent="0.15">
      <c r="A679" s="34"/>
      <c r="B679" s="34"/>
      <c r="C679" s="34"/>
      <c r="D679" s="34"/>
      <c r="E679" s="34"/>
      <c r="F679" s="34"/>
      <c r="G679" s="34"/>
      <c r="H679" s="34"/>
      <c r="I679" s="34"/>
      <c r="J679" s="31"/>
    </row>
    <row r="680" spans="1:10" x14ac:dyDescent="0.15">
      <c r="A680" s="34"/>
      <c r="B680" s="34"/>
      <c r="C680" s="34"/>
      <c r="D680" s="34"/>
      <c r="E680" s="34"/>
      <c r="F680" s="34"/>
      <c r="G680" s="34"/>
      <c r="H680" s="34"/>
      <c r="I680" s="34"/>
      <c r="J680" s="31"/>
    </row>
    <row r="681" spans="1:10" x14ac:dyDescent="0.15">
      <c r="A681" s="34"/>
      <c r="B681" s="34"/>
      <c r="C681" s="34"/>
      <c r="D681" s="34"/>
      <c r="E681" s="34"/>
      <c r="F681" s="34"/>
      <c r="G681" s="34"/>
      <c r="H681" s="34"/>
      <c r="I681" s="34"/>
      <c r="J681" s="31"/>
    </row>
    <row r="682" spans="1:10" x14ac:dyDescent="0.15">
      <c r="A682" s="34"/>
      <c r="B682" s="34"/>
      <c r="C682" s="34"/>
      <c r="D682" s="34"/>
      <c r="E682" s="34"/>
      <c r="F682" s="34"/>
      <c r="G682" s="34"/>
      <c r="H682" s="34"/>
      <c r="I682" s="34"/>
      <c r="J682" s="31"/>
    </row>
    <row r="683" spans="1:10" x14ac:dyDescent="0.15">
      <c r="A683" s="34"/>
      <c r="B683" s="34"/>
      <c r="C683" s="34"/>
      <c r="D683" s="34"/>
      <c r="E683" s="34"/>
      <c r="F683" s="34"/>
      <c r="G683" s="34"/>
      <c r="H683" s="34"/>
      <c r="I683" s="34"/>
      <c r="J683" s="31"/>
    </row>
    <row r="684" spans="1:10" x14ac:dyDescent="0.15">
      <c r="A684" s="34"/>
      <c r="B684" s="34"/>
      <c r="C684" s="34"/>
      <c r="D684" s="34"/>
      <c r="E684" s="34"/>
      <c r="F684" s="34"/>
      <c r="G684" s="34"/>
      <c r="H684" s="34"/>
      <c r="I684" s="34"/>
      <c r="J684" s="31"/>
    </row>
    <row r="685" spans="1:10" x14ac:dyDescent="0.15">
      <c r="A685" s="34"/>
      <c r="B685" s="34"/>
      <c r="C685" s="34"/>
      <c r="D685" s="34"/>
      <c r="E685" s="34"/>
      <c r="F685" s="34"/>
      <c r="G685" s="34"/>
      <c r="H685" s="34"/>
      <c r="I685" s="34"/>
      <c r="J685" s="31"/>
    </row>
    <row r="686" spans="1:10" x14ac:dyDescent="0.15">
      <c r="A686" s="34"/>
      <c r="B686" s="34"/>
      <c r="C686" s="34"/>
      <c r="D686" s="34"/>
      <c r="E686" s="34"/>
      <c r="F686" s="34"/>
      <c r="G686" s="34"/>
      <c r="H686" s="34"/>
      <c r="I686" s="34"/>
      <c r="J686" s="31"/>
    </row>
    <row r="687" spans="1:10" x14ac:dyDescent="0.15">
      <c r="A687" s="34"/>
      <c r="B687" s="34"/>
      <c r="C687" s="34"/>
      <c r="D687" s="34"/>
      <c r="E687" s="34"/>
      <c r="F687" s="34"/>
      <c r="G687" s="34"/>
      <c r="H687" s="34"/>
      <c r="I687" s="34"/>
      <c r="J687" s="31"/>
    </row>
    <row r="688" spans="1:10" x14ac:dyDescent="0.15">
      <c r="A688" s="34"/>
      <c r="B688" s="34"/>
      <c r="C688" s="34"/>
      <c r="D688" s="34"/>
      <c r="E688" s="34"/>
      <c r="F688" s="34"/>
      <c r="G688" s="34"/>
      <c r="H688" s="34"/>
      <c r="I688" s="34"/>
      <c r="J688" s="31"/>
    </row>
    <row r="689" spans="1:10" x14ac:dyDescent="0.15">
      <c r="A689" s="34"/>
      <c r="B689" s="34"/>
      <c r="C689" s="34"/>
      <c r="D689" s="34"/>
      <c r="E689" s="34"/>
      <c r="F689" s="34"/>
      <c r="G689" s="34"/>
      <c r="H689" s="34"/>
      <c r="I689" s="34"/>
      <c r="J689" s="31"/>
    </row>
    <row r="690" spans="1:10" x14ac:dyDescent="0.15">
      <c r="A690" s="34"/>
      <c r="B690" s="34"/>
      <c r="C690" s="34"/>
      <c r="D690" s="34"/>
      <c r="E690" s="34"/>
      <c r="F690" s="34"/>
      <c r="G690" s="34"/>
      <c r="H690" s="34"/>
      <c r="I690" s="34"/>
      <c r="J690" s="31"/>
    </row>
    <row r="691" spans="1:10" x14ac:dyDescent="0.15">
      <c r="A691" s="34"/>
      <c r="B691" s="34"/>
      <c r="C691" s="34"/>
      <c r="D691" s="34"/>
      <c r="E691" s="34"/>
      <c r="F691" s="34"/>
      <c r="G691" s="34"/>
      <c r="H691" s="34"/>
      <c r="I691" s="34"/>
      <c r="J691" s="31"/>
    </row>
    <row r="692" spans="1:10" x14ac:dyDescent="0.15">
      <c r="A692" s="34"/>
      <c r="B692" s="34"/>
      <c r="C692" s="34"/>
      <c r="D692" s="34"/>
      <c r="E692" s="34"/>
      <c r="F692" s="34"/>
      <c r="G692" s="34"/>
      <c r="H692" s="34"/>
      <c r="I692" s="34"/>
      <c r="J692" s="31"/>
    </row>
    <row r="693" spans="1:10" x14ac:dyDescent="0.15">
      <c r="A693" s="34"/>
      <c r="B693" s="34"/>
      <c r="C693" s="34"/>
      <c r="D693" s="34"/>
      <c r="E693" s="34"/>
      <c r="F693" s="34"/>
      <c r="G693" s="34"/>
      <c r="H693" s="34"/>
      <c r="I693" s="34"/>
      <c r="J693" s="31"/>
    </row>
    <row r="694" spans="1:10" x14ac:dyDescent="0.15">
      <c r="A694" s="34"/>
      <c r="B694" s="34"/>
      <c r="C694" s="34"/>
      <c r="D694" s="34"/>
      <c r="E694" s="34"/>
      <c r="F694" s="34"/>
      <c r="G694" s="34"/>
      <c r="H694" s="34"/>
      <c r="I694" s="34"/>
      <c r="J694" s="31"/>
    </row>
    <row r="695" spans="1:10" x14ac:dyDescent="0.15">
      <c r="A695" s="34"/>
      <c r="B695" s="34"/>
      <c r="C695" s="34"/>
      <c r="D695" s="34"/>
      <c r="E695" s="34"/>
      <c r="F695" s="34"/>
      <c r="G695" s="34"/>
      <c r="H695" s="34"/>
      <c r="I695" s="34"/>
      <c r="J695" s="31"/>
    </row>
    <row r="696" spans="1:10" x14ac:dyDescent="0.15">
      <c r="A696" s="34"/>
      <c r="B696" s="34"/>
      <c r="C696" s="34"/>
      <c r="D696" s="34"/>
      <c r="E696" s="34"/>
      <c r="F696" s="34"/>
      <c r="G696" s="34"/>
      <c r="H696" s="34"/>
      <c r="I696" s="34"/>
      <c r="J696" s="31"/>
    </row>
    <row r="697" spans="1:10" x14ac:dyDescent="0.15">
      <c r="A697" s="34"/>
      <c r="B697" s="34"/>
      <c r="C697" s="34"/>
      <c r="D697" s="34"/>
      <c r="E697" s="34"/>
      <c r="F697" s="34"/>
      <c r="G697" s="34"/>
      <c r="H697" s="34"/>
      <c r="I697" s="34"/>
      <c r="J697" s="31"/>
    </row>
    <row r="698" spans="1:10" x14ac:dyDescent="0.15">
      <c r="A698" s="34"/>
      <c r="B698" s="34"/>
      <c r="C698" s="34"/>
      <c r="D698" s="34"/>
      <c r="E698" s="34"/>
      <c r="F698" s="34"/>
      <c r="G698" s="34"/>
      <c r="H698" s="34"/>
      <c r="I698" s="34"/>
      <c r="J698" s="31"/>
    </row>
    <row r="699" spans="1:10" x14ac:dyDescent="0.15">
      <c r="A699" s="34"/>
      <c r="B699" s="34"/>
      <c r="C699" s="34"/>
      <c r="D699" s="34"/>
      <c r="E699" s="34"/>
      <c r="F699" s="34"/>
      <c r="G699" s="34"/>
      <c r="H699" s="34"/>
      <c r="I699" s="34"/>
      <c r="J699" s="31"/>
    </row>
    <row r="700" spans="1:10" x14ac:dyDescent="0.15">
      <c r="A700" s="34"/>
      <c r="B700" s="34"/>
      <c r="C700" s="34"/>
      <c r="D700" s="34"/>
      <c r="E700" s="34"/>
      <c r="F700" s="34"/>
      <c r="G700" s="34"/>
      <c r="H700" s="34"/>
      <c r="I700" s="34"/>
      <c r="J700" s="31"/>
    </row>
    <row r="701" spans="1:10" x14ac:dyDescent="0.15">
      <c r="A701" s="34"/>
      <c r="B701" s="34"/>
      <c r="C701" s="34"/>
      <c r="D701" s="34"/>
      <c r="E701" s="34"/>
      <c r="F701" s="34"/>
      <c r="G701" s="34"/>
      <c r="H701" s="34"/>
      <c r="I701" s="34"/>
      <c r="J701" s="31"/>
    </row>
    <row r="702" spans="1:10" x14ac:dyDescent="0.15">
      <c r="A702" s="34"/>
      <c r="B702" s="34"/>
      <c r="C702" s="34"/>
      <c r="D702" s="34"/>
      <c r="E702" s="34"/>
      <c r="F702" s="34"/>
      <c r="G702" s="34"/>
      <c r="H702" s="34"/>
      <c r="I702" s="34"/>
      <c r="J702" s="31"/>
    </row>
    <row r="703" spans="1:10" x14ac:dyDescent="0.15">
      <c r="A703" s="34"/>
      <c r="B703" s="34"/>
      <c r="C703" s="34"/>
      <c r="D703" s="34"/>
      <c r="E703" s="34"/>
      <c r="F703" s="34"/>
      <c r="G703" s="34"/>
      <c r="H703" s="34"/>
      <c r="I703" s="34"/>
      <c r="J703" s="31"/>
    </row>
    <row r="704" spans="1:10" x14ac:dyDescent="0.15">
      <c r="A704" s="34"/>
      <c r="B704" s="34"/>
      <c r="C704" s="34"/>
      <c r="D704" s="34"/>
      <c r="E704" s="34"/>
      <c r="F704" s="34"/>
      <c r="G704" s="34"/>
      <c r="H704" s="34"/>
      <c r="I704" s="34"/>
      <c r="J704" s="31"/>
    </row>
    <row r="705" spans="1:10" x14ac:dyDescent="0.15">
      <c r="A705" s="34"/>
      <c r="B705" s="34"/>
      <c r="C705" s="34"/>
      <c r="D705" s="34"/>
      <c r="E705" s="34"/>
      <c r="F705" s="34"/>
      <c r="G705" s="34"/>
      <c r="H705" s="34"/>
      <c r="I705" s="34"/>
      <c r="J705" s="31"/>
    </row>
    <row r="706" spans="1:10" x14ac:dyDescent="0.15">
      <c r="A706" s="34"/>
      <c r="B706" s="34"/>
      <c r="C706" s="34"/>
      <c r="D706" s="34"/>
      <c r="E706" s="34"/>
      <c r="F706" s="34"/>
      <c r="G706" s="34"/>
      <c r="H706" s="34"/>
      <c r="I706" s="34"/>
      <c r="J706" s="31"/>
    </row>
    <row r="707" spans="1:10" x14ac:dyDescent="0.15">
      <c r="A707" s="34"/>
      <c r="B707" s="34"/>
      <c r="C707" s="34"/>
      <c r="D707" s="34"/>
      <c r="E707" s="34"/>
      <c r="F707" s="34"/>
      <c r="G707" s="34"/>
      <c r="H707" s="34"/>
      <c r="I707" s="34"/>
      <c r="J707" s="31"/>
    </row>
    <row r="708" spans="1:10" x14ac:dyDescent="0.15">
      <c r="A708" s="34"/>
      <c r="B708" s="34"/>
      <c r="C708" s="34"/>
      <c r="D708" s="34"/>
      <c r="E708" s="34"/>
      <c r="F708" s="34"/>
      <c r="G708" s="34"/>
      <c r="H708" s="34"/>
      <c r="I708" s="34"/>
      <c r="J708" s="31"/>
    </row>
    <row r="709" spans="1:10" x14ac:dyDescent="0.15">
      <c r="A709" s="34"/>
      <c r="B709" s="34"/>
      <c r="C709" s="34"/>
      <c r="D709" s="34"/>
      <c r="E709" s="34"/>
      <c r="F709" s="34"/>
      <c r="G709" s="34"/>
      <c r="H709" s="34"/>
      <c r="I709" s="34"/>
      <c r="J709" s="31"/>
    </row>
    <row r="710" spans="1:10" x14ac:dyDescent="0.15">
      <c r="A710" s="34"/>
      <c r="B710" s="34"/>
      <c r="C710" s="34"/>
      <c r="D710" s="34"/>
      <c r="E710" s="34"/>
      <c r="F710" s="34"/>
      <c r="G710" s="34"/>
      <c r="H710" s="34"/>
      <c r="I710" s="34"/>
      <c r="J710" s="31"/>
    </row>
    <row r="711" spans="1:10" x14ac:dyDescent="0.15">
      <c r="A711" s="34"/>
      <c r="B711" s="34"/>
      <c r="C711" s="34"/>
      <c r="D711" s="34"/>
      <c r="E711" s="34"/>
      <c r="F711" s="34"/>
      <c r="G711" s="34"/>
      <c r="H711" s="34"/>
      <c r="I711" s="34"/>
      <c r="J711" s="31"/>
    </row>
    <row r="712" spans="1:10" x14ac:dyDescent="0.15">
      <c r="A712" s="34"/>
      <c r="B712" s="34"/>
      <c r="C712" s="34"/>
      <c r="D712" s="34"/>
      <c r="E712" s="34"/>
      <c r="F712" s="34"/>
      <c r="G712" s="34"/>
      <c r="H712" s="34"/>
      <c r="I712" s="34"/>
      <c r="J712" s="31"/>
    </row>
    <row r="713" spans="1:10" x14ac:dyDescent="0.15">
      <c r="A713" s="34"/>
      <c r="B713" s="34"/>
      <c r="C713" s="34"/>
      <c r="D713" s="34"/>
      <c r="E713" s="34"/>
      <c r="F713" s="34"/>
      <c r="G713" s="34"/>
      <c r="H713" s="34"/>
      <c r="I713" s="34"/>
      <c r="J713" s="31"/>
    </row>
    <row r="714" spans="1:10" x14ac:dyDescent="0.15">
      <c r="A714" s="34"/>
      <c r="B714" s="34"/>
      <c r="C714" s="34"/>
      <c r="D714" s="34"/>
      <c r="E714" s="34"/>
      <c r="F714" s="34"/>
      <c r="G714" s="34"/>
      <c r="H714" s="34"/>
      <c r="I714" s="34"/>
      <c r="J714" s="31"/>
    </row>
    <row r="715" spans="1:10" x14ac:dyDescent="0.15">
      <c r="A715" s="34"/>
      <c r="B715" s="34"/>
      <c r="C715" s="34"/>
      <c r="D715" s="34"/>
      <c r="E715" s="34"/>
      <c r="F715" s="34"/>
      <c r="G715" s="34"/>
      <c r="H715" s="34"/>
      <c r="I715" s="34"/>
      <c r="J715" s="31"/>
    </row>
    <row r="716" spans="1:10" x14ac:dyDescent="0.15">
      <c r="A716" s="34"/>
      <c r="B716" s="34"/>
      <c r="C716" s="34"/>
      <c r="D716" s="34"/>
      <c r="E716" s="34"/>
      <c r="F716" s="34"/>
      <c r="G716" s="34"/>
      <c r="H716" s="34"/>
      <c r="I716" s="34"/>
      <c r="J716" s="31"/>
    </row>
    <row r="717" spans="1:10" x14ac:dyDescent="0.15">
      <c r="A717" s="34"/>
      <c r="B717" s="34"/>
      <c r="C717" s="34"/>
      <c r="D717" s="34"/>
      <c r="E717" s="34"/>
      <c r="F717" s="34"/>
      <c r="G717" s="34"/>
      <c r="H717" s="34"/>
      <c r="I717" s="34"/>
      <c r="J717" s="31"/>
    </row>
    <row r="718" spans="1:10" x14ac:dyDescent="0.15">
      <c r="A718" s="34"/>
      <c r="B718" s="34"/>
      <c r="C718" s="34"/>
      <c r="D718" s="34"/>
      <c r="E718" s="34"/>
      <c r="F718" s="34"/>
      <c r="G718" s="34"/>
      <c r="H718" s="34"/>
      <c r="I718" s="34"/>
      <c r="J718" s="31"/>
    </row>
    <row r="719" spans="1:10" x14ac:dyDescent="0.15">
      <c r="A719" s="34"/>
      <c r="B719" s="34"/>
      <c r="C719" s="34"/>
      <c r="D719" s="34"/>
      <c r="E719" s="34"/>
      <c r="F719" s="34"/>
      <c r="G719" s="34"/>
      <c r="H719" s="34"/>
      <c r="I719" s="34"/>
      <c r="J719" s="31"/>
    </row>
    <row r="720" spans="1:10" x14ac:dyDescent="0.15">
      <c r="A720" s="34"/>
      <c r="B720" s="34"/>
      <c r="C720" s="34"/>
      <c r="D720" s="34"/>
      <c r="E720" s="34"/>
      <c r="F720" s="34"/>
      <c r="G720" s="34"/>
      <c r="H720" s="34"/>
      <c r="I720" s="34"/>
      <c r="J720" s="31"/>
    </row>
    <row r="721" spans="1:10" x14ac:dyDescent="0.15">
      <c r="A721" s="34"/>
      <c r="B721" s="34"/>
      <c r="C721" s="34"/>
      <c r="D721" s="34"/>
      <c r="E721" s="34"/>
      <c r="F721" s="34"/>
      <c r="G721" s="34"/>
      <c r="H721" s="34"/>
      <c r="I721" s="34"/>
      <c r="J721" s="31"/>
    </row>
    <row r="722" spans="1:10" x14ac:dyDescent="0.15">
      <c r="A722" s="34"/>
      <c r="B722" s="34"/>
      <c r="C722" s="34"/>
      <c r="D722" s="34"/>
      <c r="E722" s="34"/>
      <c r="F722" s="34"/>
      <c r="G722" s="34"/>
      <c r="H722" s="34"/>
      <c r="I722" s="34"/>
      <c r="J722" s="31"/>
    </row>
    <row r="723" spans="1:10" x14ac:dyDescent="0.15">
      <c r="A723" s="34"/>
      <c r="B723" s="34"/>
      <c r="C723" s="34"/>
      <c r="D723" s="34"/>
      <c r="E723" s="34"/>
      <c r="F723" s="34"/>
      <c r="G723" s="34"/>
      <c r="H723" s="34"/>
      <c r="I723" s="34"/>
      <c r="J723" s="31"/>
    </row>
    <row r="724" spans="1:10" x14ac:dyDescent="0.15">
      <c r="A724" s="34"/>
      <c r="B724" s="34"/>
      <c r="C724" s="34"/>
      <c r="D724" s="34"/>
      <c r="E724" s="34"/>
      <c r="F724" s="34"/>
      <c r="G724" s="34"/>
      <c r="H724" s="34"/>
      <c r="I724" s="34"/>
      <c r="J724" s="31"/>
    </row>
    <row r="725" spans="1:10" x14ac:dyDescent="0.15">
      <c r="A725" s="34"/>
      <c r="B725" s="34"/>
      <c r="C725" s="34"/>
      <c r="D725" s="34"/>
      <c r="E725" s="34"/>
      <c r="F725" s="34"/>
      <c r="G725" s="34"/>
      <c r="H725" s="34"/>
      <c r="I725" s="34"/>
      <c r="J725" s="31"/>
    </row>
    <row r="726" spans="1:10" x14ac:dyDescent="0.15">
      <c r="A726" s="34"/>
      <c r="B726" s="34"/>
      <c r="C726" s="34"/>
      <c r="D726" s="34"/>
      <c r="E726" s="34"/>
      <c r="F726" s="34"/>
      <c r="G726" s="34"/>
      <c r="H726" s="34"/>
      <c r="I726" s="34"/>
      <c r="J726" s="31"/>
    </row>
    <row r="727" spans="1:10" x14ac:dyDescent="0.15">
      <c r="A727" s="34"/>
      <c r="B727" s="34"/>
      <c r="C727" s="34"/>
      <c r="D727" s="34"/>
      <c r="E727" s="34"/>
      <c r="F727" s="34"/>
      <c r="G727" s="34"/>
      <c r="H727" s="34"/>
      <c r="I727" s="34"/>
      <c r="J727" s="31"/>
    </row>
    <row r="728" spans="1:10" x14ac:dyDescent="0.15">
      <c r="A728" s="34"/>
      <c r="B728" s="34"/>
      <c r="C728" s="34"/>
      <c r="D728" s="34"/>
      <c r="E728" s="34"/>
      <c r="F728" s="34"/>
      <c r="G728" s="34"/>
      <c r="H728" s="34"/>
      <c r="I728" s="34"/>
      <c r="J728" s="31"/>
    </row>
    <row r="729" spans="1:10" x14ac:dyDescent="0.15">
      <c r="A729" s="34"/>
      <c r="B729" s="34"/>
      <c r="C729" s="34"/>
      <c r="D729" s="34"/>
      <c r="E729" s="34"/>
      <c r="F729" s="34"/>
      <c r="G729" s="34"/>
      <c r="H729" s="34"/>
      <c r="I729" s="34"/>
      <c r="J729" s="31"/>
    </row>
    <row r="730" spans="1:10" x14ac:dyDescent="0.15">
      <c r="A730" s="34"/>
      <c r="B730" s="34"/>
      <c r="C730" s="34"/>
      <c r="D730" s="34"/>
      <c r="E730" s="34"/>
      <c r="F730" s="34"/>
      <c r="G730" s="34"/>
      <c r="H730" s="34"/>
      <c r="I730" s="34"/>
      <c r="J730" s="31"/>
    </row>
    <row r="731" spans="1:10" x14ac:dyDescent="0.15">
      <c r="A731" s="34"/>
      <c r="B731" s="34"/>
      <c r="C731" s="34"/>
      <c r="D731" s="34"/>
      <c r="E731" s="34"/>
      <c r="F731" s="34"/>
      <c r="G731" s="34"/>
      <c r="H731" s="34"/>
      <c r="I731" s="34"/>
      <c r="J731" s="31"/>
    </row>
    <row r="732" spans="1:10" x14ac:dyDescent="0.15">
      <c r="A732" s="34"/>
      <c r="B732" s="34"/>
      <c r="C732" s="34"/>
      <c r="D732" s="34"/>
      <c r="E732" s="34"/>
      <c r="F732" s="34"/>
      <c r="G732" s="34"/>
      <c r="H732" s="34"/>
      <c r="I732" s="34"/>
      <c r="J732" s="31"/>
    </row>
    <row r="733" spans="1:10" x14ac:dyDescent="0.15">
      <c r="A733" s="34"/>
      <c r="B733" s="34"/>
      <c r="C733" s="34"/>
      <c r="D733" s="34"/>
      <c r="E733" s="34"/>
      <c r="F733" s="34"/>
      <c r="G733" s="34"/>
      <c r="H733" s="34"/>
      <c r="I733" s="34"/>
      <c r="J733" s="31"/>
    </row>
    <row r="734" spans="1:10" x14ac:dyDescent="0.15">
      <c r="A734" s="34"/>
      <c r="B734" s="34"/>
      <c r="C734" s="34"/>
      <c r="D734" s="34"/>
      <c r="E734" s="34"/>
      <c r="F734" s="34"/>
      <c r="G734" s="34"/>
      <c r="H734" s="34"/>
      <c r="I734" s="34"/>
      <c r="J734" s="31"/>
    </row>
    <row r="735" spans="1:10" x14ac:dyDescent="0.15">
      <c r="A735" s="34"/>
      <c r="B735" s="34"/>
      <c r="C735" s="34"/>
      <c r="D735" s="34"/>
      <c r="E735" s="34"/>
      <c r="F735" s="34"/>
      <c r="G735" s="34"/>
      <c r="H735" s="34"/>
      <c r="I735" s="34"/>
      <c r="J735" s="31"/>
    </row>
    <row r="736" spans="1:10" x14ac:dyDescent="0.15">
      <c r="A736" s="34"/>
      <c r="B736" s="34"/>
      <c r="C736" s="34"/>
      <c r="D736" s="34"/>
      <c r="E736" s="34"/>
      <c r="F736" s="34"/>
      <c r="G736" s="34"/>
      <c r="H736" s="34"/>
      <c r="I736" s="34"/>
      <c r="J736" s="31"/>
    </row>
    <row r="737" spans="1:10" x14ac:dyDescent="0.15">
      <c r="A737" s="34"/>
      <c r="B737" s="34"/>
      <c r="C737" s="34"/>
      <c r="D737" s="34"/>
      <c r="E737" s="34"/>
      <c r="F737" s="34"/>
      <c r="G737" s="34"/>
      <c r="H737" s="34"/>
      <c r="I737" s="34"/>
      <c r="J737" s="31"/>
    </row>
    <row r="738" spans="1:10" x14ac:dyDescent="0.15">
      <c r="A738" s="34"/>
      <c r="B738" s="34"/>
      <c r="C738" s="34"/>
      <c r="D738" s="34"/>
      <c r="E738" s="34"/>
      <c r="F738" s="34"/>
      <c r="G738" s="34"/>
      <c r="H738" s="34"/>
      <c r="I738" s="34"/>
      <c r="J738" s="31"/>
    </row>
    <row r="739" spans="1:10" x14ac:dyDescent="0.15">
      <c r="A739" s="34"/>
      <c r="B739" s="34"/>
      <c r="C739" s="34"/>
      <c r="D739" s="34"/>
      <c r="E739" s="34"/>
      <c r="F739" s="34"/>
      <c r="G739" s="34"/>
      <c r="H739" s="34"/>
      <c r="I739" s="34"/>
      <c r="J739" s="31"/>
    </row>
    <row r="740" spans="1:10" x14ac:dyDescent="0.15">
      <c r="A740" s="34"/>
      <c r="B740" s="34"/>
      <c r="C740" s="34"/>
      <c r="D740" s="34"/>
      <c r="E740" s="34"/>
      <c r="F740" s="34"/>
      <c r="G740" s="34"/>
      <c r="H740" s="34"/>
      <c r="I740" s="34"/>
      <c r="J740" s="31"/>
    </row>
    <row r="741" spans="1:10" x14ac:dyDescent="0.15">
      <c r="A741" s="34"/>
      <c r="B741" s="34"/>
      <c r="C741" s="34"/>
      <c r="D741" s="34"/>
      <c r="E741" s="34"/>
      <c r="F741" s="34"/>
      <c r="G741" s="34"/>
      <c r="H741" s="34"/>
      <c r="I741" s="34"/>
      <c r="J741" s="31"/>
    </row>
    <row r="742" spans="1:10" x14ac:dyDescent="0.15">
      <c r="A742" s="34"/>
      <c r="B742" s="34"/>
      <c r="C742" s="34"/>
      <c r="D742" s="34"/>
      <c r="E742" s="34"/>
      <c r="F742" s="34"/>
      <c r="G742" s="34"/>
      <c r="H742" s="34"/>
      <c r="I742" s="34"/>
      <c r="J742" s="31"/>
    </row>
    <row r="743" spans="1:10" x14ac:dyDescent="0.15">
      <c r="A743" s="34"/>
      <c r="B743" s="34"/>
      <c r="C743" s="34"/>
      <c r="D743" s="34"/>
      <c r="E743" s="34"/>
      <c r="F743" s="34"/>
      <c r="G743" s="34"/>
      <c r="H743" s="34"/>
      <c r="I743" s="34"/>
      <c r="J743" s="31"/>
    </row>
    <row r="744" spans="1:10" x14ac:dyDescent="0.15">
      <c r="A744" s="34"/>
      <c r="B744" s="34"/>
      <c r="C744" s="34"/>
      <c r="D744" s="34"/>
      <c r="E744" s="34"/>
      <c r="F744" s="34"/>
      <c r="G744" s="34"/>
      <c r="H744" s="34"/>
      <c r="I744" s="34"/>
      <c r="J744" s="31"/>
    </row>
    <row r="745" spans="1:10" x14ac:dyDescent="0.15">
      <c r="A745" s="34"/>
      <c r="B745" s="34"/>
      <c r="C745" s="34"/>
      <c r="D745" s="34"/>
      <c r="E745" s="34"/>
      <c r="F745" s="34"/>
      <c r="G745" s="34"/>
      <c r="H745" s="34"/>
      <c r="I745" s="34"/>
      <c r="J745" s="31"/>
    </row>
    <row r="746" spans="1:10" x14ac:dyDescent="0.15">
      <c r="A746" s="34"/>
      <c r="B746" s="34"/>
      <c r="C746" s="34"/>
      <c r="D746" s="34"/>
      <c r="E746" s="34"/>
      <c r="F746" s="34"/>
      <c r="G746" s="34"/>
      <c r="H746" s="34"/>
      <c r="I746" s="34"/>
      <c r="J746" s="31"/>
    </row>
    <row r="747" spans="1:10" x14ac:dyDescent="0.15">
      <c r="A747" s="34"/>
      <c r="B747" s="34"/>
      <c r="C747" s="34"/>
      <c r="D747" s="34"/>
      <c r="E747" s="34"/>
      <c r="F747" s="34"/>
      <c r="G747" s="34"/>
      <c r="H747" s="34"/>
      <c r="I747" s="34"/>
      <c r="J747" s="31"/>
    </row>
    <row r="748" spans="1:10" x14ac:dyDescent="0.15">
      <c r="A748" s="34"/>
      <c r="B748" s="34"/>
      <c r="C748" s="34"/>
      <c r="D748" s="34"/>
      <c r="E748" s="34"/>
      <c r="F748" s="34"/>
      <c r="G748" s="34"/>
      <c r="H748" s="34"/>
      <c r="I748" s="34"/>
      <c r="J748" s="31"/>
    </row>
    <row r="749" spans="1:10" x14ac:dyDescent="0.15">
      <c r="A749" s="34"/>
      <c r="B749" s="34"/>
      <c r="C749" s="34"/>
      <c r="D749" s="34"/>
      <c r="E749" s="34"/>
      <c r="F749" s="34"/>
      <c r="G749" s="34"/>
      <c r="H749" s="34"/>
      <c r="I749" s="34"/>
      <c r="J749" s="31"/>
    </row>
    <row r="750" spans="1:10" x14ac:dyDescent="0.15">
      <c r="A750" s="34"/>
      <c r="B750" s="34"/>
      <c r="C750" s="34"/>
      <c r="D750" s="34"/>
      <c r="E750" s="34"/>
      <c r="F750" s="34"/>
      <c r="G750" s="34"/>
      <c r="H750" s="34"/>
      <c r="I750" s="34"/>
      <c r="J750" s="31"/>
    </row>
    <row r="751" spans="1:10" x14ac:dyDescent="0.15">
      <c r="A751" s="34"/>
      <c r="B751" s="34"/>
      <c r="C751" s="34"/>
      <c r="D751" s="34"/>
      <c r="E751" s="34"/>
      <c r="F751" s="34"/>
      <c r="G751" s="34"/>
      <c r="H751" s="34"/>
      <c r="I751" s="34"/>
      <c r="J751" s="31"/>
    </row>
    <row r="752" spans="1:10" x14ac:dyDescent="0.15">
      <c r="A752" s="34"/>
      <c r="B752" s="34"/>
      <c r="C752" s="34"/>
      <c r="D752" s="34"/>
      <c r="E752" s="34"/>
      <c r="F752" s="34"/>
      <c r="G752" s="34"/>
      <c r="H752" s="34"/>
      <c r="I752" s="34"/>
      <c r="J752" s="31"/>
    </row>
    <row r="753" spans="1:10" x14ac:dyDescent="0.15">
      <c r="A753" s="34"/>
      <c r="B753" s="34"/>
      <c r="C753" s="34"/>
      <c r="D753" s="34"/>
      <c r="E753" s="34"/>
      <c r="F753" s="34"/>
      <c r="G753" s="34"/>
      <c r="H753" s="34"/>
      <c r="I753" s="34"/>
      <c r="J753" s="31"/>
    </row>
    <row r="754" spans="1:10" x14ac:dyDescent="0.15">
      <c r="A754" s="34"/>
      <c r="B754" s="34"/>
      <c r="C754" s="34"/>
      <c r="D754" s="34"/>
      <c r="E754" s="34"/>
      <c r="F754" s="34"/>
      <c r="G754" s="34"/>
      <c r="H754" s="34"/>
      <c r="I754" s="34"/>
      <c r="J754" s="31"/>
    </row>
    <row r="755" spans="1:10" x14ac:dyDescent="0.15">
      <c r="A755" s="34"/>
      <c r="B755" s="34"/>
      <c r="C755" s="34"/>
      <c r="D755" s="34"/>
      <c r="E755" s="34"/>
      <c r="F755" s="34"/>
      <c r="G755" s="34"/>
      <c r="H755" s="34"/>
      <c r="I755" s="34"/>
      <c r="J755" s="31"/>
    </row>
    <row r="756" spans="1:10" x14ac:dyDescent="0.15">
      <c r="A756" s="34"/>
      <c r="B756" s="34"/>
      <c r="C756" s="34"/>
      <c r="D756" s="34"/>
      <c r="E756" s="34"/>
      <c r="F756" s="34"/>
      <c r="G756" s="34"/>
      <c r="H756" s="34"/>
      <c r="I756" s="34"/>
      <c r="J756" s="31"/>
    </row>
    <row r="757" spans="1:10" x14ac:dyDescent="0.15">
      <c r="A757" s="34"/>
      <c r="B757" s="34"/>
      <c r="C757" s="34"/>
      <c r="D757" s="34"/>
      <c r="E757" s="34"/>
      <c r="F757" s="34"/>
      <c r="G757" s="34"/>
      <c r="H757" s="34"/>
      <c r="I757" s="34"/>
      <c r="J757" s="31"/>
    </row>
    <row r="758" spans="1:10" x14ac:dyDescent="0.15">
      <c r="A758" s="34"/>
      <c r="B758" s="34"/>
      <c r="C758" s="34"/>
      <c r="D758" s="34"/>
      <c r="E758" s="34"/>
      <c r="F758" s="34"/>
      <c r="G758" s="34"/>
      <c r="H758" s="34"/>
      <c r="I758" s="34"/>
      <c r="J758" s="31"/>
    </row>
    <row r="759" spans="1:10" x14ac:dyDescent="0.15">
      <c r="A759" s="34"/>
      <c r="B759" s="34"/>
      <c r="C759" s="34"/>
      <c r="D759" s="34"/>
      <c r="E759" s="34"/>
      <c r="F759" s="34"/>
      <c r="G759" s="34"/>
      <c r="H759" s="34"/>
      <c r="I759" s="34"/>
      <c r="J759" s="31"/>
    </row>
    <row r="760" spans="1:10" x14ac:dyDescent="0.15">
      <c r="A760" s="34"/>
      <c r="B760" s="34"/>
      <c r="C760" s="34"/>
      <c r="D760" s="34"/>
      <c r="E760" s="34"/>
      <c r="F760" s="34"/>
      <c r="G760" s="34"/>
      <c r="H760" s="34"/>
      <c r="I760" s="34"/>
      <c r="J760" s="31"/>
    </row>
    <row r="761" spans="1:10" x14ac:dyDescent="0.15">
      <c r="A761" s="34"/>
      <c r="B761" s="34"/>
      <c r="C761" s="34"/>
      <c r="D761" s="34"/>
      <c r="E761" s="34"/>
      <c r="F761" s="34"/>
      <c r="G761" s="34"/>
      <c r="H761" s="34"/>
      <c r="I761" s="34"/>
      <c r="J761" s="31"/>
    </row>
    <row r="762" spans="1:10" x14ac:dyDescent="0.15">
      <c r="A762" s="34"/>
      <c r="B762" s="34"/>
      <c r="C762" s="34"/>
      <c r="D762" s="34"/>
      <c r="E762" s="34"/>
      <c r="F762" s="34"/>
      <c r="G762" s="34"/>
      <c r="H762" s="34"/>
      <c r="I762" s="34"/>
      <c r="J762" s="31"/>
    </row>
    <row r="763" spans="1:10" x14ac:dyDescent="0.15">
      <c r="A763" s="34"/>
      <c r="B763" s="34"/>
      <c r="C763" s="34"/>
      <c r="D763" s="34"/>
      <c r="E763" s="34"/>
      <c r="F763" s="34"/>
      <c r="G763" s="34"/>
      <c r="H763" s="34"/>
      <c r="I763" s="34"/>
      <c r="J763" s="31"/>
    </row>
    <row r="764" spans="1:10" x14ac:dyDescent="0.15">
      <c r="A764" s="34"/>
      <c r="B764" s="34"/>
      <c r="C764" s="34"/>
      <c r="D764" s="34"/>
      <c r="E764" s="34"/>
      <c r="F764" s="34"/>
      <c r="G764" s="34"/>
      <c r="H764" s="34"/>
      <c r="I764" s="34"/>
      <c r="J764" s="31"/>
    </row>
    <row r="765" spans="1:10" x14ac:dyDescent="0.15">
      <c r="A765" s="34"/>
      <c r="B765" s="34"/>
      <c r="C765" s="34"/>
      <c r="D765" s="34"/>
      <c r="E765" s="34"/>
      <c r="F765" s="34"/>
      <c r="G765" s="34"/>
      <c r="H765" s="34"/>
      <c r="I765" s="34"/>
      <c r="J765" s="31"/>
    </row>
    <row r="766" spans="1:10" x14ac:dyDescent="0.15">
      <c r="A766" s="34"/>
      <c r="B766" s="34"/>
      <c r="C766" s="34"/>
      <c r="D766" s="34"/>
      <c r="E766" s="34"/>
      <c r="F766" s="34"/>
      <c r="G766" s="34"/>
      <c r="H766" s="34"/>
      <c r="I766" s="34"/>
      <c r="J766" s="31"/>
    </row>
    <row r="767" spans="1:10" x14ac:dyDescent="0.15">
      <c r="A767" s="34"/>
      <c r="B767" s="34"/>
      <c r="C767" s="34"/>
      <c r="D767" s="34"/>
      <c r="E767" s="34"/>
      <c r="F767" s="34"/>
      <c r="G767" s="34"/>
      <c r="H767" s="34"/>
      <c r="I767" s="34"/>
      <c r="J767" s="31"/>
    </row>
    <row r="768" spans="1:10" x14ac:dyDescent="0.15">
      <c r="A768" s="34"/>
      <c r="B768" s="34"/>
      <c r="C768" s="34"/>
      <c r="D768" s="34"/>
      <c r="E768" s="34"/>
      <c r="F768" s="34"/>
      <c r="G768" s="34"/>
      <c r="H768" s="34"/>
      <c r="I768" s="34"/>
      <c r="J768" s="31"/>
    </row>
    <row r="769" spans="1:10" x14ac:dyDescent="0.15">
      <c r="A769" s="34"/>
      <c r="B769" s="34"/>
      <c r="C769" s="34"/>
      <c r="D769" s="34"/>
      <c r="E769" s="34"/>
      <c r="F769" s="34"/>
      <c r="G769" s="34"/>
      <c r="H769" s="34"/>
      <c r="I769" s="34"/>
      <c r="J769" s="31"/>
    </row>
    <row r="770" spans="1:10" x14ac:dyDescent="0.15">
      <c r="A770" s="34"/>
      <c r="B770" s="34"/>
      <c r="C770" s="34"/>
      <c r="D770" s="34"/>
      <c r="E770" s="34"/>
      <c r="F770" s="34"/>
      <c r="G770" s="34"/>
      <c r="H770" s="34"/>
      <c r="I770" s="34"/>
      <c r="J770" s="31"/>
    </row>
    <row r="771" spans="1:10" x14ac:dyDescent="0.15">
      <c r="A771" s="34"/>
      <c r="B771" s="34"/>
      <c r="C771" s="34"/>
      <c r="D771" s="34"/>
      <c r="E771" s="34"/>
      <c r="F771" s="34"/>
      <c r="G771" s="34"/>
      <c r="H771" s="34"/>
      <c r="I771" s="34"/>
      <c r="J771" s="31"/>
    </row>
    <row r="772" spans="1:10" x14ac:dyDescent="0.15">
      <c r="A772" s="34"/>
      <c r="B772" s="34"/>
      <c r="C772" s="34"/>
      <c r="D772" s="34"/>
      <c r="E772" s="34"/>
      <c r="F772" s="34"/>
      <c r="G772" s="34"/>
      <c r="H772" s="34"/>
      <c r="I772" s="34"/>
      <c r="J772" s="31"/>
    </row>
    <row r="773" spans="1:10" x14ac:dyDescent="0.15">
      <c r="A773" s="34"/>
      <c r="B773" s="34"/>
      <c r="C773" s="34"/>
      <c r="D773" s="34"/>
      <c r="E773" s="34"/>
      <c r="F773" s="34"/>
      <c r="G773" s="34"/>
      <c r="H773" s="34"/>
      <c r="I773" s="34"/>
      <c r="J773" s="31"/>
    </row>
    <row r="774" spans="1:10" x14ac:dyDescent="0.15">
      <c r="A774" s="34"/>
      <c r="B774" s="34"/>
      <c r="C774" s="34"/>
      <c r="D774" s="34"/>
      <c r="E774" s="34"/>
      <c r="F774" s="34"/>
      <c r="G774" s="34"/>
      <c r="H774" s="34"/>
      <c r="I774" s="34"/>
      <c r="J774" s="31"/>
    </row>
    <row r="775" spans="1:10" x14ac:dyDescent="0.15">
      <c r="A775" s="34"/>
      <c r="B775" s="34"/>
      <c r="C775" s="34"/>
      <c r="D775" s="34"/>
      <c r="E775" s="34"/>
      <c r="F775" s="34"/>
      <c r="G775" s="34"/>
      <c r="H775" s="34"/>
      <c r="I775" s="34"/>
      <c r="J775" s="31"/>
    </row>
    <row r="776" spans="1:10" x14ac:dyDescent="0.15">
      <c r="A776" s="34"/>
      <c r="B776" s="34"/>
      <c r="C776" s="34"/>
      <c r="D776" s="34"/>
      <c r="E776" s="34"/>
      <c r="F776" s="34"/>
      <c r="G776" s="34"/>
      <c r="H776" s="34"/>
      <c r="I776" s="34"/>
      <c r="J776" s="31"/>
    </row>
    <row r="777" spans="1:10" x14ac:dyDescent="0.15">
      <c r="A777" s="34"/>
      <c r="B777" s="34"/>
      <c r="C777" s="34"/>
      <c r="D777" s="34"/>
      <c r="E777" s="34"/>
      <c r="F777" s="34"/>
      <c r="G777" s="34"/>
      <c r="H777" s="34"/>
      <c r="I777" s="34"/>
      <c r="J777" s="31"/>
    </row>
    <row r="778" spans="1:10" x14ac:dyDescent="0.15">
      <c r="A778" s="34"/>
      <c r="B778" s="34"/>
      <c r="C778" s="34"/>
      <c r="D778" s="34"/>
      <c r="E778" s="34"/>
      <c r="F778" s="34"/>
      <c r="G778" s="34"/>
      <c r="H778" s="34"/>
      <c r="I778" s="34"/>
      <c r="J778" s="31"/>
    </row>
    <row r="779" spans="1:10" x14ac:dyDescent="0.15">
      <c r="A779" s="34"/>
      <c r="B779" s="34"/>
      <c r="C779" s="34"/>
      <c r="D779" s="34"/>
      <c r="E779" s="34"/>
      <c r="F779" s="34"/>
      <c r="G779" s="34"/>
      <c r="H779" s="34"/>
      <c r="I779" s="34"/>
      <c r="J779" s="31"/>
    </row>
    <row r="780" spans="1:10" x14ac:dyDescent="0.15">
      <c r="A780" s="34"/>
      <c r="B780" s="34"/>
      <c r="C780" s="34"/>
      <c r="D780" s="34"/>
      <c r="E780" s="34"/>
      <c r="F780" s="34"/>
      <c r="G780" s="34"/>
      <c r="H780" s="34"/>
      <c r="I780" s="34"/>
      <c r="J780" s="31"/>
    </row>
    <row r="781" spans="1:10" x14ac:dyDescent="0.15">
      <c r="A781" s="34"/>
      <c r="B781" s="34"/>
      <c r="C781" s="34"/>
      <c r="D781" s="34"/>
      <c r="E781" s="34"/>
      <c r="F781" s="34"/>
      <c r="G781" s="34"/>
      <c r="H781" s="34"/>
      <c r="I781" s="34"/>
      <c r="J781" s="31"/>
    </row>
    <row r="782" spans="1:10" x14ac:dyDescent="0.15">
      <c r="A782" s="34"/>
      <c r="B782" s="34"/>
      <c r="C782" s="34"/>
      <c r="D782" s="34"/>
      <c r="E782" s="34"/>
      <c r="F782" s="34"/>
      <c r="G782" s="34"/>
      <c r="H782" s="34"/>
      <c r="I782" s="34"/>
      <c r="J782" s="31"/>
    </row>
    <row r="783" spans="1:10" x14ac:dyDescent="0.15">
      <c r="A783" s="34"/>
      <c r="B783" s="34"/>
      <c r="C783" s="34"/>
      <c r="D783" s="34"/>
      <c r="E783" s="34"/>
      <c r="F783" s="34"/>
      <c r="G783" s="34"/>
      <c r="H783" s="34"/>
      <c r="I783" s="34"/>
      <c r="J783" s="31"/>
    </row>
    <row r="784" spans="1:10" x14ac:dyDescent="0.15">
      <c r="A784" s="34"/>
      <c r="B784" s="34"/>
      <c r="C784" s="34"/>
      <c r="D784" s="34"/>
      <c r="E784" s="34"/>
      <c r="F784" s="34"/>
      <c r="G784" s="34"/>
      <c r="H784" s="34"/>
      <c r="I784" s="34"/>
      <c r="J784" s="31"/>
    </row>
    <row r="785" spans="1:10" x14ac:dyDescent="0.15">
      <c r="A785" s="34"/>
      <c r="B785" s="34"/>
      <c r="C785" s="34"/>
      <c r="D785" s="34"/>
      <c r="E785" s="34"/>
      <c r="F785" s="34"/>
      <c r="G785" s="34"/>
      <c r="H785" s="34"/>
      <c r="I785" s="34"/>
      <c r="J785" s="31"/>
    </row>
    <row r="786" spans="1:10" x14ac:dyDescent="0.15">
      <c r="A786" s="34"/>
      <c r="B786" s="34"/>
      <c r="C786" s="34"/>
      <c r="D786" s="34"/>
      <c r="E786" s="34"/>
      <c r="F786" s="34"/>
      <c r="G786" s="34"/>
      <c r="H786" s="34"/>
      <c r="I786" s="34"/>
      <c r="J786" s="31"/>
    </row>
    <row r="787" spans="1:10" x14ac:dyDescent="0.15">
      <c r="A787" s="34"/>
      <c r="B787" s="34"/>
      <c r="C787" s="34"/>
      <c r="D787" s="34"/>
      <c r="E787" s="34"/>
      <c r="F787" s="34"/>
      <c r="G787" s="34"/>
      <c r="H787" s="34"/>
      <c r="I787" s="34"/>
      <c r="J787" s="31"/>
    </row>
    <row r="788" spans="1:10" x14ac:dyDescent="0.15">
      <c r="A788" s="34"/>
      <c r="B788" s="34"/>
      <c r="C788" s="34"/>
      <c r="D788" s="34"/>
      <c r="E788" s="34"/>
      <c r="F788" s="34"/>
      <c r="G788" s="34"/>
      <c r="H788" s="34"/>
      <c r="I788" s="34"/>
      <c r="J788" s="31"/>
    </row>
    <row r="789" spans="1:10" x14ac:dyDescent="0.15">
      <c r="A789" s="34"/>
      <c r="B789" s="34"/>
      <c r="C789" s="34"/>
      <c r="D789" s="34"/>
      <c r="E789" s="34"/>
      <c r="F789" s="34"/>
      <c r="G789" s="34"/>
      <c r="H789" s="34"/>
      <c r="I789" s="34"/>
      <c r="J789" s="31"/>
    </row>
    <row r="790" spans="1:10" x14ac:dyDescent="0.15">
      <c r="A790" s="34"/>
      <c r="B790" s="34"/>
      <c r="C790" s="34"/>
      <c r="D790" s="34"/>
      <c r="E790" s="34"/>
      <c r="F790" s="34"/>
      <c r="G790" s="34"/>
      <c r="H790" s="34"/>
      <c r="I790" s="34"/>
      <c r="J790" s="31"/>
    </row>
    <row r="791" spans="1:10" x14ac:dyDescent="0.15">
      <c r="A791" s="34"/>
      <c r="B791" s="34"/>
      <c r="C791" s="34"/>
      <c r="D791" s="34"/>
      <c r="E791" s="34"/>
      <c r="F791" s="34"/>
      <c r="G791" s="34"/>
      <c r="H791" s="34"/>
      <c r="I791" s="34"/>
      <c r="J791" s="31"/>
    </row>
    <row r="792" spans="1:10" x14ac:dyDescent="0.15">
      <c r="A792" s="34"/>
      <c r="B792" s="34"/>
      <c r="C792" s="34"/>
      <c r="D792" s="34"/>
      <c r="E792" s="34"/>
      <c r="F792" s="34"/>
      <c r="G792" s="34"/>
      <c r="H792" s="34"/>
      <c r="I792" s="34"/>
      <c r="J792" s="31"/>
    </row>
    <row r="793" spans="1:10" x14ac:dyDescent="0.15">
      <c r="A793" s="34"/>
      <c r="B793" s="34"/>
      <c r="C793" s="34"/>
      <c r="D793" s="34"/>
      <c r="E793" s="34"/>
      <c r="F793" s="34"/>
      <c r="G793" s="34"/>
      <c r="H793" s="34"/>
      <c r="I793" s="34"/>
      <c r="J793" s="31"/>
    </row>
    <row r="794" spans="1:10" x14ac:dyDescent="0.15">
      <c r="A794" s="34"/>
      <c r="B794" s="34"/>
      <c r="C794" s="34"/>
      <c r="D794" s="34"/>
      <c r="E794" s="34"/>
      <c r="F794" s="34"/>
      <c r="G794" s="34"/>
      <c r="H794" s="34"/>
      <c r="I794" s="34"/>
      <c r="J794" s="31"/>
    </row>
    <row r="795" spans="1:10" x14ac:dyDescent="0.15">
      <c r="A795" s="34"/>
      <c r="B795" s="34"/>
      <c r="C795" s="34"/>
      <c r="D795" s="34"/>
      <c r="E795" s="34"/>
      <c r="F795" s="34"/>
      <c r="G795" s="34"/>
      <c r="H795" s="34"/>
      <c r="I795" s="34"/>
      <c r="J795" s="31"/>
    </row>
    <row r="796" spans="1:10" x14ac:dyDescent="0.15">
      <c r="A796" s="34"/>
      <c r="B796" s="34"/>
      <c r="C796" s="34"/>
      <c r="D796" s="34"/>
      <c r="E796" s="34"/>
      <c r="F796" s="34"/>
      <c r="G796" s="34"/>
      <c r="H796" s="34"/>
      <c r="I796" s="34"/>
      <c r="J796" s="31"/>
    </row>
    <row r="797" spans="1:10" x14ac:dyDescent="0.15">
      <c r="A797" s="34"/>
      <c r="B797" s="34"/>
      <c r="C797" s="34"/>
      <c r="D797" s="34"/>
      <c r="E797" s="34"/>
      <c r="F797" s="34"/>
      <c r="G797" s="34"/>
      <c r="H797" s="34"/>
      <c r="I797" s="34"/>
      <c r="J797" s="31"/>
    </row>
    <row r="798" spans="1:10" x14ac:dyDescent="0.15">
      <c r="A798" s="34"/>
      <c r="B798" s="34"/>
      <c r="C798" s="34"/>
      <c r="D798" s="34"/>
      <c r="E798" s="34"/>
      <c r="F798" s="34"/>
      <c r="G798" s="34"/>
      <c r="H798" s="34"/>
      <c r="I798" s="34"/>
      <c r="J798" s="31"/>
    </row>
    <row r="799" spans="1:10" x14ac:dyDescent="0.15">
      <c r="A799" s="34"/>
      <c r="B799" s="34"/>
      <c r="C799" s="34"/>
      <c r="D799" s="34"/>
      <c r="E799" s="34"/>
      <c r="F799" s="34"/>
      <c r="G799" s="34"/>
      <c r="H799" s="34"/>
      <c r="I799" s="34"/>
      <c r="J799" s="31"/>
    </row>
    <row r="800" spans="1:10" x14ac:dyDescent="0.15">
      <c r="A800" s="34"/>
      <c r="B800" s="34"/>
      <c r="C800" s="34"/>
      <c r="D800" s="34"/>
      <c r="E800" s="34"/>
      <c r="F800" s="34"/>
      <c r="G800" s="34"/>
      <c r="H800" s="34"/>
      <c r="I800" s="34"/>
      <c r="J800" s="31"/>
    </row>
    <row r="801" spans="1:10" x14ac:dyDescent="0.15">
      <c r="A801" s="34"/>
      <c r="B801" s="34"/>
      <c r="C801" s="34"/>
      <c r="D801" s="34"/>
      <c r="E801" s="34"/>
      <c r="F801" s="34"/>
      <c r="G801" s="34"/>
      <c r="H801" s="34"/>
      <c r="I801" s="34"/>
      <c r="J801" s="31"/>
    </row>
    <row r="802" spans="1:10" x14ac:dyDescent="0.15">
      <c r="A802" s="34"/>
      <c r="B802" s="34"/>
      <c r="C802" s="34"/>
      <c r="D802" s="34"/>
      <c r="E802" s="34"/>
      <c r="F802" s="34"/>
      <c r="G802" s="34"/>
      <c r="H802" s="34"/>
      <c r="I802" s="34"/>
      <c r="J802" s="31"/>
    </row>
    <row r="803" spans="1:10" x14ac:dyDescent="0.15">
      <c r="A803" s="34"/>
      <c r="B803" s="34"/>
      <c r="C803" s="34"/>
      <c r="D803" s="34"/>
      <c r="E803" s="34"/>
      <c r="F803" s="34"/>
      <c r="G803" s="34"/>
      <c r="H803" s="34"/>
      <c r="I803" s="34"/>
      <c r="J803" s="31"/>
    </row>
    <row r="804" spans="1:10" x14ac:dyDescent="0.15">
      <c r="A804" s="34"/>
      <c r="B804" s="34"/>
      <c r="C804" s="34"/>
      <c r="D804" s="34"/>
      <c r="E804" s="34"/>
      <c r="F804" s="34"/>
      <c r="G804" s="34"/>
      <c r="H804" s="34"/>
      <c r="I804" s="34"/>
      <c r="J804" s="31"/>
    </row>
    <row r="805" spans="1:10" x14ac:dyDescent="0.15">
      <c r="A805" s="34"/>
      <c r="B805" s="34"/>
      <c r="C805" s="34"/>
      <c r="D805" s="34"/>
      <c r="E805" s="34"/>
      <c r="F805" s="34"/>
      <c r="G805" s="34"/>
      <c r="H805" s="34"/>
      <c r="I805" s="34"/>
      <c r="J805" s="31"/>
    </row>
    <row r="806" spans="1:10" x14ac:dyDescent="0.15">
      <c r="A806" s="34"/>
      <c r="B806" s="34"/>
      <c r="C806" s="34"/>
      <c r="D806" s="34"/>
      <c r="E806" s="34"/>
      <c r="F806" s="34"/>
      <c r="G806" s="34"/>
      <c r="H806" s="34"/>
      <c r="I806" s="34"/>
      <c r="J806" s="31"/>
    </row>
    <row r="807" spans="1:10" x14ac:dyDescent="0.15">
      <c r="A807" s="34"/>
      <c r="B807" s="34"/>
      <c r="C807" s="34"/>
      <c r="D807" s="34"/>
      <c r="E807" s="34"/>
      <c r="F807" s="34"/>
      <c r="G807" s="34"/>
      <c r="H807" s="34"/>
      <c r="I807" s="34"/>
      <c r="J807" s="31"/>
    </row>
    <row r="808" spans="1:10" x14ac:dyDescent="0.15">
      <c r="A808" s="34"/>
      <c r="B808" s="34"/>
      <c r="C808" s="34"/>
      <c r="D808" s="34"/>
      <c r="E808" s="34"/>
      <c r="F808" s="34"/>
      <c r="G808" s="34"/>
      <c r="H808" s="34"/>
      <c r="I808" s="34"/>
      <c r="J808" s="31"/>
    </row>
    <row r="809" spans="1:10" x14ac:dyDescent="0.15">
      <c r="A809" s="34"/>
      <c r="B809" s="34"/>
      <c r="C809" s="34"/>
      <c r="D809" s="34"/>
      <c r="E809" s="34"/>
      <c r="F809" s="34"/>
      <c r="G809" s="34"/>
      <c r="H809" s="34"/>
      <c r="I809" s="34"/>
      <c r="J809" s="31"/>
    </row>
    <row r="810" spans="1:10" x14ac:dyDescent="0.15">
      <c r="A810" s="34"/>
      <c r="B810" s="34"/>
      <c r="C810" s="34"/>
      <c r="D810" s="34"/>
      <c r="E810" s="34"/>
      <c r="F810" s="34"/>
      <c r="G810" s="34"/>
      <c r="H810" s="34"/>
      <c r="I810" s="34"/>
      <c r="J810" s="31"/>
    </row>
    <row r="811" spans="1:10" x14ac:dyDescent="0.15">
      <c r="A811" s="34"/>
      <c r="B811" s="34"/>
      <c r="C811" s="34"/>
      <c r="D811" s="34"/>
      <c r="E811" s="34"/>
      <c r="F811" s="34"/>
      <c r="G811" s="34"/>
      <c r="H811" s="34"/>
      <c r="I811" s="34"/>
      <c r="J811" s="31"/>
    </row>
    <row r="812" spans="1:10" x14ac:dyDescent="0.15">
      <c r="A812" s="34"/>
      <c r="B812" s="34"/>
      <c r="C812" s="34"/>
      <c r="D812" s="34"/>
      <c r="E812" s="34"/>
      <c r="F812" s="34"/>
      <c r="G812" s="34"/>
      <c r="H812" s="34"/>
      <c r="I812" s="34"/>
      <c r="J812" s="31"/>
    </row>
    <row r="813" spans="1:10" x14ac:dyDescent="0.15">
      <c r="A813" s="34"/>
      <c r="B813" s="34"/>
      <c r="C813" s="34"/>
      <c r="D813" s="34"/>
      <c r="E813" s="34"/>
      <c r="F813" s="34"/>
      <c r="G813" s="34"/>
      <c r="H813" s="34"/>
      <c r="I813" s="34"/>
      <c r="J813" s="31"/>
    </row>
    <row r="814" spans="1:10" x14ac:dyDescent="0.15">
      <c r="A814" s="34"/>
      <c r="B814" s="34"/>
      <c r="C814" s="34"/>
      <c r="D814" s="34"/>
      <c r="E814" s="34"/>
      <c r="F814" s="34"/>
      <c r="G814" s="34"/>
      <c r="H814" s="34"/>
      <c r="I814" s="34"/>
      <c r="J814" s="31"/>
    </row>
    <row r="815" spans="1:10" x14ac:dyDescent="0.15">
      <c r="A815" s="34"/>
      <c r="B815" s="34"/>
      <c r="C815" s="34"/>
      <c r="D815" s="34"/>
      <c r="E815" s="34"/>
      <c r="F815" s="34"/>
      <c r="G815" s="34"/>
      <c r="H815" s="34"/>
      <c r="I815" s="34"/>
      <c r="J815" s="31"/>
    </row>
    <row r="816" spans="1:10" x14ac:dyDescent="0.15">
      <c r="A816" s="34"/>
      <c r="B816" s="34"/>
      <c r="C816" s="34"/>
      <c r="D816" s="34"/>
      <c r="E816" s="34"/>
      <c r="F816" s="34"/>
      <c r="G816" s="34"/>
      <c r="H816" s="34"/>
      <c r="I816" s="34"/>
      <c r="J816" s="31"/>
    </row>
    <row r="817" spans="1:10" x14ac:dyDescent="0.15">
      <c r="A817" s="34"/>
      <c r="B817" s="34"/>
      <c r="C817" s="34"/>
      <c r="D817" s="34"/>
      <c r="E817" s="34"/>
      <c r="F817" s="34"/>
      <c r="G817" s="34"/>
      <c r="H817" s="34"/>
      <c r="I817" s="34"/>
      <c r="J817" s="31"/>
    </row>
    <row r="818" spans="1:10" x14ac:dyDescent="0.15">
      <c r="A818" s="34"/>
      <c r="B818" s="34"/>
      <c r="C818" s="34"/>
      <c r="D818" s="34"/>
      <c r="E818" s="34"/>
      <c r="F818" s="34"/>
      <c r="G818" s="34"/>
      <c r="H818" s="34"/>
      <c r="I818" s="34"/>
      <c r="J818" s="31"/>
    </row>
    <row r="819" spans="1:10" x14ac:dyDescent="0.15">
      <c r="A819" s="34"/>
      <c r="B819" s="34"/>
      <c r="C819" s="34"/>
      <c r="D819" s="34"/>
      <c r="E819" s="34"/>
      <c r="F819" s="34"/>
      <c r="G819" s="34"/>
      <c r="H819" s="34"/>
      <c r="I819" s="34"/>
      <c r="J819" s="31"/>
    </row>
    <row r="820" spans="1:10" x14ac:dyDescent="0.15">
      <c r="A820" s="34"/>
      <c r="B820" s="34"/>
      <c r="C820" s="34"/>
      <c r="D820" s="34"/>
      <c r="E820" s="34"/>
      <c r="F820" s="34"/>
      <c r="G820" s="34"/>
      <c r="H820" s="34"/>
      <c r="I820" s="34"/>
      <c r="J820" s="31"/>
    </row>
    <row r="821" spans="1:10" x14ac:dyDescent="0.15">
      <c r="A821" s="34"/>
      <c r="B821" s="34"/>
      <c r="C821" s="34"/>
      <c r="D821" s="34"/>
      <c r="E821" s="34"/>
      <c r="F821" s="34"/>
      <c r="G821" s="34"/>
      <c r="H821" s="34"/>
      <c r="I821" s="34"/>
      <c r="J821" s="31"/>
    </row>
    <row r="822" spans="1:10" x14ac:dyDescent="0.15">
      <c r="A822" s="34"/>
      <c r="B822" s="34"/>
      <c r="C822" s="34"/>
      <c r="D822" s="34"/>
      <c r="E822" s="34"/>
      <c r="F822" s="34"/>
      <c r="G822" s="34"/>
      <c r="H822" s="34"/>
      <c r="I822" s="34"/>
      <c r="J822" s="31"/>
    </row>
    <row r="823" spans="1:10" x14ac:dyDescent="0.15">
      <c r="A823" s="34"/>
      <c r="B823" s="34"/>
      <c r="C823" s="34"/>
      <c r="D823" s="34"/>
      <c r="E823" s="34"/>
      <c r="F823" s="34"/>
      <c r="G823" s="34"/>
      <c r="H823" s="34"/>
      <c r="I823" s="34"/>
      <c r="J823" s="31"/>
    </row>
    <row r="824" spans="1:10" x14ac:dyDescent="0.15">
      <c r="A824" s="34"/>
      <c r="B824" s="34"/>
      <c r="C824" s="34"/>
      <c r="D824" s="34"/>
      <c r="E824" s="34"/>
      <c r="F824" s="34"/>
      <c r="G824" s="34"/>
      <c r="H824" s="34"/>
      <c r="I824" s="34"/>
      <c r="J824" s="31"/>
    </row>
    <row r="825" spans="1:10" x14ac:dyDescent="0.15">
      <c r="A825" s="34"/>
      <c r="B825" s="34"/>
      <c r="C825" s="34"/>
      <c r="D825" s="34"/>
      <c r="E825" s="34"/>
      <c r="F825" s="34"/>
      <c r="G825" s="34"/>
      <c r="H825" s="34"/>
      <c r="I825" s="34"/>
      <c r="J825" s="31"/>
    </row>
    <row r="826" spans="1:10" x14ac:dyDescent="0.15">
      <c r="A826" s="34"/>
      <c r="B826" s="34"/>
      <c r="C826" s="34"/>
      <c r="D826" s="34"/>
      <c r="E826" s="34"/>
      <c r="F826" s="34"/>
      <c r="G826" s="34"/>
      <c r="H826" s="34"/>
      <c r="I826" s="34"/>
      <c r="J826" s="31"/>
    </row>
    <row r="827" spans="1:10" x14ac:dyDescent="0.15">
      <c r="A827" s="34"/>
      <c r="B827" s="34"/>
      <c r="C827" s="34"/>
      <c r="D827" s="34"/>
      <c r="E827" s="34"/>
      <c r="F827" s="34"/>
      <c r="G827" s="34"/>
      <c r="H827" s="34"/>
      <c r="I827" s="34"/>
      <c r="J827" s="31"/>
    </row>
    <row r="828" spans="1:10" x14ac:dyDescent="0.15">
      <c r="A828" s="34"/>
      <c r="B828" s="34"/>
      <c r="C828" s="34"/>
      <c r="D828" s="34"/>
      <c r="E828" s="34"/>
      <c r="F828" s="34"/>
      <c r="G828" s="34"/>
      <c r="H828" s="34"/>
      <c r="I828" s="34"/>
      <c r="J828" s="31"/>
    </row>
    <row r="829" spans="1:10" x14ac:dyDescent="0.15">
      <c r="A829" s="34"/>
      <c r="B829" s="34"/>
      <c r="C829" s="34"/>
      <c r="D829" s="34"/>
      <c r="E829" s="34"/>
      <c r="F829" s="34"/>
      <c r="G829" s="34"/>
      <c r="H829" s="34"/>
      <c r="I829" s="34"/>
      <c r="J829" s="31"/>
    </row>
    <row r="830" spans="1:10" x14ac:dyDescent="0.15">
      <c r="A830" s="34"/>
      <c r="B830" s="34"/>
      <c r="C830" s="34"/>
      <c r="D830" s="34"/>
      <c r="E830" s="34"/>
      <c r="F830" s="34"/>
      <c r="G830" s="34"/>
      <c r="H830" s="34"/>
      <c r="I830" s="34"/>
      <c r="J830" s="31"/>
    </row>
    <row r="831" spans="1:10" x14ac:dyDescent="0.15">
      <c r="A831" s="34"/>
      <c r="B831" s="34"/>
      <c r="C831" s="34"/>
      <c r="D831" s="34"/>
      <c r="E831" s="34"/>
      <c r="F831" s="34"/>
      <c r="G831" s="34"/>
      <c r="H831" s="34"/>
      <c r="I831" s="34"/>
      <c r="J831" s="31"/>
    </row>
    <row r="832" spans="1:10" x14ac:dyDescent="0.15">
      <c r="A832" s="34"/>
      <c r="B832" s="34"/>
      <c r="C832" s="34"/>
      <c r="D832" s="34"/>
      <c r="E832" s="34"/>
      <c r="F832" s="34"/>
      <c r="G832" s="34"/>
      <c r="H832" s="34"/>
      <c r="I832" s="34"/>
      <c r="J832" s="31"/>
    </row>
    <row r="833" spans="1:10" x14ac:dyDescent="0.15">
      <c r="A833" s="34"/>
      <c r="B833" s="34"/>
      <c r="C833" s="34"/>
      <c r="D833" s="34"/>
      <c r="E833" s="34"/>
      <c r="F833" s="34"/>
      <c r="G833" s="34"/>
      <c r="H833" s="34"/>
      <c r="I833" s="34"/>
      <c r="J833" s="31"/>
    </row>
    <row r="834" spans="1:10" x14ac:dyDescent="0.15">
      <c r="A834" s="34"/>
      <c r="B834" s="34"/>
      <c r="C834" s="34"/>
      <c r="D834" s="34"/>
      <c r="E834" s="34"/>
      <c r="F834" s="34"/>
      <c r="G834" s="34"/>
      <c r="H834" s="34"/>
      <c r="I834" s="34"/>
      <c r="J834" s="31"/>
    </row>
    <row r="835" spans="1:10" x14ac:dyDescent="0.15">
      <c r="A835" s="34"/>
      <c r="B835" s="34"/>
      <c r="C835" s="34"/>
      <c r="D835" s="34"/>
      <c r="E835" s="34"/>
      <c r="F835" s="34"/>
      <c r="G835" s="34"/>
      <c r="H835" s="34"/>
      <c r="I835" s="34"/>
      <c r="J835" s="31"/>
    </row>
    <row r="836" spans="1:10" x14ac:dyDescent="0.15">
      <c r="A836" s="34"/>
      <c r="B836" s="34"/>
      <c r="C836" s="34"/>
      <c r="D836" s="34"/>
      <c r="E836" s="34"/>
      <c r="F836" s="34"/>
      <c r="G836" s="34"/>
      <c r="H836" s="34"/>
      <c r="I836" s="34"/>
      <c r="J836" s="31"/>
    </row>
    <row r="837" spans="1:10" x14ac:dyDescent="0.15">
      <c r="A837" s="34"/>
      <c r="B837" s="34"/>
      <c r="C837" s="34"/>
      <c r="D837" s="34"/>
      <c r="E837" s="34"/>
      <c r="F837" s="34"/>
      <c r="G837" s="34"/>
      <c r="H837" s="34"/>
      <c r="I837" s="34"/>
      <c r="J837" s="31"/>
    </row>
    <row r="838" spans="1:10" x14ac:dyDescent="0.15">
      <c r="A838" s="34"/>
      <c r="B838" s="34"/>
      <c r="C838" s="34"/>
      <c r="D838" s="34"/>
      <c r="E838" s="34"/>
      <c r="F838" s="34"/>
      <c r="G838" s="34"/>
      <c r="H838" s="34"/>
      <c r="I838" s="34"/>
      <c r="J838" s="31"/>
    </row>
    <row r="839" spans="1:10" x14ac:dyDescent="0.15">
      <c r="A839" s="34"/>
      <c r="B839" s="34"/>
      <c r="C839" s="34"/>
      <c r="D839" s="34"/>
      <c r="E839" s="34"/>
      <c r="F839" s="34"/>
      <c r="G839" s="34"/>
      <c r="H839" s="34"/>
      <c r="I839" s="34"/>
      <c r="J839" s="31"/>
    </row>
    <row r="840" spans="1:10" x14ac:dyDescent="0.15">
      <c r="A840" s="34"/>
      <c r="B840" s="34"/>
      <c r="C840" s="34"/>
      <c r="D840" s="34"/>
      <c r="E840" s="34"/>
      <c r="F840" s="34"/>
      <c r="G840" s="34"/>
      <c r="H840" s="34"/>
      <c r="I840" s="34"/>
      <c r="J840" s="31"/>
    </row>
    <row r="841" spans="1:10" x14ac:dyDescent="0.15">
      <c r="A841" s="34"/>
      <c r="B841" s="34"/>
      <c r="C841" s="34"/>
      <c r="D841" s="34"/>
      <c r="E841" s="34"/>
      <c r="F841" s="34"/>
      <c r="G841" s="34"/>
      <c r="H841" s="34"/>
      <c r="I841" s="34"/>
      <c r="J841" s="31"/>
    </row>
    <row r="842" spans="1:10" x14ac:dyDescent="0.15">
      <c r="A842" s="34"/>
      <c r="B842" s="34"/>
      <c r="C842" s="34"/>
      <c r="D842" s="34"/>
      <c r="E842" s="34"/>
      <c r="F842" s="34"/>
      <c r="G842" s="34"/>
      <c r="H842" s="34"/>
      <c r="I842" s="34"/>
      <c r="J842" s="31"/>
    </row>
    <row r="843" spans="1:10" x14ac:dyDescent="0.15">
      <c r="A843" s="34"/>
      <c r="B843" s="34"/>
      <c r="C843" s="34"/>
      <c r="D843" s="34"/>
      <c r="E843" s="34"/>
      <c r="F843" s="34"/>
      <c r="G843" s="34"/>
      <c r="H843" s="34"/>
      <c r="I843" s="34"/>
      <c r="J843" s="31"/>
    </row>
    <row r="844" spans="1:10" x14ac:dyDescent="0.15">
      <c r="A844" s="34"/>
      <c r="B844" s="34"/>
      <c r="C844" s="34"/>
      <c r="D844" s="34"/>
      <c r="E844" s="34"/>
      <c r="F844" s="34"/>
      <c r="G844" s="34"/>
      <c r="H844" s="34"/>
      <c r="I844" s="34"/>
      <c r="J844" s="31"/>
    </row>
    <row r="845" spans="1:10" x14ac:dyDescent="0.15">
      <c r="A845" s="34"/>
      <c r="B845" s="34"/>
      <c r="C845" s="34"/>
      <c r="D845" s="34"/>
      <c r="E845" s="34"/>
      <c r="F845" s="34"/>
      <c r="G845" s="34"/>
      <c r="H845" s="34"/>
      <c r="I845" s="34"/>
      <c r="J845" s="31"/>
    </row>
    <row r="846" spans="1:10" x14ac:dyDescent="0.15">
      <c r="A846" s="34"/>
      <c r="B846" s="34"/>
      <c r="C846" s="34"/>
      <c r="D846" s="34"/>
      <c r="E846" s="34"/>
      <c r="F846" s="34"/>
      <c r="G846" s="34"/>
      <c r="H846" s="34"/>
      <c r="I846" s="34"/>
      <c r="J846" s="31"/>
    </row>
    <row r="847" spans="1:10" x14ac:dyDescent="0.15">
      <c r="A847" s="34"/>
      <c r="B847" s="34"/>
      <c r="C847" s="34"/>
      <c r="D847" s="34"/>
      <c r="E847" s="34"/>
      <c r="F847" s="34"/>
      <c r="G847" s="34"/>
      <c r="H847" s="34"/>
      <c r="I847" s="34"/>
      <c r="J847" s="31"/>
    </row>
    <row r="848" spans="1:10" x14ac:dyDescent="0.15">
      <c r="A848" s="34"/>
      <c r="B848" s="34"/>
      <c r="C848" s="34"/>
      <c r="D848" s="34"/>
      <c r="E848" s="34"/>
      <c r="F848" s="34"/>
      <c r="G848" s="34"/>
      <c r="H848" s="34"/>
      <c r="I848" s="34"/>
      <c r="J848" s="31"/>
    </row>
    <row r="849" spans="1:10" x14ac:dyDescent="0.15">
      <c r="A849" s="34"/>
      <c r="B849" s="34"/>
      <c r="C849" s="34"/>
      <c r="D849" s="34"/>
      <c r="E849" s="34"/>
      <c r="F849" s="34"/>
      <c r="G849" s="34"/>
      <c r="H849" s="34"/>
      <c r="I849" s="34"/>
      <c r="J849" s="31"/>
    </row>
    <row r="850" spans="1:10" x14ac:dyDescent="0.15">
      <c r="A850" s="34"/>
      <c r="B850" s="34"/>
      <c r="C850" s="34"/>
      <c r="D850" s="34"/>
      <c r="E850" s="34"/>
      <c r="F850" s="34"/>
      <c r="G850" s="34"/>
      <c r="H850" s="34"/>
      <c r="I850" s="34"/>
      <c r="J850" s="31"/>
    </row>
    <row r="851" spans="1:10" x14ac:dyDescent="0.15">
      <c r="A851" s="34"/>
      <c r="B851" s="34"/>
      <c r="C851" s="34"/>
      <c r="D851" s="34"/>
      <c r="E851" s="34"/>
      <c r="F851" s="34"/>
      <c r="G851" s="34"/>
      <c r="H851" s="34"/>
      <c r="I851" s="34"/>
      <c r="J851" s="31"/>
    </row>
    <row r="852" spans="1:10" x14ac:dyDescent="0.15">
      <c r="A852" s="34"/>
      <c r="B852" s="34"/>
      <c r="C852" s="34"/>
      <c r="D852" s="34"/>
      <c r="E852" s="34"/>
      <c r="F852" s="34"/>
      <c r="G852" s="34"/>
      <c r="H852" s="34"/>
      <c r="I852" s="34"/>
      <c r="J852" s="31"/>
    </row>
    <row r="853" spans="1:10" x14ac:dyDescent="0.15">
      <c r="A853" s="34"/>
      <c r="B853" s="34"/>
      <c r="C853" s="34"/>
      <c r="D853" s="34"/>
      <c r="E853" s="34"/>
      <c r="F853" s="34"/>
      <c r="G853" s="34"/>
      <c r="H853" s="34"/>
      <c r="I853" s="34"/>
      <c r="J853" s="31"/>
    </row>
    <row r="854" spans="1:10" x14ac:dyDescent="0.15">
      <c r="A854" s="34"/>
      <c r="B854" s="34"/>
      <c r="C854" s="34"/>
      <c r="D854" s="34"/>
      <c r="E854" s="34"/>
      <c r="F854" s="34"/>
      <c r="G854" s="34"/>
      <c r="H854" s="34"/>
      <c r="I854" s="34"/>
      <c r="J854" s="31"/>
    </row>
    <row r="855" spans="1:10" x14ac:dyDescent="0.15">
      <c r="A855" s="34"/>
      <c r="B855" s="34"/>
      <c r="C855" s="34"/>
      <c r="D855" s="34"/>
      <c r="E855" s="34"/>
      <c r="F855" s="34"/>
      <c r="G855" s="34"/>
      <c r="H855" s="34"/>
      <c r="I855" s="34"/>
      <c r="J855" s="31"/>
    </row>
    <row r="856" spans="1:10" x14ac:dyDescent="0.15">
      <c r="A856" s="34"/>
      <c r="B856" s="34"/>
      <c r="C856" s="34"/>
      <c r="D856" s="34"/>
      <c r="E856" s="34"/>
      <c r="F856" s="34"/>
      <c r="G856" s="34"/>
      <c r="H856" s="34"/>
      <c r="I856" s="34"/>
      <c r="J856" s="31"/>
    </row>
    <row r="857" spans="1:10" x14ac:dyDescent="0.15">
      <c r="A857" s="34"/>
      <c r="B857" s="34"/>
      <c r="C857" s="34"/>
      <c r="D857" s="34"/>
      <c r="E857" s="34"/>
      <c r="F857" s="34"/>
      <c r="G857" s="34"/>
      <c r="H857" s="34"/>
      <c r="I857" s="34"/>
      <c r="J857" s="31"/>
    </row>
    <row r="858" spans="1:10" x14ac:dyDescent="0.15">
      <c r="A858" s="34"/>
      <c r="B858" s="34"/>
      <c r="C858" s="34"/>
      <c r="D858" s="34"/>
      <c r="E858" s="34"/>
      <c r="F858" s="34"/>
      <c r="G858" s="34"/>
      <c r="H858" s="34"/>
      <c r="I858" s="34"/>
      <c r="J858" s="31"/>
    </row>
    <row r="859" spans="1:10" x14ac:dyDescent="0.15">
      <c r="A859" s="34"/>
      <c r="B859" s="34"/>
      <c r="C859" s="34"/>
      <c r="D859" s="34"/>
      <c r="E859" s="34"/>
      <c r="F859" s="34"/>
      <c r="G859" s="34"/>
      <c r="H859" s="34"/>
      <c r="I859" s="34"/>
      <c r="J859" s="31"/>
    </row>
    <row r="860" spans="1:10" x14ac:dyDescent="0.15">
      <c r="A860" s="34"/>
      <c r="B860" s="34"/>
      <c r="C860" s="34"/>
      <c r="D860" s="34"/>
      <c r="E860" s="34"/>
      <c r="F860" s="34"/>
      <c r="G860" s="34"/>
      <c r="H860" s="34"/>
      <c r="I860" s="34"/>
      <c r="J860" s="31"/>
    </row>
    <row r="861" spans="1:10" x14ac:dyDescent="0.15">
      <c r="A861" s="34"/>
      <c r="B861" s="34"/>
      <c r="C861" s="34"/>
      <c r="D861" s="34"/>
      <c r="E861" s="34"/>
      <c r="F861" s="34"/>
      <c r="G861" s="34"/>
      <c r="H861" s="34"/>
      <c r="I861" s="34"/>
      <c r="J861" s="31"/>
    </row>
    <row r="862" spans="1:10" x14ac:dyDescent="0.15">
      <c r="A862" s="34"/>
      <c r="B862" s="34"/>
      <c r="C862" s="34"/>
      <c r="D862" s="34"/>
      <c r="E862" s="34"/>
      <c r="F862" s="34"/>
      <c r="G862" s="34"/>
      <c r="H862" s="34"/>
      <c r="I862" s="34"/>
      <c r="J862" s="31"/>
    </row>
    <row r="863" spans="1:10" x14ac:dyDescent="0.15">
      <c r="A863" s="34"/>
      <c r="B863" s="34"/>
      <c r="C863" s="34"/>
      <c r="D863" s="34"/>
      <c r="E863" s="34"/>
      <c r="F863" s="34"/>
      <c r="G863" s="34"/>
      <c r="H863" s="34"/>
      <c r="I863" s="34"/>
      <c r="J863" s="31"/>
    </row>
    <row r="864" spans="1:10" x14ac:dyDescent="0.15">
      <c r="A864" s="34"/>
      <c r="B864" s="34"/>
      <c r="C864" s="34"/>
      <c r="D864" s="34"/>
      <c r="E864" s="34"/>
      <c r="F864" s="34"/>
      <c r="G864" s="34"/>
      <c r="H864" s="34"/>
      <c r="I864" s="34"/>
      <c r="J864" s="31"/>
    </row>
    <row r="865" spans="1:10" x14ac:dyDescent="0.15">
      <c r="A865" s="34"/>
      <c r="B865" s="34"/>
      <c r="C865" s="34"/>
      <c r="D865" s="34"/>
      <c r="E865" s="34"/>
      <c r="F865" s="34"/>
      <c r="G865" s="34"/>
      <c r="H865" s="34"/>
      <c r="I865" s="34"/>
      <c r="J865" s="31"/>
    </row>
    <row r="866" spans="1:10" x14ac:dyDescent="0.15">
      <c r="A866" s="34"/>
      <c r="B866" s="34"/>
      <c r="C866" s="34"/>
      <c r="D866" s="34"/>
      <c r="E866" s="34"/>
      <c r="F866" s="34"/>
      <c r="G866" s="34"/>
      <c r="H866" s="34"/>
      <c r="I866" s="34"/>
      <c r="J866" s="31"/>
    </row>
    <row r="867" spans="1:10" x14ac:dyDescent="0.15">
      <c r="A867" s="34"/>
      <c r="B867" s="34"/>
      <c r="C867" s="34"/>
      <c r="D867" s="34"/>
      <c r="E867" s="34"/>
      <c r="F867" s="34"/>
      <c r="G867" s="34"/>
      <c r="H867" s="34"/>
      <c r="I867" s="34"/>
      <c r="J867" s="31"/>
    </row>
    <row r="868" spans="1:10" x14ac:dyDescent="0.15">
      <c r="A868" s="34"/>
      <c r="B868" s="34"/>
      <c r="C868" s="34"/>
      <c r="D868" s="34"/>
      <c r="E868" s="34"/>
      <c r="F868" s="34"/>
      <c r="G868" s="34"/>
      <c r="H868" s="34"/>
      <c r="I868" s="34"/>
      <c r="J868" s="31"/>
    </row>
    <row r="869" spans="1:10" x14ac:dyDescent="0.15">
      <c r="A869" s="34"/>
      <c r="B869" s="34"/>
      <c r="C869" s="34"/>
      <c r="D869" s="34"/>
      <c r="E869" s="34"/>
      <c r="F869" s="34"/>
      <c r="G869" s="34"/>
      <c r="H869" s="34"/>
      <c r="I869" s="34"/>
      <c r="J869" s="31"/>
    </row>
    <row r="870" spans="1:10" x14ac:dyDescent="0.15">
      <c r="A870" s="34"/>
      <c r="B870" s="34"/>
      <c r="C870" s="34"/>
      <c r="D870" s="34"/>
      <c r="E870" s="34"/>
      <c r="F870" s="34"/>
      <c r="G870" s="34"/>
      <c r="H870" s="34"/>
      <c r="I870" s="34"/>
      <c r="J870" s="31"/>
    </row>
    <row r="871" spans="1:10" x14ac:dyDescent="0.15">
      <c r="A871" s="34"/>
      <c r="B871" s="34"/>
      <c r="C871" s="34"/>
      <c r="D871" s="34"/>
      <c r="E871" s="34"/>
      <c r="F871" s="34"/>
      <c r="G871" s="34"/>
      <c r="H871" s="34"/>
      <c r="I871" s="34"/>
      <c r="J871" s="31"/>
    </row>
    <row r="872" spans="1:10" x14ac:dyDescent="0.15">
      <c r="A872" s="34"/>
      <c r="B872" s="34"/>
      <c r="C872" s="34"/>
      <c r="D872" s="34"/>
      <c r="E872" s="34"/>
      <c r="F872" s="34"/>
      <c r="G872" s="34"/>
      <c r="H872" s="34"/>
      <c r="I872" s="34"/>
      <c r="J872" s="31"/>
    </row>
    <row r="873" spans="1:10" x14ac:dyDescent="0.15">
      <c r="A873" s="34"/>
      <c r="B873" s="34"/>
      <c r="C873" s="34"/>
      <c r="D873" s="34"/>
      <c r="E873" s="34"/>
      <c r="F873" s="34"/>
      <c r="G873" s="34"/>
      <c r="H873" s="34"/>
      <c r="I873" s="34"/>
      <c r="J873" s="31"/>
    </row>
    <row r="874" spans="1:10" x14ac:dyDescent="0.15">
      <c r="A874" s="34"/>
      <c r="B874" s="34"/>
      <c r="C874" s="34"/>
      <c r="D874" s="34"/>
      <c r="E874" s="34"/>
      <c r="F874" s="34"/>
      <c r="G874" s="34"/>
      <c r="H874" s="34"/>
      <c r="I874" s="34"/>
      <c r="J874" s="31"/>
    </row>
    <row r="875" spans="1:10" x14ac:dyDescent="0.15">
      <c r="A875" s="34"/>
      <c r="B875" s="34"/>
      <c r="C875" s="34"/>
      <c r="D875" s="34"/>
      <c r="E875" s="34"/>
      <c r="F875" s="34"/>
      <c r="G875" s="34"/>
      <c r="H875" s="34"/>
      <c r="I875" s="34"/>
      <c r="J875" s="31"/>
    </row>
    <row r="876" spans="1:10" x14ac:dyDescent="0.15">
      <c r="A876" s="34"/>
      <c r="B876" s="34"/>
      <c r="C876" s="34"/>
      <c r="D876" s="34"/>
      <c r="E876" s="34"/>
      <c r="F876" s="34"/>
      <c r="G876" s="34"/>
      <c r="H876" s="34"/>
      <c r="I876" s="34"/>
      <c r="J876" s="31"/>
    </row>
    <row r="877" spans="1:10" x14ac:dyDescent="0.15">
      <c r="A877" s="34"/>
      <c r="B877" s="34"/>
      <c r="C877" s="34"/>
      <c r="D877" s="34"/>
      <c r="E877" s="34"/>
      <c r="F877" s="34"/>
      <c r="G877" s="34"/>
      <c r="H877" s="34"/>
      <c r="I877" s="34"/>
      <c r="J877" s="31"/>
    </row>
    <row r="878" spans="1:10" x14ac:dyDescent="0.15">
      <c r="A878" s="34"/>
      <c r="B878" s="34"/>
      <c r="C878" s="34"/>
      <c r="D878" s="34"/>
      <c r="E878" s="34"/>
      <c r="F878" s="34"/>
      <c r="G878" s="34"/>
      <c r="H878" s="34"/>
      <c r="I878" s="34"/>
      <c r="J878" s="31"/>
    </row>
    <row r="879" spans="1:10" x14ac:dyDescent="0.15">
      <c r="A879" s="34"/>
      <c r="B879" s="34"/>
      <c r="C879" s="34"/>
      <c r="D879" s="34"/>
      <c r="E879" s="34"/>
      <c r="F879" s="34"/>
      <c r="G879" s="34"/>
      <c r="H879" s="34"/>
      <c r="I879" s="34"/>
      <c r="J879" s="31"/>
    </row>
    <row r="880" spans="1:10" x14ac:dyDescent="0.15">
      <c r="A880" s="34"/>
      <c r="B880" s="34"/>
      <c r="C880" s="34"/>
      <c r="D880" s="34"/>
      <c r="E880" s="34"/>
      <c r="F880" s="34"/>
      <c r="G880" s="34"/>
      <c r="H880" s="34"/>
      <c r="I880" s="34"/>
      <c r="J880" s="31"/>
    </row>
    <row r="881" spans="1:10" x14ac:dyDescent="0.15">
      <c r="A881" s="34"/>
      <c r="B881" s="34"/>
      <c r="C881" s="34"/>
      <c r="D881" s="34"/>
      <c r="E881" s="34"/>
      <c r="F881" s="34"/>
      <c r="G881" s="34"/>
      <c r="H881" s="34"/>
      <c r="I881" s="34"/>
      <c r="J881" s="31"/>
    </row>
    <row r="882" spans="1:10" x14ac:dyDescent="0.15">
      <c r="A882" s="34"/>
      <c r="B882" s="34"/>
      <c r="C882" s="34"/>
      <c r="D882" s="34"/>
      <c r="E882" s="34"/>
      <c r="F882" s="34"/>
      <c r="G882" s="34"/>
      <c r="H882" s="34"/>
      <c r="I882" s="34"/>
      <c r="J882" s="31"/>
    </row>
    <row r="883" spans="1:10" x14ac:dyDescent="0.15">
      <c r="A883" s="34"/>
      <c r="B883" s="34"/>
      <c r="C883" s="34"/>
      <c r="D883" s="34"/>
      <c r="E883" s="34"/>
      <c r="F883" s="34"/>
      <c r="G883" s="34"/>
      <c r="H883" s="34"/>
      <c r="I883" s="34"/>
      <c r="J883" s="31"/>
    </row>
    <row r="884" spans="1:10" x14ac:dyDescent="0.15">
      <c r="A884" s="34"/>
      <c r="B884" s="34"/>
      <c r="C884" s="34"/>
      <c r="D884" s="34"/>
      <c r="E884" s="34"/>
      <c r="F884" s="34"/>
      <c r="G884" s="34"/>
      <c r="H884" s="34"/>
      <c r="I884" s="34"/>
      <c r="J884" s="31"/>
    </row>
    <row r="885" spans="1:10" x14ac:dyDescent="0.15">
      <c r="A885" s="34"/>
      <c r="B885" s="34"/>
      <c r="C885" s="34"/>
      <c r="D885" s="34"/>
      <c r="E885" s="34"/>
      <c r="F885" s="34"/>
      <c r="G885" s="34"/>
      <c r="H885" s="34"/>
      <c r="I885" s="34"/>
      <c r="J885" s="31"/>
    </row>
    <row r="886" spans="1:10" x14ac:dyDescent="0.15">
      <c r="A886" s="34"/>
      <c r="B886" s="34"/>
      <c r="C886" s="34"/>
      <c r="D886" s="34"/>
      <c r="E886" s="34"/>
      <c r="F886" s="34"/>
      <c r="G886" s="34"/>
      <c r="H886" s="34"/>
      <c r="I886" s="34"/>
      <c r="J886" s="31"/>
    </row>
    <row r="887" spans="1:10" x14ac:dyDescent="0.15">
      <c r="A887" s="34"/>
      <c r="B887" s="34"/>
      <c r="C887" s="34"/>
      <c r="D887" s="34"/>
      <c r="E887" s="34"/>
      <c r="F887" s="34"/>
      <c r="G887" s="34"/>
      <c r="H887" s="34"/>
      <c r="I887" s="34"/>
      <c r="J887" s="31"/>
    </row>
    <row r="888" spans="1:10" x14ac:dyDescent="0.15">
      <c r="A888" s="34"/>
      <c r="B888" s="34"/>
      <c r="C888" s="34"/>
      <c r="D888" s="34"/>
      <c r="E888" s="34"/>
      <c r="F888" s="34"/>
      <c r="G888" s="34"/>
      <c r="H888" s="34"/>
      <c r="I888" s="34"/>
      <c r="J888" s="31"/>
    </row>
    <row r="889" spans="1:10" x14ac:dyDescent="0.15">
      <c r="A889" s="34"/>
      <c r="B889" s="34"/>
      <c r="C889" s="34"/>
      <c r="D889" s="34"/>
      <c r="E889" s="34"/>
      <c r="F889" s="34"/>
      <c r="G889" s="34"/>
      <c r="H889" s="34"/>
      <c r="I889" s="34"/>
      <c r="J889" s="31"/>
    </row>
    <row r="890" spans="1:10" x14ac:dyDescent="0.15">
      <c r="A890" s="34"/>
      <c r="B890" s="34"/>
      <c r="C890" s="34"/>
      <c r="D890" s="34"/>
      <c r="E890" s="34"/>
      <c r="F890" s="34"/>
      <c r="G890" s="34"/>
      <c r="H890" s="34"/>
      <c r="I890" s="34"/>
      <c r="J890" s="31"/>
    </row>
    <row r="891" spans="1:10" x14ac:dyDescent="0.15">
      <c r="A891" s="34"/>
      <c r="B891" s="34"/>
      <c r="C891" s="34"/>
      <c r="D891" s="34"/>
      <c r="E891" s="34"/>
      <c r="F891" s="34"/>
      <c r="G891" s="34"/>
      <c r="H891" s="34"/>
      <c r="I891" s="34"/>
      <c r="J891" s="31"/>
    </row>
    <row r="892" spans="1:10" x14ac:dyDescent="0.15">
      <c r="A892" s="34"/>
      <c r="B892" s="34"/>
      <c r="C892" s="34"/>
      <c r="D892" s="34"/>
      <c r="E892" s="34"/>
      <c r="F892" s="34"/>
      <c r="G892" s="34"/>
      <c r="H892" s="34"/>
      <c r="I892" s="34"/>
      <c r="J892" s="31"/>
    </row>
    <row r="893" spans="1:10" x14ac:dyDescent="0.15">
      <c r="A893" s="34"/>
      <c r="B893" s="34"/>
      <c r="C893" s="34"/>
      <c r="D893" s="34"/>
      <c r="E893" s="34"/>
      <c r="F893" s="34"/>
      <c r="G893" s="34"/>
      <c r="H893" s="34"/>
      <c r="I893" s="34"/>
      <c r="J893" s="31"/>
    </row>
    <row r="894" spans="1:10" x14ac:dyDescent="0.15">
      <c r="A894" s="34"/>
      <c r="B894" s="34"/>
      <c r="C894" s="34"/>
      <c r="D894" s="34"/>
      <c r="E894" s="34"/>
      <c r="F894" s="34"/>
      <c r="G894" s="34"/>
      <c r="H894" s="34"/>
      <c r="I894" s="34"/>
      <c r="J894" s="31"/>
    </row>
    <row r="895" spans="1:10" x14ac:dyDescent="0.15">
      <c r="A895" s="34"/>
      <c r="B895" s="34"/>
      <c r="C895" s="34"/>
      <c r="D895" s="34"/>
      <c r="E895" s="34"/>
      <c r="F895" s="34"/>
      <c r="G895" s="34"/>
      <c r="H895" s="34"/>
      <c r="I895" s="34"/>
      <c r="J895" s="31"/>
    </row>
    <row r="896" spans="1:10" x14ac:dyDescent="0.15">
      <c r="A896" s="34"/>
      <c r="B896" s="34"/>
      <c r="C896" s="34"/>
      <c r="D896" s="34"/>
      <c r="E896" s="34"/>
      <c r="F896" s="34"/>
      <c r="G896" s="34"/>
      <c r="H896" s="34"/>
      <c r="I896" s="34"/>
      <c r="J896" s="31"/>
    </row>
    <row r="897" spans="1:10" x14ac:dyDescent="0.15">
      <c r="A897" s="34"/>
      <c r="B897" s="34"/>
      <c r="C897" s="34"/>
      <c r="D897" s="34"/>
      <c r="E897" s="34"/>
      <c r="F897" s="34"/>
      <c r="G897" s="34"/>
      <c r="H897" s="34"/>
      <c r="I897" s="34"/>
      <c r="J897" s="31"/>
    </row>
    <row r="898" spans="1:10" x14ac:dyDescent="0.15">
      <c r="A898" s="34"/>
      <c r="B898" s="34"/>
      <c r="C898" s="34"/>
      <c r="D898" s="34"/>
      <c r="E898" s="34"/>
      <c r="F898" s="34"/>
      <c r="G898" s="34"/>
      <c r="H898" s="34"/>
      <c r="I898" s="34"/>
      <c r="J898" s="31"/>
    </row>
    <row r="899" spans="1:10" x14ac:dyDescent="0.15">
      <c r="A899" s="34"/>
      <c r="B899" s="34"/>
      <c r="C899" s="34"/>
      <c r="D899" s="34"/>
      <c r="E899" s="34"/>
      <c r="F899" s="34"/>
      <c r="G899" s="34"/>
      <c r="H899" s="34"/>
      <c r="I899" s="34"/>
      <c r="J899" s="31"/>
    </row>
    <row r="900" spans="1:10" x14ac:dyDescent="0.15">
      <c r="A900" s="34"/>
      <c r="B900" s="34"/>
      <c r="C900" s="34"/>
      <c r="D900" s="34"/>
      <c r="E900" s="34"/>
      <c r="F900" s="34"/>
      <c r="G900" s="34"/>
      <c r="H900" s="34"/>
      <c r="I900" s="34"/>
      <c r="J900" s="31"/>
    </row>
    <row r="901" spans="1:10" x14ac:dyDescent="0.15">
      <c r="A901" s="34"/>
      <c r="B901" s="34"/>
      <c r="C901" s="34"/>
      <c r="D901" s="34"/>
      <c r="E901" s="34"/>
      <c r="F901" s="34"/>
      <c r="G901" s="34"/>
      <c r="H901" s="34"/>
      <c r="I901" s="34"/>
      <c r="J901" s="31"/>
    </row>
    <row r="902" spans="1:10" x14ac:dyDescent="0.15">
      <c r="A902" s="34"/>
      <c r="B902" s="34"/>
      <c r="C902" s="34"/>
      <c r="D902" s="34"/>
      <c r="E902" s="34"/>
      <c r="F902" s="34"/>
      <c r="G902" s="34"/>
      <c r="H902" s="34"/>
      <c r="I902" s="34"/>
      <c r="J902" s="31"/>
    </row>
    <row r="903" spans="1:10" x14ac:dyDescent="0.15">
      <c r="A903" s="34"/>
      <c r="B903" s="34"/>
      <c r="C903" s="34"/>
      <c r="D903" s="34"/>
      <c r="E903" s="34"/>
      <c r="F903" s="34"/>
      <c r="G903" s="34"/>
      <c r="H903" s="34"/>
      <c r="I903" s="34"/>
      <c r="J903" s="31"/>
    </row>
    <row r="904" spans="1:10" x14ac:dyDescent="0.15">
      <c r="A904" s="34"/>
      <c r="B904" s="34"/>
      <c r="C904" s="34"/>
      <c r="D904" s="34"/>
      <c r="E904" s="34"/>
      <c r="F904" s="34"/>
      <c r="G904" s="34"/>
      <c r="H904" s="34"/>
      <c r="I904" s="34"/>
      <c r="J904" s="31"/>
    </row>
    <row r="905" spans="1:10" x14ac:dyDescent="0.15">
      <c r="A905" s="34"/>
      <c r="B905" s="34"/>
      <c r="C905" s="34"/>
      <c r="D905" s="34"/>
      <c r="E905" s="34"/>
      <c r="F905" s="34"/>
      <c r="G905" s="34"/>
      <c r="H905" s="34"/>
      <c r="I905" s="34"/>
      <c r="J905" s="31"/>
    </row>
    <row r="906" spans="1:10" x14ac:dyDescent="0.15">
      <c r="A906" s="34"/>
      <c r="B906" s="34"/>
      <c r="C906" s="34"/>
      <c r="D906" s="34"/>
      <c r="E906" s="34"/>
      <c r="F906" s="34"/>
      <c r="G906" s="34"/>
      <c r="H906" s="34"/>
      <c r="I906" s="34"/>
      <c r="J906" s="31"/>
    </row>
    <row r="907" spans="1:10" x14ac:dyDescent="0.15">
      <c r="A907" s="34"/>
      <c r="B907" s="34"/>
      <c r="C907" s="34"/>
      <c r="D907" s="34"/>
      <c r="E907" s="34"/>
      <c r="F907" s="34"/>
      <c r="G907" s="34"/>
      <c r="H907" s="34"/>
      <c r="I907" s="34"/>
      <c r="J907" s="31"/>
    </row>
    <row r="908" spans="1:10" x14ac:dyDescent="0.15">
      <c r="A908" s="34"/>
      <c r="B908" s="34"/>
      <c r="C908" s="34"/>
      <c r="D908" s="34"/>
      <c r="E908" s="34"/>
      <c r="F908" s="34"/>
      <c r="G908" s="34"/>
      <c r="H908" s="34"/>
      <c r="I908" s="34"/>
      <c r="J908" s="31"/>
    </row>
    <row r="909" spans="1:10" x14ac:dyDescent="0.15">
      <c r="A909" s="34"/>
      <c r="B909" s="34"/>
      <c r="C909" s="34"/>
      <c r="D909" s="34"/>
      <c r="E909" s="34"/>
      <c r="F909" s="34"/>
      <c r="G909" s="34"/>
      <c r="H909" s="34"/>
      <c r="I909" s="34"/>
      <c r="J909" s="31"/>
    </row>
    <row r="910" spans="1:10" x14ac:dyDescent="0.15">
      <c r="A910" s="34"/>
      <c r="B910" s="34"/>
      <c r="C910" s="34"/>
      <c r="D910" s="34"/>
      <c r="E910" s="34"/>
      <c r="F910" s="34"/>
      <c r="G910" s="34"/>
      <c r="H910" s="34"/>
      <c r="I910" s="34"/>
      <c r="J910" s="31"/>
    </row>
    <row r="911" spans="1:10" x14ac:dyDescent="0.15">
      <c r="A911" s="34"/>
      <c r="B911" s="34"/>
      <c r="C911" s="34"/>
      <c r="D911" s="34"/>
      <c r="E911" s="34"/>
      <c r="F911" s="34"/>
      <c r="G911" s="34"/>
      <c r="H911" s="34"/>
      <c r="I911" s="34"/>
      <c r="J911" s="31"/>
    </row>
    <row r="912" spans="1:10" x14ac:dyDescent="0.15">
      <c r="A912" s="34"/>
      <c r="B912" s="34"/>
      <c r="C912" s="34"/>
      <c r="D912" s="34"/>
      <c r="E912" s="34"/>
      <c r="F912" s="34"/>
      <c r="G912" s="34"/>
      <c r="H912" s="34"/>
      <c r="I912" s="34"/>
      <c r="J912" s="31"/>
    </row>
    <row r="913" spans="1:10" x14ac:dyDescent="0.15">
      <c r="A913" s="34"/>
      <c r="B913" s="34"/>
      <c r="C913" s="34"/>
      <c r="D913" s="34"/>
      <c r="E913" s="34"/>
      <c r="F913" s="34"/>
      <c r="G913" s="34"/>
      <c r="H913" s="34"/>
      <c r="I913" s="34"/>
      <c r="J913" s="31"/>
    </row>
    <row r="914" spans="1:10" x14ac:dyDescent="0.15">
      <c r="A914" s="34"/>
      <c r="B914" s="34"/>
      <c r="C914" s="34"/>
      <c r="D914" s="34"/>
      <c r="E914" s="34"/>
      <c r="F914" s="34"/>
      <c r="G914" s="34"/>
      <c r="H914" s="34"/>
      <c r="I914" s="34"/>
      <c r="J914" s="31"/>
    </row>
    <row r="915" spans="1:10" x14ac:dyDescent="0.15">
      <c r="A915" s="34"/>
      <c r="B915" s="34"/>
      <c r="C915" s="34"/>
      <c r="D915" s="34"/>
      <c r="E915" s="34"/>
      <c r="F915" s="34"/>
      <c r="G915" s="34"/>
      <c r="H915" s="34"/>
      <c r="I915" s="34"/>
      <c r="J915" s="31"/>
    </row>
    <row r="916" spans="1:10" x14ac:dyDescent="0.15">
      <c r="A916" s="34"/>
      <c r="B916" s="34"/>
      <c r="C916" s="34"/>
      <c r="D916" s="34"/>
      <c r="E916" s="34"/>
      <c r="F916" s="34"/>
      <c r="G916" s="34"/>
      <c r="H916" s="34"/>
      <c r="I916" s="34"/>
      <c r="J916" s="31"/>
    </row>
    <row r="917" spans="1:10" x14ac:dyDescent="0.15">
      <c r="A917" s="34"/>
      <c r="B917" s="34"/>
      <c r="C917" s="34"/>
      <c r="D917" s="34"/>
      <c r="E917" s="34"/>
      <c r="F917" s="34"/>
      <c r="G917" s="34"/>
      <c r="H917" s="34"/>
      <c r="I917" s="34"/>
      <c r="J917" s="31"/>
    </row>
    <row r="918" spans="1:10" x14ac:dyDescent="0.15">
      <c r="A918" s="34"/>
      <c r="B918" s="34"/>
      <c r="C918" s="34"/>
      <c r="D918" s="34"/>
      <c r="E918" s="34"/>
      <c r="F918" s="34"/>
      <c r="G918" s="34"/>
      <c r="H918" s="34"/>
      <c r="I918" s="34"/>
      <c r="J918" s="31"/>
    </row>
    <row r="919" spans="1:10" x14ac:dyDescent="0.15">
      <c r="A919" s="34"/>
      <c r="B919" s="34"/>
      <c r="C919" s="34"/>
      <c r="D919" s="34"/>
      <c r="E919" s="34"/>
      <c r="F919" s="34"/>
      <c r="G919" s="34"/>
      <c r="H919" s="34"/>
      <c r="I919" s="34"/>
      <c r="J919" s="31"/>
    </row>
    <row r="920" spans="1:10" x14ac:dyDescent="0.15">
      <c r="A920" s="34"/>
      <c r="B920" s="34"/>
      <c r="C920" s="34"/>
      <c r="D920" s="34"/>
      <c r="E920" s="34"/>
      <c r="F920" s="34"/>
      <c r="G920" s="34"/>
      <c r="H920" s="34"/>
      <c r="I920" s="34"/>
      <c r="J920" s="31"/>
    </row>
    <row r="921" spans="1:10" x14ac:dyDescent="0.15">
      <c r="A921" s="34"/>
      <c r="B921" s="34"/>
      <c r="C921" s="34"/>
      <c r="D921" s="34"/>
      <c r="E921" s="34"/>
      <c r="F921" s="34"/>
      <c r="G921" s="34"/>
      <c r="H921" s="34"/>
      <c r="I921" s="34"/>
      <c r="J921" s="31"/>
    </row>
    <row r="922" spans="1:10" x14ac:dyDescent="0.15">
      <c r="A922" s="34"/>
      <c r="B922" s="34"/>
      <c r="C922" s="34"/>
      <c r="D922" s="34"/>
      <c r="E922" s="34"/>
      <c r="F922" s="34"/>
      <c r="G922" s="34"/>
      <c r="H922" s="34"/>
      <c r="I922" s="34"/>
      <c r="J922" s="31"/>
    </row>
    <row r="923" spans="1:10" x14ac:dyDescent="0.15">
      <c r="A923" s="34"/>
      <c r="B923" s="34"/>
      <c r="C923" s="34"/>
      <c r="D923" s="34"/>
      <c r="E923" s="34"/>
      <c r="F923" s="34"/>
      <c r="G923" s="34"/>
      <c r="H923" s="34"/>
      <c r="I923" s="34"/>
      <c r="J923" s="31"/>
    </row>
    <row r="924" spans="1:10" x14ac:dyDescent="0.15">
      <c r="A924" s="34"/>
      <c r="B924" s="34"/>
      <c r="C924" s="34"/>
      <c r="D924" s="34"/>
      <c r="E924" s="34"/>
      <c r="F924" s="34"/>
      <c r="G924" s="34"/>
      <c r="H924" s="34"/>
      <c r="I924" s="34"/>
      <c r="J924" s="31"/>
    </row>
    <row r="925" spans="1:10" x14ac:dyDescent="0.15">
      <c r="A925" s="34"/>
      <c r="B925" s="34"/>
      <c r="C925" s="34"/>
      <c r="D925" s="34"/>
      <c r="E925" s="34"/>
      <c r="F925" s="34"/>
      <c r="G925" s="34"/>
      <c r="H925" s="34"/>
      <c r="I925" s="34"/>
      <c r="J925" s="31"/>
    </row>
    <row r="926" spans="1:10" x14ac:dyDescent="0.15">
      <c r="A926" s="34"/>
      <c r="B926" s="34"/>
      <c r="C926" s="34"/>
      <c r="D926" s="34"/>
      <c r="E926" s="34"/>
      <c r="F926" s="34"/>
      <c r="G926" s="34"/>
      <c r="H926" s="34"/>
      <c r="I926" s="34"/>
      <c r="J926" s="31"/>
    </row>
    <row r="927" spans="1:10" x14ac:dyDescent="0.15">
      <c r="A927" s="34"/>
      <c r="B927" s="34"/>
      <c r="C927" s="34"/>
      <c r="D927" s="34"/>
      <c r="E927" s="34"/>
      <c r="F927" s="34"/>
      <c r="G927" s="34"/>
      <c r="H927" s="34"/>
      <c r="I927" s="34"/>
      <c r="J927" s="31"/>
    </row>
    <row r="928" spans="1:10" x14ac:dyDescent="0.15">
      <c r="A928" s="34"/>
      <c r="B928" s="34"/>
      <c r="C928" s="34"/>
      <c r="D928" s="34"/>
      <c r="E928" s="34"/>
      <c r="F928" s="34"/>
      <c r="G928" s="34"/>
      <c r="H928" s="34"/>
      <c r="I928" s="34"/>
      <c r="J928" s="31"/>
    </row>
    <row r="929" spans="1:10" x14ac:dyDescent="0.15">
      <c r="A929" s="34"/>
      <c r="B929" s="34"/>
      <c r="C929" s="34"/>
      <c r="D929" s="34"/>
      <c r="E929" s="34"/>
      <c r="F929" s="34"/>
      <c r="G929" s="34"/>
      <c r="H929" s="34"/>
      <c r="I929" s="34"/>
      <c r="J929" s="31"/>
    </row>
    <row r="930" spans="1:10" x14ac:dyDescent="0.15">
      <c r="A930" s="34"/>
      <c r="B930" s="34"/>
      <c r="C930" s="34"/>
      <c r="D930" s="34"/>
      <c r="E930" s="34"/>
      <c r="F930" s="34"/>
      <c r="G930" s="34"/>
      <c r="H930" s="34"/>
      <c r="I930" s="34"/>
      <c r="J930" s="31"/>
    </row>
    <row r="931" spans="1:10" x14ac:dyDescent="0.15">
      <c r="A931" s="34"/>
      <c r="B931" s="34"/>
      <c r="C931" s="34"/>
      <c r="D931" s="34"/>
      <c r="E931" s="34"/>
      <c r="F931" s="34"/>
      <c r="G931" s="34"/>
      <c r="H931" s="34"/>
      <c r="I931" s="34"/>
      <c r="J931" s="31"/>
    </row>
    <row r="932" spans="1:10" x14ac:dyDescent="0.15">
      <c r="A932" s="34"/>
      <c r="B932" s="34"/>
      <c r="C932" s="34"/>
      <c r="D932" s="34"/>
      <c r="E932" s="34"/>
      <c r="F932" s="34"/>
      <c r="G932" s="34"/>
      <c r="H932" s="34"/>
      <c r="I932" s="34"/>
      <c r="J932" s="31"/>
    </row>
    <row r="933" spans="1:10" x14ac:dyDescent="0.15">
      <c r="A933" s="34"/>
      <c r="B933" s="34"/>
      <c r="C933" s="34"/>
      <c r="D933" s="34"/>
      <c r="E933" s="34"/>
      <c r="F933" s="34"/>
      <c r="G933" s="34"/>
      <c r="H933" s="34"/>
      <c r="I933" s="34"/>
      <c r="J933" s="31"/>
    </row>
    <row r="934" spans="1:10" x14ac:dyDescent="0.15">
      <c r="A934" s="34"/>
      <c r="B934" s="34"/>
      <c r="C934" s="34"/>
      <c r="D934" s="34"/>
      <c r="E934" s="34"/>
      <c r="F934" s="34"/>
      <c r="G934" s="34"/>
      <c r="H934" s="34"/>
      <c r="I934" s="34"/>
      <c r="J934" s="31"/>
    </row>
    <row r="935" spans="1:10" x14ac:dyDescent="0.15">
      <c r="A935" s="34"/>
      <c r="B935" s="34"/>
      <c r="C935" s="34"/>
      <c r="D935" s="34"/>
      <c r="E935" s="34"/>
      <c r="F935" s="34"/>
      <c r="G935" s="34"/>
      <c r="H935" s="34"/>
      <c r="I935" s="34"/>
      <c r="J935" s="31"/>
    </row>
    <row r="936" spans="1:10" x14ac:dyDescent="0.15">
      <c r="A936" s="34"/>
      <c r="B936" s="34"/>
      <c r="C936" s="34"/>
      <c r="D936" s="34"/>
      <c r="E936" s="34"/>
      <c r="F936" s="34"/>
      <c r="G936" s="34"/>
      <c r="H936" s="34"/>
      <c r="I936" s="34"/>
      <c r="J936" s="31"/>
    </row>
    <row r="937" spans="1:10" x14ac:dyDescent="0.15">
      <c r="A937" s="34"/>
      <c r="B937" s="34"/>
      <c r="C937" s="34"/>
      <c r="D937" s="34"/>
      <c r="E937" s="34"/>
      <c r="F937" s="34"/>
      <c r="G937" s="34"/>
      <c r="H937" s="34"/>
      <c r="I937" s="34"/>
      <c r="J937" s="31"/>
    </row>
    <row r="938" spans="1:10" x14ac:dyDescent="0.15">
      <c r="A938" s="34"/>
      <c r="B938" s="34"/>
      <c r="C938" s="34"/>
      <c r="D938" s="34"/>
      <c r="E938" s="34"/>
      <c r="F938" s="34"/>
      <c r="G938" s="34"/>
      <c r="H938" s="34"/>
      <c r="I938" s="34"/>
      <c r="J938" s="31"/>
    </row>
    <row r="939" spans="1:10" x14ac:dyDescent="0.15">
      <c r="A939" s="34"/>
      <c r="B939" s="34"/>
      <c r="C939" s="34"/>
      <c r="D939" s="34"/>
      <c r="E939" s="34"/>
      <c r="F939" s="34"/>
      <c r="G939" s="34"/>
      <c r="H939" s="34"/>
      <c r="I939" s="34"/>
      <c r="J939" s="31"/>
    </row>
    <row r="940" spans="1:10" x14ac:dyDescent="0.15">
      <c r="A940" s="34"/>
      <c r="B940" s="34"/>
      <c r="C940" s="34"/>
      <c r="D940" s="34"/>
      <c r="E940" s="34"/>
      <c r="F940" s="34"/>
      <c r="G940" s="34"/>
      <c r="H940" s="34"/>
      <c r="I940" s="34"/>
      <c r="J940" s="31"/>
    </row>
    <row r="941" spans="1:10" x14ac:dyDescent="0.15">
      <c r="A941" s="34"/>
      <c r="B941" s="34"/>
      <c r="C941" s="34"/>
      <c r="D941" s="34"/>
      <c r="E941" s="34"/>
      <c r="F941" s="34"/>
      <c r="G941" s="34"/>
      <c r="H941" s="34"/>
      <c r="I941" s="34"/>
      <c r="J941" s="31"/>
    </row>
    <row r="942" spans="1:10" x14ac:dyDescent="0.15">
      <c r="A942" s="34"/>
      <c r="B942" s="34"/>
      <c r="C942" s="34"/>
      <c r="D942" s="34"/>
      <c r="E942" s="34"/>
      <c r="F942" s="34"/>
      <c r="G942" s="34"/>
      <c r="H942" s="34"/>
      <c r="I942" s="34"/>
      <c r="J942" s="31"/>
    </row>
    <row r="943" spans="1:10" x14ac:dyDescent="0.15">
      <c r="A943" s="34"/>
      <c r="B943" s="34"/>
      <c r="C943" s="34"/>
      <c r="D943" s="34"/>
      <c r="E943" s="34"/>
      <c r="F943" s="34"/>
      <c r="G943" s="34"/>
      <c r="H943" s="34"/>
      <c r="I943" s="34"/>
      <c r="J943" s="31"/>
    </row>
    <row r="944" spans="1:10" x14ac:dyDescent="0.15">
      <c r="A944" s="34"/>
      <c r="B944" s="34"/>
      <c r="C944" s="34"/>
      <c r="D944" s="34"/>
      <c r="E944" s="34"/>
      <c r="F944" s="34"/>
      <c r="G944" s="34"/>
      <c r="H944" s="34"/>
      <c r="I944" s="34"/>
      <c r="J944" s="31"/>
    </row>
    <row r="945" spans="1:10" x14ac:dyDescent="0.15">
      <c r="A945" s="34"/>
      <c r="B945" s="34"/>
      <c r="C945" s="34"/>
      <c r="D945" s="34"/>
      <c r="E945" s="34"/>
      <c r="F945" s="34"/>
      <c r="G945" s="34"/>
      <c r="H945" s="34"/>
      <c r="I945" s="34"/>
      <c r="J945" s="31"/>
    </row>
    <row r="946" spans="1:10" x14ac:dyDescent="0.15">
      <c r="A946" s="34"/>
      <c r="B946" s="34"/>
      <c r="C946" s="34"/>
      <c r="D946" s="34"/>
      <c r="E946" s="34"/>
      <c r="F946" s="34"/>
      <c r="G946" s="34"/>
      <c r="H946" s="34"/>
      <c r="I946" s="34"/>
      <c r="J946" s="31"/>
    </row>
    <row r="947" spans="1:10" x14ac:dyDescent="0.15">
      <c r="A947" s="34"/>
      <c r="B947" s="34"/>
      <c r="C947" s="34"/>
      <c r="D947" s="34"/>
      <c r="E947" s="34"/>
      <c r="F947" s="34"/>
      <c r="G947" s="34"/>
      <c r="H947" s="34"/>
      <c r="I947" s="34"/>
      <c r="J947" s="31"/>
    </row>
    <row r="948" spans="1:10" x14ac:dyDescent="0.15">
      <c r="A948" s="34"/>
      <c r="B948" s="34"/>
      <c r="C948" s="34"/>
      <c r="D948" s="34"/>
      <c r="E948" s="34"/>
      <c r="F948" s="34"/>
      <c r="G948" s="34"/>
      <c r="H948" s="34"/>
      <c r="I948" s="34"/>
      <c r="J948" s="31"/>
    </row>
    <row r="949" spans="1:10" x14ac:dyDescent="0.15">
      <c r="A949" s="34"/>
      <c r="B949" s="34"/>
      <c r="C949" s="34"/>
      <c r="D949" s="34"/>
      <c r="E949" s="34"/>
      <c r="F949" s="34"/>
      <c r="G949" s="34"/>
      <c r="H949" s="34"/>
      <c r="I949" s="34"/>
      <c r="J949" s="31"/>
    </row>
    <row r="950" spans="1:10" x14ac:dyDescent="0.15">
      <c r="A950" s="34"/>
      <c r="B950" s="34"/>
      <c r="C950" s="34"/>
      <c r="D950" s="34"/>
      <c r="E950" s="34"/>
      <c r="F950" s="34"/>
      <c r="G950" s="34"/>
      <c r="H950" s="34"/>
      <c r="I950" s="34"/>
      <c r="J950" s="31"/>
    </row>
    <row r="951" spans="1:10" x14ac:dyDescent="0.15">
      <c r="A951" s="34"/>
      <c r="B951" s="34"/>
      <c r="C951" s="34"/>
      <c r="D951" s="34"/>
      <c r="E951" s="34"/>
      <c r="F951" s="34"/>
      <c r="G951" s="34"/>
      <c r="H951" s="34"/>
      <c r="I951" s="34"/>
      <c r="J951" s="31"/>
    </row>
    <row r="952" spans="1:10" x14ac:dyDescent="0.15">
      <c r="A952" s="34"/>
      <c r="B952" s="34"/>
      <c r="C952" s="34"/>
      <c r="D952" s="34"/>
      <c r="E952" s="34"/>
      <c r="F952" s="34"/>
      <c r="G952" s="34"/>
      <c r="H952" s="34"/>
      <c r="I952" s="34"/>
      <c r="J952" s="31"/>
    </row>
    <row r="953" spans="1:10" x14ac:dyDescent="0.15">
      <c r="A953" s="34"/>
      <c r="B953" s="34"/>
      <c r="C953" s="34"/>
      <c r="D953" s="34"/>
      <c r="E953" s="34"/>
      <c r="F953" s="34"/>
      <c r="G953" s="34"/>
      <c r="H953" s="34"/>
      <c r="I953" s="34"/>
      <c r="J953" s="31"/>
    </row>
    <row r="954" spans="1:10" x14ac:dyDescent="0.15">
      <c r="A954" s="34"/>
      <c r="B954" s="34"/>
      <c r="C954" s="34"/>
      <c r="D954" s="34"/>
      <c r="E954" s="34"/>
      <c r="F954" s="34"/>
      <c r="G954" s="34"/>
      <c r="H954" s="34"/>
      <c r="I954" s="34"/>
      <c r="J954" s="31"/>
    </row>
    <row r="955" spans="1:10" x14ac:dyDescent="0.15">
      <c r="A955" s="34"/>
      <c r="B955" s="34"/>
      <c r="C955" s="34"/>
      <c r="D955" s="34"/>
      <c r="E955" s="34"/>
      <c r="F955" s="34"/>
      <c r="G955" s="34"/>
      <c r="H955" s="34"/>
      <c r="I955" s="34"/>
      <c r="J955" s="31"/>
    </row>
    <row r="956" spans="1:10" x14ac:dyDescent="0.15">
      <c r="A956" s="34"/>
      <c r="B956" s="34"/>
      <c r="C956" s="34"/>
      <c r="D956" s="34"/>
      <c r="E956" s="34"/>
      <c r="F956" s="34"/>
      <c r="G956" s="34"/>
      <c r="H956" s="34"/>
      <c r="I956" s="34"/>
      <c r="J956" s="31"/>
    </row>
    <row r="957" spans="1:10" x14ac:dyDescent="0.15">
      <c r="A957" s="34"/>
      <c r="B957" s="34"/>
      <c r="C957" s="34"/>
      <c r="D957" s="34"/>
      <c r="E957" s="34"/>
      <c r="F957" s="34"/>
      <c r="G957" s="34"/>
      <c r="H957" s="34"/>
      <c r="I957" s="34"/>
      <c r="J957" s="31"/>
    </row>
    <row r="958" spans="1:10" x14ac:dyDescent="0.15">
      <c r="A958" s="34"/>
      <c r="B958" s="34"/>
      <c r="C958" s="34"/>
      <c r="D958" s="34"/>
      <c r="E958" s="34"/>
      <c r="F958" s="34"/>
      <c r="G958" s="34"/>
      <c r="H958" s="34"/>
      <c r="I958" s="34"/>
      <c r="J958" s="31"/>
    </row>
    <row r="959" spans="1:10" x14ac:dyDescent="0.15">
      <c r="A959" s="34"/>
      <c r="B959" s="34"/>
      <c r="C959" s="34"/>
      <c r="D959" s="34"/>
      <c r="E959" s="34"/>
      <c r="F959" s="34"/>
      <c r="G959" s="34"/>
      <c r="H959" s="34"/>
      <c r="I959" s="34"/>
      <c r="J959" s="31"/>
    </row>
    <row r="960" spans="1:10" x14ac:dyDescent="0.15">
      <c r="A960" s="34"/>
      <c r="B960" s="34"/>
      <c r="C960" s="34"/>
      <c r="D960" s="34"/>
      <c r="E960" s="34"/>
      <c r="F960" s="34"/>
      <c r="G960" s="34"/>
      <c r="H960" s="34"/>
      <c r="I960" s="34"/>
      <c r="J960" s="31"/>
    </row>
    <row r="961" spans="1:10" x14ac:dyDescent="0.15">
      <c r="A961" s="34"/>
      <c r="B961" s="34"/>
      <c r="C961" s="34"/>
      <c r="D961" s="34"/>
      <c r="E961" s="34"/>
      <c r="F961" s="34"/>
      <c r="G961" s="34"/>
      <c r="H961" s="34"/>
      <c r="I961" s="34"/>
      <c r="J961" s="31"/>
    </row>
    <row r="962" spans="1:10" x14ac:dyDescent="0.15">
      <c r="A962" s="34"/>
      <c r="B962" s="34"/>
      <c r="C962" s="34"/>
      <c r="D962" s="34"/>
      <c r="E962" s="34"/>
      <c r="F962" s="34"/>
      <c r="G962" s="34"/>
      <c r="H962" s="34"/>
      <c r="I962" s="34"/>
      <c r="J962" s="31"/>
    </row>
    <row r="963" spans="1:10" x14ac:dyDescent="0.15">
      <c r="A963" s="34"/>
      <c r="B963" s="34"/>
      <c r="C963" s="34"/>
      <c r="D963" s="34"/>
      <c r="E963" s="34"/>
      <c r="F963" s="34"/>
      <c r="G963" s="34"/>
      <c r="H963" s="34"/>
      <c r="I963" s="34"/>
      <c r="J963" s="31"/>
    </row>
    <row r="964" spans="1:10" x14ac:dyDescent="0.15">
      <c r="A964" s="34"/>
      <c r="B964" s="34"/>
      <c r="C964" s="34"/>
      <c r="D964" s="34"/>
      <c r="E964" s="34"/>
      <c r="F964" s="34"/>
      <c r="G964" s="34"/>
      <c r="H964" s="34"/>
      <c r="I964" s="34"/>
      <c r="J964" s="31"/>
    </row>
    <row r="965" spans="1:10" x14ac:dyDescent="0.15">
      <c r="A965" s="34"/>
      <c r="B965" s="34"/>
      <c r="C965" s="34"/>
      <c r="D965" s="34"/>
      <c r="E965" s="34"/>
      <c r="F965" s="34"/>
      <c r="G965" s="34"/>
      <c r="H965" s="34"/>
      <c r="I965" s="34"/>
      <c r="J965" s="31"/>
    </row>
    <row r="966" spans="1:10" x14ac:dyDescent="0.15">
      <c r="A966" s="34"/>
      <c r="B966" s="34"/>
      <c r="C966" s="34"/>
      <c r="D966" s="34"/>
      <c r="E966" s="34"/>
      <c r="F966" s="34"/>
      <c r="G966" s="34"/>
      <c r="H966" s="34"/>
      <c r="I966" s="34"/>
      <c r="J966" s="31"/>
    </row>
    <row r="967" spans="1:10" x14ac:dyDescent="0.15">
      <c r="A967" s="34"/>
      <c r="B967" s="34"/>
      <c r="C967" s="34"/>
      <c r="D967" s="34"/>
      <c r="E967" s="34"/>
      <c r="F967" s="34"/>
      <c r="G967" s="34"/>
      <c r="H967" s="34"/>
      <c r="I967" s="34"/>
      <c r="J967" s="31"/>
    </row>
    <row r="968" spans="1:10" x14ac:dyDescent="0.15">
      <c r="A968" s="34"/>
      <c r="B968" s="34"/>
      <c r="C968" s="34"/>
      <c r="D968" s="34"/>
      <c r="E968" s="34"/>
      <c r="F968" s="34"/>
      <c r="G968" s="34"/>
      <c r="H968" s="34"/>
      <c r="I968" s="34"/>
      <c r="J968" s="31"/>
    </row>
    <row r="969" spans="1:10" x14ac:dyDescent="0.15">
      <c r="A969" s="34"/>
      <c r="B969" s="34"/>
      <c r="C969" s="34"/>
      <c r="D969" s="34"/>
      <c r="E969" s="34"/>
      <c r="F969" s="34"/>
      <c r="G969" s="34"/>
      <c r="H969" s="34"/>
      <c r="I969" s="34"/>
      <c r="J969" s="31"/>
    </row>
    <row r="970" spans="1:10" x14ac:dyDescent="0.15">
      <c r="A970" s="34"/>
      <c r="B970" s="34"/>
      <c r="C970" s="34"/>
      <c r="D970" s="34"/>
      <c r="E970" s="34"/>
      <c r="F970" s="34"/>
      <c r="G970" s="34"/>
      <c r="H970" s="34"/>
      <c r="I970" s="34"/>
      <c r="J970" s="31"/>
    </row>
    <row r="971" spans="1:10" x14ac:dyDescent="0.15">
      <c r="A971" s="34"/>
      <c r="B971" s="34"/>
      <c r="C971" s="34"/>
      <c r="D971" s="34"/>
      <c r="E971" s="34"/>
      <c r="F971" s="34"/>
      <c r="G971" s="34"/>
      <c r="H971" s="34"/>
      <c r="I971" s="34"/>
      <c r="J971" s="31"/>
    </row>
    <row r="972" spans="1:10" x14ac:dyDescent="0.15">
      <c r="A972" s="34"/>
      <c r="B972" s="34"/>
      <c r="C972" s="34"/>
      <c r="D972" s="34"/>
      <c r="E972" s="34"/>
      <c r="F972" s="34"/>
      <c r="G972" s="34"/>
      <c r="H972" s="34"/>
      <c r="I972" s="34"/>
      <c r="J972" s="31"/>
    </row>
    <row r="973" spans="1:10" x14ac:dyDescent="0.15">
      <c r="A973" s="34"/>
      <c r="B973" s="34"/>
      <c r="C973" s="34"/>
      <c r="D973" s="34"/>
      <c r="E973" s="34"/>
      <c r="F973" s="34"/>
      <c r="G973" s="34"/>
      <c r="H973" s="34"/>
      <c r="I973" s="34"/>
      <c r="J973" s="31"/>
    </row>
    <row r="974" spans="1:10" x14ac:dyDescent="0.15">
      <c r="A974" s="34"/>
      <c r="B974" s="34"/>
      <c r="C974" s="34"/>
      <c r="D974" s="34"/>
      <c r="E974" s="34"/>
      <c r="F974" s="34"/>
      <c r="G974" s="34"/>
      <c r="H974" s="34"/>
      <c r="I974" s="34"/>
      <c r="J974" s="31"/>
    </row>
    <row r="975" spans="1:10" x14ac:dyDescent="0.15">
      <c r="A975" s="34"/>
      <c r="B975" s="34"/>
      <c r="C975" s="34"/>
      <c r="D975" s="34"/>
      <c r="E975" s="34"/>
      <c r="F975" s="34"/>
      <c r="G975" s="34"/>
      <c r="H975" s="34"/>
      <c r="I975" s="34"/>
      <c r="J975" s="31"/>
    </row>
    <row r="976" spans="1:10" x14ac:dyDescent="0.15">
      <c r="A976" s="34"/>
      <c r="B976" s="34"/>
      <c r="C976" s="34"/>
      <c r="D976" s="34"/>
      <c r="E976" s="34"/>
      <c r="F976" s="34"/>
      <c r="G976" s="34"/>
      <c r="H976" s="34"/>
      <c r="I976" s="34"/>
      <c r="J976" s="31"/>
    </row>
    <row r="977" spans="1:10" x14ac:dyDescent="0.15">
      <c r="A977" s="34"/>
      <c r="B977" s="34"/>
      <c r="C977" s="34"/>
      <c r="D977" s="34"/>
      <c r="E977" s="34"/>
      <c r="F977" s="34"/>
      <c r="G977" s="34"/>
      <c r="H977" s="34"/>
      <c r="I977" s="34"/>
      <c r="J977" s="31"/>
    </row>
    <row r="978" spans="1:10" x14ac:dyDescent="0.15">
      <c r="A978" s="34"/>
      <c r="B978" s="34"/>
      <c r="C978" s="34"/>
      <c r="D978" s="34"/>
      <c r="E978" s="34"/>
      <c r="F978" s="34"/>
      <c r="G978" s="34"/>
      <c r="H978" s="34"/>
      <c r="I978" s="34"/>
      <c r="J978" s="31"/>
    </row>
    <row r="979" spans="1:10" x14ac:dyDescent="0.15">
      <c r="A979" s="34"/>
      <c r="B979" s="34"/>
      <c r="C979" s="34"/>
      <c r="D979" s="34"/>
      <c r="E979" s="34"/>
      <c r="F979" s="34"/>
      <c r="G979" s="34"/>
      <c r="H979" s="34"/>
      <c r="I979" s="34"/>
      <c r="J979" s="31"/>
    </row>
    <row r="980" spans="1:10" x14ac:dyDescent="0.15">
      <c r="A980" s="34"/>
      <c r="B980" s="34"/>
      <c r="C980" s="34"/>
      <c r="D980" s="34"/>
      <c r="E980" s="34"/>
      <c r="F980" s="34"/>
      <c r="G980" s="34"/>
      <c r="H980" s="34"/>
      <c r="I980" s="34"/>
      <c r="J980" s="31"/>
    </row>
    <row r="981" spans="1:10" x14ac:dyDescent="0.15">
      <c r="A981" s="34"/>
      <c r="B981" s="34"/>
      <c r="C981" s="34"/>
      <c r="D981" s="34"/>
      <c r="E981" s="34"/>
      <c r="F981" s="34"/>
      <c r="G981" s="34"/>
      <c r="H981" s="34"/>
      <c r="I981" s="34"/>
      <c r="J981" s="31"/>
    </row>
    <row r="982" spans="1:10" x14ac:dyDescent="0.15">
      <c r="A982" s="34"/>
      <c r="B982" s="34"/>
      <c r="C982" s="34"/>
      <c r="D982" s="34"/>
      <c r="E982" s="34"/>
      <c r="F982" s="34"/>
      <c r="G982" s="34"/>
      <c r="H982" s="34"/>
      <c r="I982" s="34"/>
      <c r="J982" s="31"/>
    </row>
    <row r="983" spans="1:10" x14ac:dyDescent="0.15">
      <c r="A983" s="34"/>
      <c r="B983" s="34"/>
      <c r="C983" s="34"/>
      <c r="D983" s="34"/>
      <c r="E983" s="34"/>
      <c r="F983" s="34"/>
      <c r="G983" s="34"/>
      <c r="H983" s="34"/>
      <c r="I983" s="34"/>
      <c r="J983" s="31"/>
    </row>
    <row r="984" spans="1:10" x14ac:dyDescent="0.15">
      <c r="A984" s="34"/>
      <c r="B984" s="34"/>
      <c r="C984" s="34"/>
      <c r="D984" s="34"/>
      <c r="E984" s="34"/>
      <c r="F984" s="34"/>
      <c r="G984" s="34"/>
      <c r="H984" s="34"/>
      <c r="I984" s="34"/>
      <c r="J984" s="31"/>
    </row>
    <row r="985" spans="1:10" x14ac:dyDescent="0.15">
      <c r="A985" s="34"/>
      <c r="B985" s="34"/>
      <c r="C985" s="34"/>
      <c r="D985" s="34"/>
      <c r="E985" s="34"/>
      <c r="F985" s="34"/>
      <c r="G985" s="34"/>
      <c r="H985" s="34"/>
      <c r="I985" s="34"/>
      <c r="J985" s="31"/>
    </row>
    <row r="986" spans="1:10" x14ac:dyDescent="0.15">
      <c r="A986" s="34"/>
      <c r="B986" s="34"/>
      <c r="C986" s="34"/>
      <c r="D986" s="34"/>
      <c r="E986" s="34"/>
      <c r="F986" s="34"/>
      <c r="G986" s="34"/>
      <c r="H986" s="34"/>
      <c r="I986" s="34"/>
      <c r="J986" s="31"/>
    </row>
    <row r="987" spans="1:10" x14ac:dyDescent="0.15">
      <c r="A987" s="34"/>
      <c r="B987" s="34"/>
      <c r="C987" s="34"/>
      <c r="D987" s="34"/>
      <c r="E987" s="34"/>
      <c r="F987" s="34"/>
      <c r="G987" s="34"/>
      <c r="H987" s="34"/>
      <c r="I987" s="34"/>
      <c r="J987" s="31"/>
    </row>
    <row r="988" spans="1:10" x14ac:dyDescent="0.15">
      <c r="A988" s="34"/>
      <c r="B988" s="34"/>
      <c r="C988" s="34"/>
      <c r="D988" s="34"/>
      <c r="E988" s="34"/>
      <c r="F988" s="34"/>
      <c r="G988" s="34"/>
      <c r="H988" s="34"/>
      <c r="I988" s="34"/>
      <c r="J988" s="31"/>
    </row>
    <row r="989" spans="1:10" x14ac:dyDescent="0.15">
      <c r="A989" s="34"/>
      <c r="B989" s="34"/>
      <c r="C989" s="34"/>
      <c r="D989" s="34"/>
      <c r="E989" s="34"/>
      <c r="F989" s="34"/>
      <c r="G989" s="34"/>
      <c r="H989" s="34"/>
      <c r="I989" s="34"/>
      <c r="J989" s="31"/>
    </row>
    <row r="990" spans="1:10" x14ac:dyDescent="0.15">
      <c r="A990" s="34"/>
      <c r="B990" s="34"/>
      <c r="C990" s="34"/>
      <c r="D990" s="34"/>
      <c r="E990" s="34"/>
      <c r="F990" s="34"/>
      <c r="G990" s="34"/>
      <c r="H990" s="34"/>
      <c r="I990" s="34"/>
      <c r="J990" s="31"/>
    </row>
    <row r="991" spans="1:10" x14ac:dyDescent="0.15">
      <c r="A991" s="34"/>
      <c r="B991" s="34"/>
      <c r="C991" s="34"/>
      <c r="D991" s="34"/>
      <c r="E991" s="34"/>
      <c r="F991" s="34"/>
      <c r="G991" s="34"/>
      <c r="H991" s="34"/>
      <c r="I991" s="34"/>
      <c r="J991" s="31"/>
    </row>
    <row r="992" spans="1:10" x14ac:dyDescent="0.15">
      <c r="A992" s="34"/>
      <c r="B992" s="34"/>
      <c r="C992" s="34"/>
      <c r="D992" s="34"/>
      <c r="E992" s="34"/>
      <c r="F992" s="34"/>
      <c r="G992" s="34"/>
      <c r="H992" s="34"/>
      <c r="I992" s="34"/>
      <c r="J992" s="31"/>
    </row>
    <row r="993" spans="1:10" x14ac:dyDescent="0.15">
      <c r="A993" s="34"/>
      <c r="B993" s="34"/>
      <c r="C993" s="34"/>
      <c r="D993" s="34"/>
      <c r="E993" s="34"/>
      <c r="F993" s="34"/>
      <c r="G993" s="34"/>
      <c r="H993" s="34"/>
      <c r="I993" s="34"/>
      <c r="J993" s="31"/>
    </row>
    <row r="994" spans="1:10" x14ac:dyDescent="0.15">
      <c r="A994" s="34"/>
      <c r="B994" s="34"/>
      <c r="C994" s="34"/>
      <c r="D994" s="34"/>
      <c r="E994" s="34"/>
      <c r="F994" s="34"/>
      <c r="G994" s="34"/>
      <c r="H994" s="34"/>
      <c r="I994" s="34"/>
      <c r="J994" s="31"/>
    </row>
    <row r="995" spans="1:10" x14ac:dyDescent="0.15">
      <c r="A995" s="34"/>
      <c r="B995" s="34"/>
      <c r="C995" s="34"/>
      <c r="D995" s="34"/>
      <c r="E995" s="34"/>
      <c r="F995" s="34"/>
      <c r="G995" s="34"/>
      <c r="H995" s="34"/>
      <c r="I995" s="34"/>
      <c r="J995" s="31"/>
    </row>
    <row r="996" spans="1:10" x14ac:dyDescent="0.15">
      <c r="A996" s="34"/>
      <c r="B996" s="34"/>
      <c r="C996" s="34"/>
      <c r="D996" s="34"/>
      <c r="E996" s="34"/>
      <c r="F996" s="34"/>
      <c r="G996" s="34"/>
      <c r="H996" s="34"/>
      <c r="I996" s="34"/>
      <c r="J996" s="31"/>
    </row>
    <row r="997" spans="1:10" x14ac:dyDescent="0.15">
      <c r="A997" s="34"/>
      <c r="B997" s="34"/>
      <c r="C997" s="34"/>
      <c r="D997" s="34"/>
      <c r="E997" s="34"/>
      <c r="F997" s="34"/>
      <c r="G997" s="34"/>
      <c r="H997" s="34"/>
      <c r="I997" s="34"/>
      <c r="J997" s="31"/>
    </row>
    <row r="998" spans="1:10" x14ac:dyDescent="0.15">
      <c r="A998" s="34"/>
      <c r="B998" s="34"/>
      <c r="C998" s="34"/>
      <c r="D998" s="34"/>
      <c r="E998" s="34"/>
      <c r="F998" s="34"/>
      <c r="G998" s="34"/>
      <c r="H998" s="34"/>
      <c r="I998" s="34"/>
      <c r="J998" s="31"/>
    </row>
    <row r="999" spans="1:10" x14ac:dyDescent="0.15">
      <c r="A999" s="34"/>
      <c r="B999" s="34"/>
      <c r="C999" s="34"/>
      <c r="D999" s="34"/>
      <c r="E999" s="34"/>
      <c r="F999" s="34"/>
      <c r="G999" s="34"/>
      <c r="H999" s="34"/>
      <c r="I999" s="34"/>
      <c r="J999" s="31"/>
    </row>
    <row r="1000" spans="1:10" x14ac:dyDescent="0.15">
      <c r="A1000" s="34"/>
      <c r="B1000" s="34"/>
      <c r="C1000" s="34"/>
      <c r="D1000" s="34"/>
      <c r="E1000" s="34"/>
      <c r="F1000" s="34"/>
      <c r="G1000" s="34"/>
      <c r="H1000" s="34"/>
      <c r="I1000" s="34"/>
      <c r="J1000" s="31"/>
    </row>
    <row r="1001" spans="1:10" x14ac:dyDescent="0.15">
      <c r="A1001" s="34"/>
      <c r="B1001" s="34"/>
      <c r="C1001" s="34"/>
      <c r="D1001" s="34"/>
      <c r="E1001" s="34"/>
      <c r="F1001" s="34"/>
      <c r="G1001" s="34"/>
      <c r="H1001" s="34"/>
      <c r="I1001" s="34"/>
      <c r="J1001" s="31"/>
    </row>
    <row r="1002" spans="1:10" x14ac:dyDescent="0.15">
      <c r="A1002" s="34"/>
      <c r="B1002" s="34"/>
      <c r="C1002" s="34"/>
      <c r="D1002" s="34"/>
      <c r="E1002" s="34"/>
      <c r="F1002" s="34"/>
      <c r="G1002" s="34"/>
      <c r="H1002" s="34"/>
      <c r="I1002" s="34"/>
      <c r="J1002" s="31"/>
    </row>
    <row r="1003" spans="1:10" x14ac:dyDescent="0.15">
      <c r="A1003" s="34"/>
      <c r="B1003" s="34"/>
      <c r="C1003" s="34"/>
      <c r="D1003" s="34"/>
      <c r="E1003" s="34"/>
      <c r="F1003" s="34"/>
      <c r="G1003" s="34"/>
      <c r="H1003" s="34"/>
      <c r="I1003" s="34"/>
      <c r="J1003" s="31"/>
    </row>
    <row r="1004" spans="1:10" x14ac:dyDescent="0.15">
      <c r="A1004" s="34"/>
      <c r="B1004" s="34"/>
      <c r="C1004" s="34"/>
      <c r="D1004" s="34"/>
      <c r="E1004" s="34"/>
      <c r="F1004" s="34"/>
      <c r="G1004" s="34"/>
      <c r="H1004" s="34"/>
      <c r="I1004" s="34"/>
      <c r="J1004" s="31"/>
    </row>
    <row r="1005" spans="1:10" x14ac:dyDescent="0.15">
      <c r="A1005" s="34"/>
      <c r="B1005" s="34"/>
      <c r="C1005" s="34"/>
      <c r="D1005" s="34"/>
      <c r="E1005" s="34"/>
      <c r="F1005" s="34"/>
      <c r="G1005" s="34"/>
      <c r="H1005" s="34"/>
      <c r="I1005" s="34"/>
      <c r="J1005" s="31"/>
    </row>
    <row r="1006" spans="1:10" x14ac:dyDescent="0.15">
      <c r="A1006" s="34"/>
      <c r="B1006" s="34"/>
      <c r="C1006" s="34"/>
      <c r="D1006" s="34"/>
      <c r="E1006" s="34"/>
      <c r="F1006" s="34"/>
      <c r="G1006" s="34"/>
      <c r="H1006" s="34"/>
      <c r="I1006" s="34"/>
      <c r="J1006" s="31"/>
    </row>
    <row r="1007" spans="1:10" x14ac:dyDescent="0.15">
      <c r="A1007" s="34"/>
      <c r="B1007" s="34"/>
      <c r="C1007" s="34"/>
      <c r="D1007" s="34"/>
      <c r="E1007" s="34"/>
      <c r="F1007" s="34"/>
      <c r="G1007" s="34"/>
      <c r="H1007" s="34"/>
      <c r="I1007" s="34"/>
      <c r="J1007" s="31"/>
    </row>
    <row r="1008" spans="1:10" x14ac:dyDescent="0.15">
      <c r="A1008" s="34"/>
      <c r="B1008" s="34"/>
      <c r="C1008" s="34"/>
      <c r="D1008" s="34"/>
      <c r="E1008" s="34"/>
      <c r="F1008" s="34"/>
      <c r="G1008" s="34"/>
      <c r="H1008" s="34"/>
      <c r="I1008" s="34"/>
      <c r="J1008" s="31"/>
    </row>
    <row r="1009" spans="1:10" x14ac:dyDescent="0.15">
      <c r="A1009" s="34"/>
      <c r="B1009" s="34"/>
      <c r="C1009" s="34"/>
      <c r="D1009" s="34"/>
      <c r="E1009" s="34"/>
      <c r="F1009" s="34"/>
      <c r="G1009" s="34"/>
      <c r="H1009" s="34"/>
      <c r="I1009" s="34"/>
      <c r="J1009" s="31"/>
    </row>
    <row r="1010" spans="1:10" x14ac:dyDescent="0.15">
      <c r="A1010" s="34"/>
      <c r="B1010" s="34"/>
      <c r="C1010" s="34"/>
      <c r="D1010" s="34"/>
      <c r="E1010" s="34"/>
      <c r="F1010" s="34"/>
      <c r="G1010" s="34"/>
      <c r="H1010" s="34"/>
      <c r="I1010" s="34"/>
      <c r="J1010" s="31"/>
    </row>
    <row r="1011" spans="1:10" x14ac:dyDescent="0.15">
      <c r="A1011" s="34"/>
      <c r="B1011" s="34"/>
      <c r="C1011" s="34"/>
      <c r="D1011" s="34"/>
      <c r="E1011" s="34"/>
      <c r="F1011" s="34"/>
      <c r="G1011" s="34"/>
      <c r="H1011" s="34"/>
      <c r="I1011" s="34"/>
      <c r="J1011" s="31"/>
    </row>
    <row r="1012" spans="1:10" x14ac:dyDescent="0.15">
      <c r="A1012" s="34"/>
      <c r="B1012" s="34"/>
      <c r="C1012" s="34"/>
      <c r="D1012" s="34"/>
      <c r="E1012" s="34"/>
      <c r="F1012" s="34"/>
      <c r="G1012" s="34"/>
      <c r="H1012" s="34"/>
      <c r="I1012" s="34"/>
      <c r="J1012" s="31"/>
    </row>
    <row r="1013" spans="1:10" x14ac:dyDescent="0.15">
      <c r="A1013" s="34"/>
      <c r="B1013" s="34"/>
      <c r="C1013" s="34"/>
      <c r="D1013" s="34"/>
      <c r="E1013" s="34"/>
      <c r="F1013" s="34"/>
      <c r="G1013" s="34"/>
      <c r="H1013" s="34"/>
      <c r="I1013" s="34"/>
      <c r="J1013" s="31"/>
    </row>
    <row r="1014" spans="1:10" x14ac:dyDescent="0.15">
      <c r="A1014" s="34"/>
      <c r="B1014" s="34"/>
      <c r="C1014" s="34"/>
      <c r="D1014" s="34"/>
      <c r="E1014" s="34"/>
      <c r="F1014" s="34"/>
      <c r="G1014" s="34"/>
      <c r="H1014" s="34"/>
      <c r="I1014" s="34"/>
      <c r="J1014" s="31"/>
    </row>
    <row r="1015" spans="1:10" x14ac:dyDescent="0.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1"/>
    </row>
    <row r="1016" spans="1:10" x14ac:dyDescent="0.15">
      <c r="A1016" s="34"/>
      <c r="B1016" s="34"/>
      <c r="C1016" s="34"/>
      <c r="D1016" s="34"/>
      <c r="E1016" s="34"/>
      <c r="F1016" s="34"/>
      <c r="G1016" s="34"/>
      <c r="H1016" s="34"/>
      <c r="I1016" s="34"/>
      <c r="J1016" s="31"/>
    </row>
    <row r="1017" spans="1:10" x14ac:dyDescent="0.15">
      <c r="A1017" s="34"/>
      <c r="B1017" s="34"/>
      <c r="C1017" s="34"/>
      <c r="D1017" s="34"/>
      <c r="E1017" s="34"/>
      <c r="F1017" s="34"/>
      <c r="G1017" s="34"/>
      <c r="H1017" s="34"/>
      <c r="I1017" s="34"/>
      <c r="J1017" s="31"/>
    </row>
    <row r="1018" spans="1:10" x14ac:dyDescent="0.15">
      <c r="A1018" s="34"/>
      <c r="B1018" s="34"/>
      <c r="C1018" s="34"/>
      <c r="D1018" s="34"/>
      <c r="E1018" s="34"/>
      <c r="F1018" s="34"/>
      <c r="G1018" s="34"/>
      <c r="H1018" s="34"/>
      <c r="I1018" s="34"/>
      <c r="J1018" s="31"/>
    </row>
    <row r="1019" spans="1:10" x14ac:dyDescent="0.15">
      <c r="A1019" s="34"/>
      <c r="B1019" s="34"/>
      <c r="C1019" s="34"/>
      <c r="D1019" s="34"/>
      <c r="E1019" s="34"/>
      <c r="F1019" s="34"/>
      <c r="G1019" s="34"/>
      <c r="H1019" s="34"/>
      <c r="I1019" s="34"/>
      <c r="J1019" s="31"/>
    </row>
    <row r="1020" spans="1:10" x14ac:dyDescent="0.15">
      <c r="A1020" s="34"/>
      <c r="B1020" s="34"/>
      <c r="C1020" s="34"/>
      <c r="D1020" s="34"/>
      <c r="E1020" s="34"/>
      <c r="F1020" s="34"/>
      <c r="G1020" s="34"/>
      <c r="H1020" s="34"/>
      <c r="I1020" s="34"/>
      <c r="J1020" s="31"/>
    </row>
    <row r="1021" spans="1:10" x14ac:dyDescent="0.15">
      <c r="A1021" s="34"/>
      <c r="B1021" s="34"/>
      <c r="C1021" s="34"/>
      <c r="D1021" s="34"/>
      <c r="E1021" s="34"/>
      <c r="F1021" s="34"/>
      <c r="G1021" s="34"/>
      <c r="H1021" s="34"/>
      <c r="I1021" s="34"/>
      <c r="J1021" s="31"/>
    </row>
    <row r="1022" spans="1:10" x14ac:dyDescent="0.15">
      <c r="A1022" s="34"/>
      <c r="B1022" s="34"/>
      <c r="C1022" s="34"/>
      <c r="D1022" s="34"/>
      <c r="E1022" s="34"/>
      <c r="F1022" s="34"/>
      <c r="G1022" s="34"/>
      <c r="H1022" s="34"/>
      <c r="I1022" s="34"/>
      <c r="J1022" s="31"/>
    </row>
    <row r="1023" spans="1:10" x14ac:dyDescent="0.15">
      <c r="A1023" s="34"/>
      <c r="B1023" s="34"/>
      <c r="C1023" s="34"/>
      <c r="D1023" s="34"/>
      <c r="E1023" s="34"/>
      <c r="F1023" s="34"/>
      <c r="G1023" s="34"/>
      <c r="H1023" s="34"/>
      <c r="I1023" s="34"/>
      <c r="J1023" s="31"/>
    </row>
    <row r="1024" spans="1:10" x14ac:dyDescent="0.15">
      <c r="A1024" s="34"/>
      <c r="B1024" s="34"/>
      <c r="C1024" s="34"/>
      <c r="D1024" s="34"/>
      <c r="E1024" s="34"/>
      <c r="F1024" s="34"/>
      <c r="G1024" s="34"/>
      <c r="H1024" s="34"/>
      <c r="I1024" s="34"/>
      <c r="J1024" s="31"/>
    </row>
    <row r="1025" spans="1:10" x14ac:dyDescent="0.15">
      <c r="A1025" s="34"/>
      <c r="B1025" s="34"/>
      <c r="C1025" s="34"/>
      <c r="D1025" s="34"/>
      <c r="E1025" s="34"/>
      <c r="F1025" s="34"/>
      <c r="G1025" s="34"/>
      <c r="H1025" s="34"/>
      <c r="I1025" s="34"/>
      <c r="J1025" s="31"/>
    </row>
    <row r="1026" spans="1:10" x14ac:dyDescent="0.15">
      <c r="A1026" s="34"/>
      <c r="B1026" s="34"/>
      <c r="C1026" s="34"/>
      <c r="D1026" s="34"/>
      <c r="E1026" s="34"/>
      <c r="F1026" s="34"/>
      <c r="G1026" s="34"/>
      <c r="H1026" s="34"/>
      <c r="I1026" s="34"/>
      <c r="J1026" s="31"/>
    </row>
    <row r="1027" spans="1:10" x14ac:dyDescent="0.15">
      <c r="A1027" s="34"/>
      <c r="B1027" s="34"/>
      <c r="C1027" s="34"/>
      <c r="D1027" s="34"/>
      <c r="E1027" s="34"/>
      <c r="F1027" s="34"/>
      <c r="G1027" s="34"/>
      <c r="H1027" s="34"/>
      <c r="I1027" s="34"/>
      <c r="J1027" s="31"/>
    </row>
    <row r="1028" spans="1:10" x14ac:dyDescent="0.15">
      <c r="A1028" s="34"/>
      <c r="B1028" s="34"/>
      <c r="C1028" s="34"/>
      <c r="D1028" s="34"/>
      <c r="E1028" s="34"/>
      <c r="F1028" s="34"/>
      <c r="G1028" s="34"/>
      <c r="H1028" s="34"/>
      <c r="I1028" s="34"/>
      <c r="J1028" s="31"/>
    </row>
    <row r="1029" spans="1:10" x14ac:dyDescent="0.15">
      <c r="A1029" s="34"/>
      <c r="B1029" s="34"/>
      <c r="C1029" s="34"/>
      <c r="D1029" s="34"/>
      <c r="E1029" s="34"/>
      <c r="F1029" s="34"/>
      <c r="G1029" s="34"/>
      <c r="H1029" s="34"/>
      <c r="I1029" s="34"/>
      <c r="J1029" s="31"/>
    </row>
    <row r="1030" spans="1:10" x14ac:dyDescent="0.15">
      <c r="A1030" s="34"/>
      <c r="B1030" s="34"/>
      <c r="C1030" s="34"/>
      <c r="D1030" s="34"/>
      <c r="E1030" s="34"/>
      <c r="F1030" s="34"/>
      <c r="G1030" s="34"/>
      <c r="H1030" s="34"/>
      <c r="I1030" s="34"/>
      <c r="J1030" s="31"/>
    </row>
    <row r="1031" spans="1:10" x14ac:dyDescent="0.15">
      <c r="A1031" s="34"/>
      <c r="B1031" s="34"/>
      <c r="C1031" s="34"/>
      <c r="D1031" s="34"/>
      <c r="E1031" s="34"/>
      <c r="F1031" s="34"/>
      <c r="G1031" s="34"/>
      <c r="H1031" s="34"/>
      <c r="I1031" s="34"/>
      <c r="J1031" s="31"/>
    </row>
    <row r="1032" spans="1:10" x14ac:dyDescent="0.15">
      <c r="A1032" s="34"/>
      <c r="B1032" s="34"/>
      <c r="C1032" s="34"/>
      <c r="D1032" s="34"/>
      <c r="E1032" s="34"/>
      <c r="F1032" s="34"/>
      <c r="G1032" s="34"/>
      <c r="H1032" s="34"/>
      <c r="I1032" s="34"/>
      <c r="J1032" s="31"/>
    </row>
    <row r="1033" spans="1:10" x14ac:dyDescent="0.15">
      <c r="A1033" s="34"/>
      <c r="B1033" s="34"/>
      <c r="C1033" s="34"/>
      <c r="D1033" s="34"/>
      <c r="E1033" s="34"/>
      <c r="F1033" s="34"/>
      <c r="G1033" s="34"/>
      <c r="H1033" s="34"/>
      <c r="I1033" s="34"/>
      <c r="J1033" s="31"/>
    </row>
    <row r="1034" spans="1:10" x14ac:dyDescent="0.15">
      <c r="A1034" s="34"/>
      <c r="B1034" s="34"/>
      <c r="C1034" s="34"/>
      <c r="D1034" s="34"/>
      <c r="E1034" s="34"/>
      <c r="F1034" s="34"/>
      <c r="G1034" s="34"/>
      <c r="H1034" s="34"/>
      <c r="I1034" s="34"/>
      <c r="J1034" s="31"/>
    </row>
    <row r="1035" spans="1:10" x14ac:dyDescent="0.15">
      <c r="A1035" s="34"/>
      <c r="B1035" s="34"/>
      <c r="C1035" s="34"/>
      <c r="D1035" s="34"/>
      <c r="E1035" s="34"/>
      <c r="F1035" s="34"/>
      <c r="G1035" s="34"/>
      <c r="H1035" s="34"/>
      <c r="I1035" s="34"/>
      <c r="J1035" s="31"/>
    </row>
    <row r="1036" spans="1:10" x14ac:dyDescent="0.15">
      <c r="A1036" s="34"/>
      <c r="B1036" s="34"/>
      <c r="C1036" s="34"/>
      <c r="D1036" s="34"/>
      <c r="E1036" s="34"/>
      <c r="F1036" s="34"/>
      <c r="G1036" s="34"/>
      <c r="H1036" s="34"/>
      <c r="I1036" s="34"/>
      <c r="J1036" s="31"/>
    </row>
    <row r="1037" spans="1:10" x14ac:dyDescent="0.15">
      <c r="A1037" s="34"/>
      <c r="B1037" s="34"/>
      <c r="C1037" s="34"/>
      <c r="D1037" s="34"/>
      <c r="E1037" s="34"/>
      <c r="F1037" s="34"/>
      <c r="G1037" s="34"/>
      <c r="H1037" s="34"/>
      <c r="I1037" s="34"/>
      <c r="J1037" s="31"/>
    </row>
    <row r="1038" spans="1:10" x14ac:dyDescent="0.15">
      <c r="A1038" s="34"/>
      <c r="B1038" s="34"/>
      <c r="C1038" s="34"/>
      <c r="D1038" s="34"/>
      <c r="E1038" s="34"/>
      <c r="F1038" s="34"/>
      <c r="G1038" s="34"/>
      <c r="H1038" s="34"/>
      <c r="I1038" s="34"/>
      <c r="J1038" s="31"/>
    </row>
    <row r="1039" spans="1:10" x14ac:dyDescent="0.15">
      <c r="A1039" s="34"/>
      <c r="B1039" s="34"/>
      <c r="C1039" s="34"/>
      <c r="D1039" s="34"/>
      <c r="E1039" s="34"/>
      <c r="F1039" s="34"/>
      <c r="G1039" s="34"/>
      <c r="H1039" s="34"/>
      <c r="I1039" s="34"/>
      <c r="J1039" s="31"/>
    </row>
    <row r="1040" spans="1:10" x14ac:dyDescent="0.15">
      <c r="A1040" s="34"/>
      <c r="B1040" s="34"/>
      <c r="C1040" s="34"/>
      <c r="D1040" s="34"/>
      <c r="E1040" s="34"/>
      <c r="F1040" s="34"/>
      <c r="G1040" s="34"/>
      <c r="H1040" s="34"/>
      <c r="I1040" s="34"/>
      <c r="J1040" s="31"/>
    </row>
    <row r="1041" spans="1:10" x14ac:dyDescent="0.15">
      <c r="A1041" s="34"/>
      <c r="B1041" s="34"/>
      <c r="C1041" s="34"/>
      <c r="D1041" s="34"/>
      <c r="E1041" s="34"/>
      <c r="F1041" s="34"/>
      <c r="G1041" s="34"/>
      <c r="H1041" s="34"/>
      <c r="I1041" s="34"/>
      <c r="J1041" s="31"/>
    </row>
    <row r="1042" spans="1:10" x14ac:dyDescent="0.15">
      <c r="A1042" s="34"/>
      <c r="B1042" s="34"/>
      <c r="C1042" s="34"/>
      <c r="D1042" s="34"/>
      <c r="E1042" s="34"/>
      <c r="F1042" s="34"/>
      <c r="G1042" s="34"/>
      <c r="H1042" s="34"/>
      <c r="I1042" s="34"/>
      <c r="J1042" s="31"/>
    </row>
    <row r="1043" spans="1:10" x14ac:dyDescent="0.15">
      <c r="A1043" s="34"/>
      <c r="B1043" s="34"/>
      <c r="C1043" s="34"/>
      <c r="D1043" s="34"/>
      <c r="E1043" s="34"/>
      <c r="F1043" s="34"/>
      <c r="G1043" s="34"/>
      <c r="H1043" s="34"/>
      <c r="I1043" s="34"/>
      <c r="J1043" s="31"/>
    </row>
    <row r="1044" spans="1:10" x14ac:dyDescent="0.15">
      <c r="A1044" s="34"/>
      <c r="B1044" s="34"/>
      <c r="C1044" s="34"/>
      <c r="D1044" s="34"/>
      <c r="E1044" s="34"/>
      <c r="F1044" s="34"/>
      <c r="G1044" s="34"/>
      <c r="H1044" s="34"/>
      <c r="I1044" s="34"/>
      <c r="J1044" s="31"/>
    </row>
    <row r="1045" spans="1:10" x14ac:dyDescent="0.15">
      <c r="A1045" s="34"/>
      <c r="B1045" s="34"/>
      <c r="C1045" s="34"/>
      <c r="D1045" s="34"/>
      <c r="E1045" s="34"/>
      <c r="F1045" s="34"/>
      <c r="G1045" s="34"/>
      <c r="H1045" s="34"/>
      <c r="I1045" s="34"/>
      <c r="J1045" s="31"/>
    </row>
    <row r="1046" spans="1:10" x14ac:dyDescent="0.15">
      <c r="A1046" s="34"/>
      <c r="B1046" s="34"/>
      <c r="C1046" s="34"/>
      <c r="D1046" s="34"/>
      <c r="E1046" s="34"/>
      <c r="F1046" s="34"/>
      <c r="G1046" s="34"/>
      <c r="H1046" s="34"/>
      <c r="I1046" s="34"/>
      <c r="J1046" s="31"/>
    </row>
    <row r="1047" spans="1:10" x14ac:dyDescent="0.15">
      <c r="A1047" s="34"/>
      <c r="B1047" s="34"/>
      <c r="C1047" s="34"/>
      <c r="D1047" s="34"/>
      <c r="E1047" s="34"/>
      <c r="F1047" s="34"/>
      <c r="G1047" s="34"/>
      <c r="H1047" s="34"/>
      <c r="I1047" s="34"/>
      <c r="J1047" s="31"/>
    </row>
    <row r="1048" spans="1:10" x14ac:dyDescent="0.15">
      <c r="A1048" s="34"/>
      <c r="B1048" s="34"/>
      <c r="C1048" s="34"/>
      <c r="D1048" s="34"/>
      <c r="E1048" s="34"/>
      <c r="F1048" s="34"/>
      <c r="G1048" s="34"/>
      <c r="H1048" s="34"/>
      <c r="I1048" s="34"/>
      <c r="J1048" s="31"/>
    </row>
    <row r="1049" spans="1:10" x14ac:dyDescent="0.15">
      <c r="A1049" s="34"/>
      <c r="B1049" s="34"/>
      <c r="C1049" s="34"/>
      <c r="D1049" s="34"/>
      <c r="E1049" s="34"/>
      <c r="F1049" s="34"/>
      <c r="G1049" s="34"/>
      <c r="H1049" s="34"/>
      <c r="I1049" s="34"/>
      <c r="J1049" s="31"/>
    </row>
    <row r="1050" spans="1:10" x14ac:dyDescent="0.15">
      <c r="A1050" s="34"/>
      <c r="B1050" s="34"/>
      <c r="C1050" s="34"/>
      <c r="D1050" s="34"/>
      <c r="E1050" s="34"/>
      <c r="F1050" s="34"/>
      <c r="G1050" s="34"/>
      <c r="H1050" s="34"/>
      <c r="I1050" s="34"/>
      <c r="J1050" s="31"/>
    </row>
    <row r="1051" spans="1:10" x14ac:dyDescent="0.15">
      <c r="A1051" s="34"/>
      <c r="B1051" s="34"/>
      <c r="C1051" s="34"/>
      <c r="D1051" s="34"/>
      <c r="E1051" s="34"/>
      <c r="F1051" s="34"/>
      <c r="G1051" s="34"/>
      <c r="H1051" s="34"/>
      <c r="I1051" s="34"/>
      <c r="J1051" s="31"/>
    </row>
    <row r="1052" spans="1:10" x14ac:dyDescent="0.15">
      <c r="A1052" s="34"/>
      <c r="B1052" s="34"/>
      <c r="C1052" s="34"/>
      <c r="D1052" s="34"/>
      <c r="E1052" s="34"/>
      <c r="F1052" s="34"/>
      <c r="G1052" s="34"/>
      <c r="H1052" s="34"/>
      <c r="I1052" s="34"/>
      <c r="J1052" s="31"/>
    </row>
    <row r="1053" spans="1:10" x14ac:dyDescent="0.15">
      <c r="A1053" s="34"/>
      <c r="B1053" s="34"/>
      <c r="C1053" s="34"/>
      <c r="D1053" s="34"/>
      <c r="E1053" s="34"/>
      <c r="F1053" s="34"/>
      <c r="G1053" s="34"/>
      <c r="H1053" s="34"/>
      <c r="I1053" s="34"/>
      <c r="J1053" s="31"/>
    </row>
    <row r="1054" spans="1:10" x14ac:dyDescent="0.15">
      <c r="A1054" s="34"/>
      <c r="B1054" s="34"/>
      <c r="C1054" s="34"/>
      <c r="D1054" s="34"/>
      <c r="E1054" s="34"/>
      <c r="F1054" s="34"/>
      <c r="G1054" s="34"/>
      <c r="H1054" s="34"/>
      <c r="I1054" s="34"/>
      <c r="J1054" s="31"/>
    </row>
    <row r="1055" spans="1:10" x14ac:dyDescent="0.15">
      <c r="A1055" s="34"/>
      <c r="B1055" s="34"/>
      <c r="C1055" s="34"/>
      <c r="D1055" s="34"/>
      <c r="E1055" s="34"/>
      <c r="F1055" s="34"/>
      <c r="G1055" s="34"/>
      <c r="H1055" s="34"/>
      <c r="I1055" s="34"/>
      <c r="J1055" s="31"/>
    </row>
    <row r="1056" spans="1:10" x14ac:dyDescent="0.15">
      <c r="A1056" s="34"/>
      <c r="B1056" s="34"/>
      <c r="C1056" s="34"/>
      <c r="D1056" s="34"/>
      <c r="E1056" s="34"/>
      <c r="F1056" s="34"/>
      <c r="G1056" s="34"/>
      <c r="H1056" s="34"/>
      <c r="I1056" s="34"/>
      <c r="J1056" s="31"/>
    </row>
    <row r="1057" spans="1:10" x14ac:dyDescent="0.15">
      <c r="A1057" s="34"/>
      <c r="B1057" s="34"/>
      <c r="C1057" s="34"/>
      <c r="D1057" s="34"/>
      <c r="E1057" s="34"/>
      <c r="F1057" s="34"/>
      <c r="G1057" s="34"/>
      <c r="H1057" s="34"/>
      <c r="I1057" s="34"/>
      <c r="J1057" s="31"/>
    </row>
    <row r="1058" spans="1:10" x14ac:dyDescent="0.15">
      <c r="A1058" s="34"/>
      <c r="B1058" s="34"/>
      <c r="C1058" s="34"/>
      <c r="D1058" s="34"/>
      <c r="E1058" s="34"/>
      <c r="F1058" s="34"/>
      <c r="G1058" s="34"/>
      <c r="H1058" s="34"/>
      <c r="I1058" s="34"/>
      <c r="J1058" s="31"/>
    </row>
    <row r="1059" spans="1:10" x14ac:dyDescent="0.15">
      <c r="A1059" s="34"/>
      <c r="B1059" s="34"/>
      <c r="C1059" s="34"/>
      <c r="D1059" s="34"/>
      <c r="E1059" s="34"/>
      <c r="F1059" s="34"/>
      <c r="G1059" s="34"/>
      <c r="H1059" s="34"/>
      <c r="I1059" s="34"/>
      <c r="J1059" s="31"/>
    </row>
    <row r="1060" spans="1:10" x14ac:dyDescent="0.15">
      <c r="A1060" s="34"/>
      <c r="B1060" s="34"/>
      <c r="C1060" s="34"/>
      <c r="D1060" s="34"/>
      <c r="E1060" s="34"/>
      <c r="F1060" s="34"/>
      <c r="G1060" s="34"/>
      <c r="H1060" s="34"/>
      <c r="I1060" s="34"/>
      <c r="J1060" s="31"/>
    </row>
    <row r="1061" spans="1:10" x14ac:dyDescent="0.15">
      <c r="A1061" s="34"/>
      <c r="B1061" s="34"/>
      <c r="C1061" s="34"/>
      <c r="D1061" s="34"/>
      <c r="E1061" s="34"/>
      <c r="F1061" s="34"/>
      <c r="G1061" s="34"/>
      <c r="H1061" s="34"/>
      <c r="I1061" s="34"/>
      <c r="J1061" s="31"/>
    </row>
    <row r="1062" spans="1:10" x14ac:dyDescent="0.15">
      <c r="A1062" s="34"/>
      <c r="B1062" s="34"/>
      <c r="C1062" s="34"/>
      <c r="D1062" s="34"/>
      <c r="E1062" s="34"/>
      <c r="F1062" s="34"/>
      <c r="G1062" s="34"/>
      <c r="H1062" s="34"/>
      <c r="I1062" s="34"/>
      <c r="J1062" s="31"/>
    </row>
    <row r="1063" spans="1:10" x14ac:dyDescent="0.15">
      <c r="A1063" s="34"/>
      <c r="B1063" s="34"/>
      <c r="C1063" s="34"/>
      <c r="D1063" s="34"/>
      <c r="E1063" s="34"/>
      <c r="F1063" s="34"/>
      <c r="G1063" s="34"/>
      <c r="H1063" s="34"/>
      <c r="I1063" s="34"/>
      <c r="J1063" s="31"/>
    </row>
    <row r="1064" spans="1:10" x14ac:dyDescent="0.15">
      <c r="A1064" s="34"/>
      <c r="B1064" s="34"/>
      <c r="C1064" s="34"/>
      <c r="D1064" s="34"/>
      <c r="E1064" s="34"/>
      <c r="F1064" s="34"/>
      <c r="G1064" s="34"/>
      <c r="H1064" s="34"/>
      <c r="I1064" s="34"/>
      <c r="J1064" s="31"/>
    </row>
    <row r="1065" spans="1:10" x14ac:dyDescent="0.15">
      <c r="A1065" s="34"/>
      <c r="B1065" s="34"/>
      <c r="C1065" s="34"/>
      <c r="D1065" s="34"/>
      <c r="E1065" s="34"/>
      <c r="F1065" s="34"/>
      <c r="G1065" s="34"/>
      <c r="H1065" s="34"/>
      <c r="I1065" s="34"/>
      <c r="J1065" s="31"/>
    </row>
    <row r="1066" spans="1:10" x14ac:dyDescent="0.15">
      <c r="A1066" s="34"/>
      <c r="B1066" s="34"/>
      <c r="C1066" s="34"/>
      <c r="D1066" s="34"/>
      <c r="E1066" s="34"/>
      <c r="F1066" s="34"/>
      <c r="G1066" s="34"/>
      <c r="H1066" s="34"/>
      <c r="I1066" s="34"/>
      <c r="J1066" s="31"/>
    </row>
    <row r="1067" spans="1:10" x14ac:dyDescent="0.15">
      <c r="A1067" s="34"/>
      <c r="B1067" s="34"/>
      <c r="C1067" s="34"/>
      <c r="D1067" s="34"/>
      <c r="E1067" s="34"/>
      <c r="F1067" s="34"/>
      <c r="G1067" s="34"/>
      <c r="H1067" s="34"/>
      <c r="I1067" s="34"/>
      <c r="J1067" s="31"/>
    </row>
    <row r="1068" spans="1:10" x14ac:dyDescent="0.15">
      <c r="A1068" s="34"/>
      <c r="B1068" s="34"/>
      <c r="C1068" s="34"/>
      <c r="D1068" s="34"/>
      <c r="E1068" s="34"/>
      <c r="F1068" s="34"/>
      <c r="G1068" s="34"/>
      <c r="H1068" s="34"/>
      <c r="I1068" s="34"/>
      <c r="J1068" s="31"/>
    </row>
    <row r="1069" spans="1:10" x14ac:dyDescent="0.15">
      <c r="A1069" s="34"/>
      <c r="B1069" s="34"/>
      <c r="C1069" s="34"/>
      <c r="D1069" s="34"/>
      <c r="E1069" s="34"/>
      <c r="F1069" s="34"/>
      <c r="G1069" s="34"/>
      <c r="H1069" s="34"/>
      <c r="I1069" s="34"/>
      <c r="J1069" s="31"/>
    </row>
    <row r="1070" spans="1:10" x14ac:dyDescent="0.15">
      <c r="A1070" s="34"/>
      <c r="B1070" s="34"/>
      <c r="C1070" s="34"/>
      <c r="D1070" s="34"/>
      <c r="E1070" s="34"/>
      <c r="F1070" s="34"/>
      <c r="G1070" s="34"/>
      <c r="H1070" s="34"/>
      <c r="I1070" s="34"/>
      <c r="J1070" s="31"/>
    </row>
    <row r="1071" spans="1:10" x14ac:dyDescent="0.15">
      <c r="A1071" s="34"/>
      <c r="B1071" s="34"/>
      <c r="C1071" s="34"/>
      <c r="D1071" s="34"/>
      <c r="E1071" s="34"/>
      <c r="F1071" s="34"/>
      <c r="G1071" s="34"/>
      <c r="H1071" s="34"/>
      <c r="I1071" s="34"/>
      <c r="J1071" s="31"/>
    </row>
    <row r="1072" spans="1:10" x14ac:dyDescent="0.15">
      <c r="A1072" s="34"/>
      <c r="B1072" s="34"/>
      <c r="C1072" s="34"/>
      <c r="D1072" s="34"/>
      <c r="E1072" s="34"/>
      <c r="F1072" s="34"/>
      <c r="G1072" s="34"/>
      <c r="H1072" s="34"/>
      <c r="I1072" s="34"/>
      <c r="J1072" s="31"/>
    </row>
    <row r="1073" spans="1:10" x14ac:dyDescent="0.15">
      <c r="A1073" s="34"/>
      <c r="B1073" s="34"/>
      <c r="C1073" s="34"/>
      <c r="D1073" s="34"/>
      <c r="E1073" s="34"/>
      <c r="F1073" s="34"/>
      <c r="G1073" s="34"/>
      <c r="H1073" s="34"/>
      <c r="I1073" s="34"/>
      <c r="J1073" s="31"/>
    </row>
    <row r="1074" spans="1:10" x14ac:dyDescent="0.15">
      <c r="A1074" s="34"/>
      <c r="B1074" s="34"/>
      <c r="C1074" s="34"/>
      <c r="D1074" s="34"/>
      <c r="E1074" s="34"/>
      <c r="F1074" s="34"/>
      <c r="G1074" s="34"/>
      <c r="H1074" s="34"/>
      <c r="I1074" s="34"/>
      <c r="J1074" s="31"/>
    </row>
    <row r="1075" spans="1:10" x14ac:dyDescent="0.15">
      <c r="A1075" s="34"/>
      <c r="B1075" s="34"/>
      <c r="C1075" s="34"/>
      <c r="D1075" s="34"/>
      <c r="E1075" s="34"/>
      <c r="F1075" s="34"/>
      <c r="G1075" s="34"/>
      <c r="H1075" s="34"/>
      <c r="I1075" s="34"/>
      <c r="J1075" s="31"/>
    </row>
    <row r="1076" spans="1:10" x14ac:dyDescent="0.15">
      <c r="A1076" s="34"/>
      <c r="B1076" s="34"/>
      <c r="C1076" s="34"/>
      <c r="D1076" s="34"/>
      <c r="E1076" s="34"/>
      <c r="F1076" s="34"/>
      <c r="G1076" s="34"/>
      <c r="H1076" s="34"/>
      <c r="I1076" s="34"/>
      <c r="J1076" s="31"/>
    </row>
    <row r="1077" spans="1:10" x14ac:dyDescent="0.15">
      <c r="A1077" s="34"/>
      <c r="B1077" s="34"/>
      <c r="C1077" s="34"/>
      <c r="D1077" s="34"/>
      <c r="E1077" s="34"/>
      <c r="F1077" s="34"/>
      <c r="G1077" s="34"/>
      <c r="H1077" s="34"/>
      <c r="I1077" s="34"/>
      <c r="J1077" s="31"/>
    </row>
    <row r="1078" spans="1:10" x14ac:dyDescent="0.15">
      <c r="A1078" s="34"/>
      <c r="B1078" s="34"/>
      <c r="C1078" s="34"/>
      <c r="D1078" s="34"/>
      <c r="E1078" s="34"/>
      <c r="F1078" s="34"/>
      <c r="G1078" s="34"/>
      <c r="H1078" s="34"/>
      <c r="I1078" s="34"/>
      <c r="J1078" s="31"/>
    </row>
    <row r="1079" spans="1:10" x14ac:dyDescent="0.15">
      <c r="A1079" s="34"/>
      <c r="B1079" s="34"/>
      <c r="C1079" s="34"/>
      <c r="D1079" s="34"/>
      <c r="E1079" s="34"/>
      <c r="F1079" s="34"/>
      <c r="G1079" s="34"/>
      <c r="H1079" s="34"/>
      <c r="I1079" s="34"/>
      <c r="J1079" s="31"/>
    </row>
    <row r="1080" spans="1:10" x14ac:dyDescent="0.15">
      <c r="A1080" s="34"/>
      <c r="B1080" s="34"/>
      <c r="C1080" s="34"/>
      <c r="D1080" s="34"/>
      <c r="E1080" s="34"/>
      <c r="F1080" s="34"/>
      <c r="G1080" s="34"/>
      <c r="H1080" s="34"/>
      <c r="I1080" s="34"/>
      <c r="J1080" s="31"/>
    </row>
    <row r="1081" spans="1:10" x14ac:dyDescent="0.15">
      <c r="A1081" s="34"/>
      <c r="B1081" s="34"/>
      <c r="C1081" s="34"/>
      <c r="D1081" s="34"/>
      <c r="E1081" s="34"/>
      <c r="F1081" s="34"/>
      <c r="G1081" s="34"/>
      <c r="H1081" s="34"/>
      <c r="I1081" s="34"/>
      <c r="J1081" s="31"/>
    </row>
    <row r="1082" spans="1:10" x14ac:dyDescent="0.15">
      <c r="A1082" s="34"/>
      <c r="B1082" s="34"/>
      <c r="C1082" s="34"/>
      <c r="D1082" s="34"/>
      <c r="E1082" s="34"/>
      <c r="F1082" s="34"/>
      <c r="G1082" s="34"/>
      <c r="H1082" s="34"/>
      <c r="I1082" s="34"/>
      <c r="J1082" s="31"/>
    </row>
    <row r="1083" spans="1:10" x14ac:dyDescent="0.15">
      <c r="A1083" s="34"/>
      <c r="B1083" s="34"/>
      <c r="C1083" s="34"/>
      <c r="D1083" s="34"/>
      <c r="E1083" s="34"/>
      <c r="F1083" s="34"/>
      <c r="G1083" s="34"/>
      <c r="H1083" s="34"/>
      <c r="I1083" s="34"/>
      <c r="J1083" s="31"/>
    </row>
    <row r="1084" spans="1:10" x14ac:dyDescent="0.15">
      <c r="A1084" s="34"/>
      <c r="B1084" s="34"/>
      <c r="C1084" s="34"/>
      <c r="D1084" s="34"/>
      <c r="E1084" s="34"/>
      <c r="F1084" s="34"/>
      <c r="G1084" s="34"/>
      <c r="H1084" s="34"/>
      <c r="I1084" s="34"/>
      <c r="J1084" s="31"/>
    </row>
    <row r="1085" spans="1:10" x14ac:dyDescent="0.15">
      <c r="A1085" s="34"/>
      <c r="B1085" s="34"/>
      <c r="C1085" s="34"/>
      <c r="D1085" s="34"/>
      <c r="E1085" s="34"/>
      <c r="F1085" s="34"/>
      <c r="G1085" s="34"/>
      <c r="H1085" s="34"/>
      <c r="I1085" s="34"/>
      <c r="J1085" s="31"/>
    </row>
    <row r="1086" spans="1:10" x14ac:dyDescent="0.15">
      <c r="A1086" s="34"/>
      <c r="B1086" s="34"/>
      <c r="C1086" s="34"/>
      <c r="D1086" s="34"/>
      <c r="E1086" s="34"/>
      <c r="F1086" s="34"/>
      <c r="G1086" s="34"/>
      <c r="H1086" s="34"/>
      <c r="I1086" s="34"/>
      <c r="J1086" s="31"/>
    </row>
    <row r="1087" spans="1:10" x14ac:dyDescent="0.15">
      <c r="A1087" s="34"/>
      <c r="B1087" s="34"/>
      <c r="C1087" s="34"/>
      <c r="D1087" s="34"/>
      <c r="E1087" s="34"/>
      <c r="F1087" s="34"/>
      <c r="G1087" s="34"/>
      <c r="H1087" s="34"/>
      <c r="I1087" s="34"/>
      <c r="J1087" s="31"/>
    </row>
    <row r="1088" spans="1:10" x14ac:dyDescent="0.15">
      <c r="A1088" s="34"/>
      <c r="B1088" s="34"/>
      <c r="C1088" s="34"/>
      <c r="D1088" s="34"/>
      <c r="E1088" s="34"/>
      <c r="F1088" s="34"/>
      <c r="G1088" s="34"/>
      <c r="H1088" s="34"/>
      <c r="I1088" s="34"/>
      <c r="J1088" s="31"/>
    </row>
    <row r="1089" spans="1:10" x14ac:dyDescent="0.15">
      <c r="A1089" s="34"/>
      <c r="B1089" s="34"/>
      <c r="C1089" s="34"/>
      <c r="D1089" s="34"/>
      <c r="E1089" s="34"/>
      <c r="F1089" s="34"/>
      <c r="G1089" s="34"/>
      <c r="H1089" s="34"/>
      <c r="I1089" s="34"/>
      <c r="J1089" s="31"/>
    </row>
    <row r="1090" spans="1:10" x14ac:dyDescent="0.15">
      <c r="A1090" s="34"/>
      <c r="B1090" s="34"/>
      <c r="C1090" s="34"/>
      <c r="D1090" s="34"/>
      <c r="E1090" s="34"/>
      <c r="F1090" s="34"/>
      <c r="G1090" s="34"/>
      <c r="H1090" s="34"/>
      <c r="I1090" s="34"/>
      <c r="J1090" s="31"/>
    </row>
    <row r="1091" spans="1:10" x14ac:dyDescent="0.15">
      <c r="A1091" s="34"/>
      <c r="B1091" s="34"/>
      <c r="C1091" s="34"/>
      <c r="D1091" s="34"/>
      <c r="E1091" s="34"/>
      <c r="F1091" s="34"/>
      <c r="G1091" s="34"/>
      <c r="H1091" s="34"/>
      <c r="I1091" s="34"/>
      <c r="J1091" s="31"/>
    </row>
    <row r="1092" spans="1:10" x14ac:dyDescent="0.15">
      <c r="A1092" s="34"/>
      <c r="B1092" s="34"/>
      <c r="C1092" s="34"/>
      <c r="D1092" s="34"/>
      <c r="E1092" s="34"/>
      <c r="F1092" s="34"/>
      <c r="G1092" s="34"/>
      <c r="H1092" s="34"/>
      <c r="I1092" s="34"/>
      <c r="J1092" s="31"/>
    </row>
    <row r="1093" spans="1:10" x14ac:dyDescent="0.15">
      <c r="A1093" s="34"/>
      <c r="B1093" s="34"/>
      <c r="C1093" s="34"/>
      <c r="D1093" s="34"/>
      <c r="E1093" s="34"/>
      <c r="F1093" s="34"/>
      <c r="G1093" s="34"/>
      <c r="H1093" s="34"/>
      <c r="I1093" s="34"/>
      <c r="J1093" s="31"/>
    </row>
    <row r="1094" spans="1:10" x14ac:dyDescent="0.15">
      <c r="A1094" s="34"/>
      <c r="B1094" s="34"/>
      <c r="C1094" s="34"/>
      <c r="D1094" s="34"/>
      <c r="E1094" s="34"/>
      <c r="F1094" s="34"/>
      <c r="G1094" s="34"/>
      <c r="H1094" s="34"/>
      <c r="I1094" s="34"/>
      <c r="J1094" s="31"/>
    </row>
    <row r="1095" spans="1:10" x14ac:dyDescent="0.15">
      <c r="A1095" s="34"/>
      <c r="B1095" s="34"/>
      <c r="C1095" s="34"/>
      <c r="D1095" s="34"/>
      <c r="E1095" s="34"/>
      <c r="F1095" s="34"/>
      <c r="G1095" s="34"/>
      <c r="H1095" s="34"/>
      <c r="I1095" s="34"/>
      <c r="J1095" s="31"/>
    </row>
    <row r="1096" spans="1:10" x14ac:dyDescent="0.15">
      <c r="A1096" s="34"/>
      <c r="B1096" s="34"/>
      <c r="C1096" s="34"/>
      <c r="D1096" s="34"/>
      <c r="E1096" s="34"/>
      <c r="F1096" s="34"/>
      <c r="G1096" s="34"/>
      <c r="H1096" s="34"/>
      <c r="I1096" s="34"/>
      <c r="J1096" s="31"/>
    </row>
    <row r="1097" spans="1:10" x14ac:dyDescent="0.15">
      <c r="A1097" s="34"/>
      <c r="B1097" s="34"/>
      <c r="C1097" s="34"/>
      <c r="D1097" s="34"/>
      <c r="E1097" s="34"/>
      <c r="F1097" s="34"/>
      <c r="G1097" s="34"/>
      <c r="H1097" s="34"/>
      <c r="I1097" s="34"/>
      <c r="J1097" s="31"/>
    </row>
    <row r="1098" spans="1:10" x14ac:dyDescent="0.15">
      <c r="A1098" s="34"/>
      <c r="B1098" s="34"/>
      <c r="C1098" s="34"/>
      <c r="D1098" s="34"/>
      <c r="E1098" s="34"/>
      <c r="F1098" s="34"/>
      <c r="G1098" s="34"/>
      <c r="H1098" s="34"/>
      <c r="I1098" s="34"/>
      <c r="J1098" s="31"/>
    </row>
    <row r="1099" spans="1:10" x14ac:dyDescent="0.15">
      <c r="A1099" s="34"/>
      <c r="B1099" s="34"/>
      <c r="C1099" s="34"/>
      <c r="D1099" s="34"/>
      <c r="E1099" s="34"/>
      <c r="F1099" s="34"/>
      <c r="G1099" s="34"/>
      <c r="H1099" s="34"/>
      <c r="I1099" s="34"/>
      <c r="J1099" s="31"/>
    </row>
    <row r="1100" spans="1:10" x14ac:dyDescent="0.15">
      <c r="A1100" s="34"/>
      <c r="B1100" s="34"/>
      <c r="C1100" s="34"/>
      <c r="D1100" s="34"/>
      <c r="E1100" s="34"/>
      <c r="F1100" s="34"/>
      <c r="G1100" s="34"/>
      <c r="H1100" s="34"/>
      <c r="I1100" s="34"/>
      <c r="J1100" s="31"/>
    </row>
    <row r="1101" spans="1:10" x14ac:dyDescent="0.15">
      <c r="A1101" s="34"/>
      <c r="B1101" s="34"/>
      <c r="C1101" s="34"/>
      <c r="D1101" s="34"/>
      <c r="E1101" s="34"/>
      <c r="F1101" s="34"/>
      <c r="G1101" s="34"/>
      <c r="H1101" s="34"/>
      <c r="I1101" s="34"/>
      <c r="J1101" s="31"/>
    </row>
    <row r="1102" spans="1:10" x14ac:dyDescent="0.15">
      <c r="A1102" s="34"/>
      <c r="B1102" s="34"/>
      <c r="C1102" s="34"/>
      <c r="D1102" s="34"/>
      <c r="E1102" s="34"/>
      <c r="F1102" s="34"/>
      <c r="G1102" s="34"/>
      <c r="H1102" s="34"/>
      <c r="I1102" s="34"/>
      <c r="J1102" s="31"/>
    </row>
    <row r="1103" spans="1:10" x14ac:dyDescent="0.15">
      <c r="A1103" s="34"/>
      <c r="B1103" s="34"/>
      <c r="C1103" s="34"/>
      <c r="D1103" s="34"/>
      <c r="E1103" s="34"/>
      <c r="F1103" s="34"/>
      <c r="G1103" s="34"/>
      <c r="H1103" s="34"/>
      <c r="I1103" s="34"/>
      <c r="J1103" s="31"/>
    </row>
    <row r="1104" spans="1:10" x14ac:dyDescent="0.15">
      <c r="A1104" s="34"/>
      <c r="B1104" s="34"/>
      <c r="C1104" s="34"/>
      <c r="D1104" s="34"/>
      <c r="E1104" s="34"/>
      <c r="F1104" s="34"/>
      <c r="G1104" s="34"/>
      <c r="H1104" s="34"/>
      <c r="I1104" s="34"/>
      <c r="J1104" s="31"/>
    </row>
    <row r="1105" spans="1:10" x14ac:dyDescent="0.15">
      <c r="A1105" s="34"/>
      <c r="B1105" s="34"/>
      <c r="C1105" s="34"/>
      <c r="D1105" s="34"/>
      <c r="E1105" s="34"/>
      <c r="F1105" s="34"/>
      <c r="G1105" s="34"/>
      <c r="H1105" s="34"/>
      <c r="I1105" s="34"/>
      <c r="J1105" s="31"/>
    </row>
    <row r="1106" spans="1:10" x14ac:dyDescent="0.15">
      <c r="A1106" s="34"/>
      <c r="B1106" s="34"/>
      <c r="C1106" s="34"/>
      <c r="D1106" s="34"/>
      <c r="E1106" s="34"/>
      <c r="F1106" s="34"/>
      <c r="G1106" s="34"/>
      <c r="H1106" s="34"/>
      <c r="I1106" s="34"/>
      <c r="J1106" s="31"/>
    </row>
    <row r="1107" spans="1:10" x14ac:dyDescent="0.15">
      <c r="A1107" s="34"/>
      <c r="B1107" s="34"/>
      <c r="C1107" s="34"/>
      <c r="D1107" s="34"/>
      <c r="E1107" s="34"/>
      <c r="F1107" s="34"/>
      <c r="G1107" s="34"/>
      <c r="H1107" s="34"/>
      <c r="I1107" s="34"/>
      <c r="J1107" s="31"/>
    </row>
    <row r="1108" spans="1:10" x14ac:dyDescent="0.15">
      <c r="A1108" s="34"/>
      <c r="B1108" s="34"/>
      <c r="C1108" s="34"/>
      <c r="D1108" s="34"/>
      <c r="E1108" s="34"/>
      <c r="F1108" s="34"/>
      <c r="G1108" s="34"/>
      <c r="H1108" s="34"/>
      <c r="I1108" s="34"/>
      <c r="J1108" s="31"/>
    </row>
    <row r="1109" spans="1:10" x14ac:dyDescent="0.15">
      <c r="A1109" s="34"/>
      <c r="B1109" s="34"/>
      <c r="C1109" s="34"/>
      <c r="D1109" s="34"/>
      <c r="E1109" s="34"/>
      <c r="F1109" s="34"/>
      <c r="G1109" s="34"/>
      <c r="H1109" s="34"/>
      <c r="I1109" s="34"/>
      <c r="J1109" s="31"/>
    </row>
    <row r="1110" spans="1:10" x14ac:dyDescent="0.15">
      <c r="A1110" s="34"/>
      <c r="B1110" s="34"/>
      <c r="C1110" s="34"/>
      <c r="D1110" s="34"/>
      <c r="E1110" s="34"/>
      <c r="F1110" s="34"/>
      <c r="G1110" s="34"/>
      <c r="H1110" s="34"/>
      <c r="I1110" s="34"/>
      <c r="J1110" s="31"/>
    </row>
    <row r="1111" spans="1:10" x14ac:dyDescent="0.15">
      <c r="A1111" s="34"/>
      <c r="B1111" s="34"/>
      <c r="C1111" s="34"/>
      <c r="D1111" s="34"/>
      <c r="E1111" s="34"/>
      <c r="F1111" s="34"/>
      <c r="G1111" s="34"/>
      <c r="H1111" s="34"/>
      <c r="I1111" s="34"/>
      <c r="J1111" s="31"/>
    </row>
    <row r="1112" spans="1:10" x14ac:dyDescent="0.15">
      <c r="A1112" s="34"/>
      <c r="B1112" s="34"/>
      <c r="C1112" s="34"/>
      <c r="D1112" s="34"/>
      <c r="E1112" s="34"/>
      <c r="F1112" s="34"/>
      <c r="G1112" s="34"/>
      <c r="H1112" s="34"/>
      <c r="I1112" s="34"/>
      <c r="J1112" s="31"/>
    </row>
    <row r="1113" spans="1:10" x14ac:dyDescent="0.15">
      <c r="A1113" s="34"/>
      <c r="B1113" s="34"/>
      <c r="C1113" s="34"/>
      <c r="D1113" s="34"/>
      <c r="E1113" s="34"/>
      <c r="F1113" s="34"/>
      <c r="G1113" s="34"/>
      <c r="H1113" s="34"/>
      <c r="I1113" s="34"/>
      <c r="J1113" s="31"/>
    </row>
    <row r="1114" spans="1:10" x14ac:dyDescent="0.15">
      <c r="A1114" s="34"/>
      <c r="B1114" s="34"/>
      <c r="C1114" s="34"/>
      <c r="D1114" s="34"/>
      <c r="E1114" s="34"/>
      <c r="F1114" s="34"/>
      <c r="G1114" s="34"/>
      <c r="H1114" s="34"/>
      <c r="I1114" s="34"/>
      <c r="J1114" s="31"/>
    </row>
    <row r="1115" spans="1:10" x14ac:dyDescent="0.15">
      <c r="A1115" s="34"/>
      <c r="B1115" s="34"/>
      <c r="C1115" s="34"/>
      <c r="D1115" s="34"/>
      <c r="E1115" s="34"/>
      <c r="F1115" s="34"/>
      <c r="G1115" s="34"/>
      <c r="H1115" s="34"/>
      <c r="I1115" s="34"/>
      <c r="J1115" s="31"/>
    </row>
    <row r="1116" spans="1:10" x14ac:dyDescent="0.15">
      <c r="A1116" s="34"/>
      <c r="B1116" s="34"/>
      <c r="C1116" s="34"/>
      <c r="D1116" s="34"/>
      <c r="E1116" s="34"/>
      <c r="F1116" s="34"/>
      <c r="G1116" s="34"/>
      <c r="H1116" s="34"/>
      <c r="I1116" s="34"/>
      <c r="J1116" s="31"/>
    </row>
    <row r="1117" spans="1:10" x14ac:dyDescent="0.15">
      <c r="A1117" s="34"/>
      <c r="B1117" s="34"/>
      <c r="C1117" s="34"/>
      <c r="D1117" s="34"/>
      <c r="E1117" s="34"/>
      <c r="F1117" s="34"/>
      <c r="G1117" s="34"/>
      <c r="H1117" s="34"/>
      <c r="I1117" s="34"/>
      <c r="J1117" s="31"/>
    </row>
    <row r="1118" spans="1:10" x14ac:dyDescent="0.15">
      <c r="A1118" s="34"/>
      <c r="B1118" s="34"/>
      <c r="C1118" s="34"/>
      <c r="D1118" s="34"/>
      <c r="E1118" s="34"/>
      <c r="F1118" s="34"/>
      <c r="G1118" s="34"/>
      <c r="H1118" s="34"/>
      <c r="I1118" s="34"/>
      <c r="J1118" s="31"/>
    </row>
    <row r="1119" spans="1:10" x14ac:dyDescent="0.15">
      <c r="A1119" s="34"/>
      <c r="B1119" s="34"/>
      <c r="C1119" s="34"/>
      <c r="D1119" s="34"/>
      <c r="E1119" s="34"/>
      <c r="F1119" s="34"/>
      <c r="G1119" s="34"/>
      <c r="H1119" s="34"/>
      <c r="I1119" s="34"/>
      <c r="J1119" s="31"/>
    </row>
    <row r="1120" spans="1:10" x14ac:dyDescent="0.15">
      <c r="A1120" s="34"/>
      <c r="B1120" s="34"/>
      <c r="C1120" s="34"/>
      <c r="D1120" s="34"/>
      <c r="E1120" s="34"/>
      <c r="F1120" s="34"/>
      <c r="G1120" s="34"/>
      <c r="H1120" s="34"/>
      <c r="I1120" s="34"/>
      <c r="J1120" s="31"/>
    </row>
    <row r="1121" spans="1:10" x14ac:dyDescent="0.15">
      <c r="A1121" s="34"/>
      <c r="B1121" s="34"/>
      <c r="C1121" s="34"/>
      <c r="D1121" s="34"/>
      <c r="E1121" s="34"/>
      <c r="F1121" s="34"/>
      <c r="G1121" s="34"/>
      <c r="H1121" s="34"/>
      <c r="I1121" s="34"/>
      <c r="J1121" s="31"/>
    </row>
    <row r="1122" spans="1:10" x14ac:dyDescent="0.15">
      <c r="A1122" s="34"/>
      <c r="B1122" s="34"/>
      <c r="C1122" s="34"/>
      <c r="D1122" s="34"/>
      <c r="E1122" s="34"/>
      <c r="F1122" s="34"/>
      <c r="G1122" s="34"/>
      <c r="H1122" s="34"/>
      <c r="I1122" s="34"/>
      <c r="J1122" s="31"/>
    </row>
    <row r="1123" spans="1:10" x14ac:dyDescent="0.15">
      <c r="A1123" s="34"/>
      <c r="B1123" s="34"/>
      <c r="C1123" s="34"/>
      <c r="D1123" s="34"/>
      <c r="E1123" s="34"/>
      <c r="F1123" s="34"/>
      <c r="G1123" s="34"/>
      <c r="H1123" s="34"/>
      <c r="I1123" s="34"/>
      <c r="J1123" s="31"/>
    </row>
    <row r="1124" spans="1:10" x14ac:dyDescent="0.15">
      <c r="A1124" s="34"/>
      <c r="B1124" s="34"/>
      <c r="C1124" s="34"/>
      <c r="D1124" s="34"/>
      <c r="E1124" s="34"/>
      <c r="F1124" s="34"/>
      <c r="G1124" s="34"/>
      <c r="H1124" s="34"/>
      <c r="I1124" s="34"/>
      <c r="J1124" s="31"/>
    </row>
    <row r="1125" spans="1:10" x14ac:dyDescent="0.15">
      <c r="A1125" s="34"/>
      <c r="B1125" s="34"/>
      <c r="C1125" s="34"/>
      <c r="D1125" s="34"/>
      <c r="E1125" s="34"/>
      <c r="F1125" s="34"/>
      <c r="G1125" s="34"/>
      <c r="H1125" s="34"/>
      <c r="I1125" s="34"/>
      <c r="J1125" s="31"/>
    </row>
    <row r="1126" spans="1:10" x14ac:dyDescent="0.15">
      <c r="A1126" s="34"/>
      <c r="B1126" s="34"/>
      <c r="C1126" s="34"/>
      <c r="D1126" s="34"/>
      <c r="E1126" s="34"/>
      <c r="F1126" s="34"/>
      <c r="G1126" s="34"/>
      <c r="H1126" s="34"/>
      <c r="I1126" s="34"/>
      <c r="J1126" s="31"/>
    </row>
    <row r="1127" spans="1:10" x14ac:dyDescent="0.15">
      <c r="A1127" s="34"/>
      <c r="B1127" s="34"/>
      <c r="C1127" s="34"/>
      <c r="D1127" s="34"/>
      <c r="E1127" s="34"/>
      <c r="F1127" s="34"/>
      <c r="G1127" s="34"/>
      <c r="H1127" s="34"/>
      <c r="I1127" s="34"/>
      <c r="J1127" s="31"/>
    </row>
    <row r="1128" spans="1:10" x14ac:dyDescent="0.15">
      <c r="A1128" s="34"/>
      <c r="B1128" s="34"/>
      <c r="C1128" s="34"/>
      <c r="D1128" s="34"/>
      <c r="E1128" s="34"/>
      <c r="F1128" s="34"/>
      <c r="G1128" s="34"/>
      <c r="H1128" s="34"/>
      <c r="I1128" s="34"/>
      <c r="J1128" s="31"/>
    </row>
    <row r="1129" spans="1:10" x14ac:dyDescent="0.15">
      <c r="A1129" s="34"/>
      <c r="B1129" s="34"/>
      <c r="C1129" s="34"/>
      <c r="D1129" s="34"/>
      <c r="E1129" s="34"/>
      <c r="F1129" s="34"/>
      <c r="G1129" s="34"/>
      <c r="H1129" s="34"/>
      <c r="I1129" s="34"/>
      <c r="J1129" s="31"/>
    </row>
    <row r="1130" spans="1:10" x14ac:dyDescent="0.15">
      <c r="A1130" s="34"/>
      <c r="B1130" s="34"/>
      <c r="C1130" s="34"/>
      <c r="D1130" s="34"/>
      <c r="E1130" s="34"/>
      <c r="F1130" s="34"/>
      <c r="G1130" s="34"/>
      <c r="H1130" s="34"/>
      <c r="I1130" s="34"/>
      <c r="J1130" s="31"/>
    </row>
    <row r="1131" spans="1:10" x14ac:dyDescent="0.15">
      <c r="A1131" s="34"/>
      <c r="B1131" s="34"/>
      <c r="C1131" s="34"/>
      <c r="D1131" s="34"/>
      <c r="E1131" s="34"/>
      <c r="F1131" s="34"/>
      <c r="G1131" s="34"/>
      <c r="H1131" s="34"/>
      <c r="I1131" s="34"/>
      <c r="J1131" s="31"/>
    </row>
    <row r="1132" spans="1:10" x14ac:dyDescent="0.15">
      <c r="A1132" s="34"/>
      <c r="B1132" s="34"/>
      <c r="C1132" s="34"/>
      <c r="D1132" s="34"/>
      <c r="E1132" s="34"/>
      <c r="F1132" s="34"/>
      <c r="G1132" s="34"/>
      <c r="H1132" s="34"/>
      <c r="I1132" s="34"/>
      <c r="J1132" s="31"/>
    </row>
    <row r="1133" spans="1:10" x14ac:dyDescent="0.15">
      <c r="A1133" s="34"/>
      <c r="B1133" s="34"/>
      <c r="C1133" s="34"/>
      <c r="D1133" s="34"/>
      <c r="E1133" s="34"/>
      <c r="F1133" s="34"/>
      <c r="G1133" s="34"/>
      <c r="H1133" s="34"/>
      <c r="I1133" s="34"/>
      <c r="J1133" s="31"/>
    </row>
    <row r="1134" spans="1:10" x14ac:dyDescent="0.15">
      <c r="A1134" s="34"/>
      <c r="B1134" s="34"/>
      <c r="C1134" s="34"/>
      <c r="D1134" s="34"/>
      <c r="E1134" s="34"/>
      <c r="F1134" s="34"/>
      <c r="G1134" s="34"/>
      <c r="H1134" s="34"/>
      <c r="I1134" s="34"/>
      <c r="J1134" s="31"/>
    </row>
    <row r="1135" spans="1:10" x14ac:dyDescent="0.15">
      <c r="A1135" s="34"/>
      <c r="B1135" s="34"/>
      <c r="C1135" s="34"/>
      <c r="D1135" s="34"/>
      <c r="E1135" s="34"/>
      <c r="F1135" s="34"/>
      <c r="G1135" s="34"/>
      <c r="H1135" s="34"/>
      <c r="I1135" s="34"/>
      <c r="J1135" s="31"/>
    </row>
    <row r="1136" spans="1:10" x14ac:dyDescent="0.15">
      <c r="A1136" s="34"/>
      <c r="B1136" s="34"/>
      <c r="C1136" s="34"/>
      <c r="D1136" s="34"/>
      <c r="E1136" s="34"/>
      <c r="F1136" s="34"/>
      <c r="G1136" s="34"/>
      <c r="H1136" s="34"/>
      <c r="I1136" s="34"/>
      <c r="J1136" s="31"/>
    </row>
    <row r="1137" spans="1:10" x14ac:dyDescent="0.15">
      <c r="A1137" s="34"/>
      <c r="B1137" s="34"/>
      <c r="C1137" s="34"/>
      <c r="D1137" s="34"/>
      <c r="E1137" s="34"/>
      <c r="F1137" s="34"/>
      <c r="G1137" s="34"/>
      <c r="H1137" s="34"/>
      <c r="I1137" s="34"/>
      <c r="J1137" s="31"/>
    </row>
    <row r="1138" spans="1:10" x14ac:dyDescent="0.15">
      <c r="A1138" s="34"/>
      <c r="B1138" s="34"/>
      <c r="C1138" s="34"/>
      <c r="D1138" s="34"/>
      <c r="E1138" s="34"/>
      <c r="F1138" s="34"/>
      <c r="G1138" s="34"/>
      <c r="H1138" s="34"/>
      <c r="I1138" s="34"/>
      <c r="J1138" s="31"/>
    </row>
    <row r="1139" spans="1:10" x14ac:dyDescent="0.15">
      <c r="A1139" s="34"/>
      <c r="B1139" s="34"/>
      <c r="C1139" s="34"/>
      <c r="D1139" s="34"/>
      <c r="E1139" s="34"/>
      <c r="F1139" s="34"/>
      <c r="G1139" s="34"/>
      <c r="H1139" s="34"/>
      <c r="I1139" s="34"/>
      <c r="J1139" s="31"/>
    </row>
    <row r="1140" spans="1:10" x14ac:dyDescent="0.15">
      <c r="A1140" s="34"/>
      <c r="B1140" s="34"/>
      <c r="C1140" s="34"/>
      <c r="D1140" s="34"/>
      <c r="E1140" s="34"/>
      <c r="F1140" s="34"/>
      <c r="G1140" s="34"/>
      <c r="H1140" s="34"/>
      <c r="I1140" s="34"/>
      <c r="J1140" s="31"/>
    </row>
    <row r="1141" spans="1:10" x14ac:dyDescent="0.15">
      <c r="A1141" s="34"/>
      <c r="B1141" s="34"/>
      <c r="C1141" s="34"/>
      <c r="D1141" s="34"/>
      <c r="E1141" s="34"/>
      <c r="F1141" s="34"/>
      <c r="G1141" s="34"/>
      <c r="H1141" s="34"/>
      <c r="I1141" s="34"/>
      <c r="J1141" s="31"/>
    </row>
    <row r="1142" spans="1:10" x14ac:dyDescent="0.15">
      <c r="A1142" s="34"/>
      <c r="B1142" s="34"/>
      <c r="C1142" s="34"/>
      <c r="D1142" s="34"/>
      <c r="E1142" s="34"/>
      <c r="F1142" s="34"/>
      <c r="G1142" s="34"/>
      <c r="H1142" s="34"/>
      <c r="I1142" s="34"/>
      <c r="J1142" s="31"/>
    </row>
    <row r="1143" spans="1:10" x14ac:dyDescent="0.15">
      <c r="A1143" s="34"/>
      <c r="B1143" s="34"/>
      <c r="C1143" s="34"/>
      <c r="D1143" s="34"/>
      <c r="E1143" s="34"/>
      <c r="F1143" s="34"/>
      <c r="G1143" s="34"/>
      <c r="H1143" s="34"/>
      <c r="I1143" s="34"/>
      <c r="J1143" s="31"/>
    </row>
    <row r="1144" spans="1:10" x14ac:dyDescent="0.15">
      <c r="A1144" s="34"/>
      <c r="B1144" s="34"/>
      <c r="C1144" s="34"/>
      <c r="D1144" s="34"/>
      <c r="E1144" s="34"/>
      <c r="F1144" s="34"/>
      <c r="G1144" s="34"/>
      <c r="H1144" s="34"/>
      <c r="I1144" s="34"/>
      <c r="J1144" s="31"/>
    </row>
    <row r="1145" spans="1:10" x14ac:dyDescent="0.15">
      <c r="A1145" s="34"/>
      <c r="B1145" s="34"/>
      <c r="C1145" s="34"/>
      <c r="D1145" s="34"/>
      <c r="E1145" s="34"/>
      <c r="F1145" s="34"/>
      <c r="G1145" s="34"/>
      <c r="H1145" s="34"/>
      <c r="I1145" s="34"/>
      <c r="J1145" s="31"/>
    </row>
    <row r="1146" spans="1:10" x14ac:dyDescent="0.15">
      <c r="A1146" s="34"/>
      <c r="B1146" s="34"/>
      <c r="C1146" s="34"/>
      <c r="D1146" s="34"/>
      <c r="E1146" s="34"/>
      <c r="F1146" s="34"/>
      <c r="G1146" s="34"/>
      <c r="H1146" s="34"/>
      <c r="I1146" s="34"/>
      <c r="J1146" s="31"/>
    </row>
    <row r="1147" spans="1:10" x14ac:dyDescent="0.15">
      <c r="A1147" s="34"/>
      <c r="B1147" s="34"/>
      <c r="C1147" s="34"/>
      <c r="D1147" s="34"/>
      <c r="E1147" s="34"/>
      <c r="F1147" s="34"/>
      <c r="G1147" s="34"/>
      <c r="H1147" s="34"/>
      <c r="I1147" s="34"/>
      <c r="J1147" s="31"/>
    </row>
    <row r="1148" spans="1:10" x14ac:dyDescent="0.15">
      <c r="A1148" s="34"/>
      <c r="B1148" s="34"/>
      <c r="C1148" s="34"/>
      <c r="D1148" s="34"/>
      <c r="E1148" s="34"/>
      <c r="F1148" s="34"/>
      <c r="G1148" s="34"/>
      <c r="H1148" s="34"/>
      <c r="I1148" s="34"/>
      <c r="J1148" s="31"/>
    </row>
    <row r="1149" spans="1:10" x14ac:dyDescent="0.15">
      <c r="A1149" s="34"/>
      <c r="B1149" s="34"/>
      <c r="C1149" s="34"/>
      <c r="D1149" s="34"/>
      <c r="E1149" s="34"/>
      <c r="F1149" s="34"/>
      <c r="G1149" s="34"/>
      <c r="H1149" s="34"/>
      <c r="I1149" s="34"/>
      <c r="J1149" s="31"/>
    </row>
    <row r="1150" spans="1:10" x14ac:dyDescent="0.15">
      <c r="A1150" s="34"/>
      <c r="B1150" s="34"/>
      <c r="C1150" s="34"/>
      <c r="D1150" s="34"/>
      <c r="E1150" s="34"/>
      <c r="F1150" s="34"/>
      <c r="G1150" s="34"/>
      <c r="H1150" s="34"/>
      <c r="I1150" s="34"/>
      <c r="J1150" s="31"/>
    </row>
    <row r="1151" spans="1:10" x14ac:dyDescent="0.15">
      <c r="A1151" s="34"/>
      <c r="B1151" s="34"/>
      <c r="C1151" s="34"/>
      <c r="D1151" s="34"/>
      <c r="E1151" s="34"/>
      <c r="F1151" s="34"/>
      <c r="G1151" s="34"/>
      <c r="H1151" s="34"/>
      <c r="I1151" s="34"/>
      <c r="J1151" s="31"/>
    </row>
    <row r="1152" spans="1:10" x14ac:dyDescent="0.15">
      <c r="A1152" s="34"/>
      <c r="B1152" s="34"/>
      <c r="C1152" s="34"/>
      <c r="D1152" s="34"/>
      <c r="E1152" s="34"/>
      <c r="F1152" s="34"/>
      <c r="G1152" s="34"/>
      <c r="H1152" s="34"/>
      <c r="I1152" s="34"/>
      <c r="J1152" s="31"/>
    </row>
    <row r="1153" spans="1:10" x14ac:dyDescent="0.15">
      <c r="A1153" s="34"/>
      <c r="B1153" s="34"/>
      <c r="C1153" s="34"/>
      <c r="D1153" s="34"/>
      <c r="E1153" s="34"/>
      <c r="F1153" s="34"/>
      <c r="G1153" s="34"/>
      <c r="H1153" s="34"/>
      <c r="I1153" s="34"/>
      <c r="J1153" s="31"/>
    </row>
    <row r="1154" spans="1:10" x14ac:dyDescent="0.15">
      <c r="A1154" s="34"/>
      <c r="B1154" s="34"/>
      <c r="C1154" s="34"/>
      <c r="D1154" s="34"/>
      <c r="E1154" s="34"/>
      <c r="F1154" s="34"/>
      <c r="G1154" s="34"/>
      <c r="H1154" s="34"/>
      <c r="I1154" s="34"/>
      <c r="J1154" s="31"/>
    </row>
    <row r="1155" spans="1:10" x14ac:dyDescent="0.15">
      <c r="A1155" s="34"/>
      <c r="B1155" s="34"/>
      <c r="C1155" s="34"/>
      <c r="D1155" s="34"/>
      <c r="E1155" s="34"/>
      <c r="F1155" s="34"/>
      <c r="G1155" s="34"/>
      <c r="H1155" s="34"/>
      <c r="I1155" s="34"/>
      <c r="J1155" s="31"/>
    </row>
    <row r="1156" spans="1:10" x14ac:dyDescent="0.15">
      <c r="A1156" s="34"/>
      <c r="B1156" s="34"/>
      <c r="C1156" s="34"/>
      <c r="D1156" s="34"/>
      <c r="E1156" s="34"/>
      <c r="F1156" s="34"/>
      <c r="G1156" s="34"/>
      <c r="H1156" s="34"/>
      <c r="I1156" s="34"/>
      <c r="J1156" s="31"/>
    </row>
    <row r="1157" spans="1:10" x14ac:dyDescent="0.15">
      <c r="A1157" s="34"/>
      <c r="B1157" s="34"/>
      <c r="C1157" s="34"/>
      <c r="D1157" s="34"/>
      <c r="E1157" s="34"/>
      <c r="F1157" s="34"/>
      <c r="G1157" s="34"/>
      <c r="H1157" s="34"/>
      <c r="I1157" s="34"/>
      <c r="J1157" s="31"/>
    </row>
    <row r="1158" spans="1:10" x14ac:dyDescent="0.15">
      <c r="A1158" s="34"/>
      <c r="B1158" s="34"/>
      <c r="C1158" s="34"/>
      <c r="D1158" s="34"/>
      <c r="E1158" s="34"/>
      <c r="F1158" s="34"/>
      <c r="G1158" s="34"/>
      <c r="H1158" s="34"/>
      <c r="I1158" s="34"/>
      <c r="J1158" s="31"/>
    </row>
    <row r="1159" spans="1:10" x14ac:dyDescent="0.15">
      <c r="A1159" s="34"/>
      <c r="B1159" s="34"/>
      <c r="C1159" s="34"/>
      <c r="D1159" s="34"/>
      <c r="E1159" s="34"/>
      <c r="F1159" s="34"/>
      <c r="G1159" s="34"/>
      <c r="H1159" s="34"/>
      <c r="I1159" s="34"/>
      <c r="J1159" s="31"/>
    </row>
    <row r="1160" spans="1:10" x14ac:dyDescent="0.15">
      <c r="A1160" s="34"/>
      <c r="B1160" s="34"/>
      <c r="C1160" s="34"/>
      <c r="D1160" s="34"/>
      <c r="E1160" s="34"/>
      <c r="F1160" s="34"/>
      <c r="G1160" s="34"/>
      <c r="H1160" s="34"/>
      <c r="I1160" s="34"/>
      <c r="J1160" s="31"/>
    </row>
    <row r="1161" spans="1:10" x14ac:dyDescent="0.15">
      <c r="A1161" s="34"/>
      <c r="B1161" s="34"/>
      <c r="C1161" s="34"/>
      <c r="D1161" s="34"/>
      <c r="E1161" s="34"/>
      <c r="F1161" s="34"/>
      <c r="G1161" s="34"/>
      <c r="H1161" s="34"/>
      <c r="I1161" s="34"/>
      <c r="J1161" s="31"/>
    </row>
    <row r="1162" spans="1:10" x14ac:dyDescent="0.15">
      <c r="A1162" s="34"/>
      <c r="B1162" s="34"/>
      <c r="C1162" s="34"/>
      <c r="D1162" s="34"/>
      <c r="E1162" s="34"/>
      <c r="F1162" s="34"/>
      <c r="G1162" s="34"/>
      <c r="H1162" s="34"/>
      <c r="I1162" s="34"/>
      <c r="J1162" s="31"/>
    </row>
    <row r="1163" spans="1:10" x14ac:dyDescent="0.15">
      <c r="A1163" s="34"/>
      <c r="B1163" s="34"/>
      <c r="C1163" s="34"/>
      <c r="D1163" s="34"/>
      <c r="E1163" s="34"/>
      <c r="F1163" s="34"/>
      <c r="G1163" s="34"/>
      <c r="H1163" s="34"/>
      <c r="I1163" s="34"/>
      <c r="J1163" s="31"/>
    </row>
    <row r="1164" spans="1:10" x14ac:dyDescent="0.15">
      <c r="A1164" s="34"/>
      <c r="B1164" s="34"/>
      <c r="C1164" s="34"/>
      <c r="D1164" s="34"/>
      <c r="E1164" s="34"/>
      <c r="F1164" s="34"/>
      <c r="G1164" s="34"/>
      <c r="H1164" s="34"/>
      <c r="I1164" s="34"/>
      <c r="J1164" s="31"/>
    </row>
    <row r="1165" spans="1:10" x14ac:dyDescent="0.15">
      <c r="A1165" s="34"/>
      <c r="B1165" s="34"/>
      <c r="C1165" s="34"/>
      <c r="D1165" s="34"/>
      <c r="E1165" s="34"/>
      <c r="F1165" s="34"/>
      <c r="G1165" s="34"/>
      <c r="H1165" s="34"/>
      <c r="I1165" s="34"/>
      <c r="J1165" s="31"/>
    </row>
    <row r="1166" spans="1:10" x14ac:dyDescent="0.15">
      <c r="A1166" s="34"/>
      <c r="B1166" s="34"/>
      <c r="C1166" s="34"/>
      <c r="D1166" s="34"/>
      <c r="E1166" s="34"/>
      <c r="F1166" s="34"/>
      <c r="G1166" s="34"/>
      <c r="H1166" s="34"/>
      <c r="I1166" s="34"/>
      <c r="J1166" s="31"/>
    </row>
    <row r="1167" spans="1:10" x14ac:dyDescent="0.15">
      <c r="A1167" s="34"/>
      <c r="B1167" s="34"/>
      <c r="C1167" s="34"/>
      <c r="D1167" s="34"/>
      <c r="E1167" s="34"/>
      <c r="F1167" s="34"/>
      <c r="G1167" s="34"/>
      <c r="H1167" s="34"/>
      <c r="I1167" s="34"/>
      <c r="J1167" s="31"/>
    </row>
    <row r="1168" spans="1:10" x14ac:dyDescent="0.15">
      <c r="A1168" s="34"/>
      <c r="B1168" s="34"/>
      <c r="C1168" s="34"/>
      <c r="D1168" s="34"/>
      <c r="E1168" s="34"/>
      <c r="F1168" s="34"/>
      <c r="G1168" s="34"/>
      <c r="H1168" s="34"/>
      <c r="I1168" s="34"/>
      <c r="J1168" s="31"/>
    </row>
    <row r="1169" spans="1:10" x14ac:dyDescent="0.15">
      <c r="A1169" s="34"/>
      <c r="B1169" s="34"/>
      <c r="C1169" s="34"/>
      <c r="D1169" s="34"/>
      <c r="E1169" s="34"/>
      <c r="F1169" s="34"/>
      <c r="G1169" s="34"/>
      <c r="H1169" s="34"/>
      <c r="I1169" s="34"/>
      <c r="J1169" s="31"/>
    </row>
    <row r="1170" spans="1:10" x14ac:dyDescent="0.15">
      <c r="A1170" s="34"/>
      <c r="B1170" s="34"/>
      <c r="C1170" s="34"/>
      <c r="D1170" s="34"/>
      <c r="E1170" s="34"/>
      <c r="F1170" s="34"/>
      <c r="G1170" s="34"/>
      <c r="H1170" s="34"/>
      <c r="I1170" s="34"/>
      <c r="J1170" s="31"/>
    </row>
    <row r="1171" spans="1:10" x14ac:dyDescent="0.15">
      <c r="A1171" s="34"/>
      <c r="B1171" s="34"/>
      <c r="C1171" s="34"/>
      <c r="D1171" s="34"/>
      <c r="E1171" s="34"/>
      <c r="F1171" s="34"/>
      <c r="G1171" s="34"/>
      <c r="H1171" s="34"/>
      <c r="I1171" s="34"/>
      <c r="J1171" s="31"/>
    </row>
    <row r="1172" spans="1:10" x14ac:dyDescent="0.15">
      <c r="A1172" s="34"/>
      <c r="B1172" s="34"/>
      <c r="C1172" s="34"/>
      <c r="D1172" s="34"/>
      <c r="E1172" s="34"/>
      <c r="F1172" s="34"/>
      <c r="G1172" s="34"/>
      <c r="H1172" s="34"/>
      <c r="I1172" s="34"/>
      <c r="J1172" s="31"/>
    </row>
    <row r="1173" spans="1:10" x14ac:dyDescent="0.15">
      <c r="A1173" s="34"/>
      <c r="B1173" s="34"/>
      <c r="C1173" s="34"/>
      <c r="D1173" s="34"/>
      <c r="E1173" s="34"/>
      <c r="F1173" s="34"/>
      <c r="G1173" s="34"/>
      <c r="H1173" s="34"/>
      <c r="I1173" s="34"/>
      <c r="J1173" s="31"/>
    </row>
    <row r="1174" spans="1:10" x14ac:dyDescent="0.15">
      <c r="A1174" s="34"/>
      <c r="B1174" s="34"/>
      <c r="C1174" s="34"/>
      <c r="D1174" s="34"/>
      <c r="E1174" s="34"/>
      <c r="F1174" s="34"/>
      <c r="G1174" s="34"/>
      <c r="H1174" s="34"/>
      <c r="I1174" s="34"/>
      <c r="J1174" s="31"/>
    </row>
    <row r="1175" spans="1:10" x14ac:dyDescent="0.15">
      <c r="A1175" s="34"/>
      <c r="B1175" s="34"/>
      <c r="C1175" s="34"/>
      <c r="D1175" s="34"/>
      <c r="E1175" s="34"/>
      <c r="F1175" s="34"/>
      <c r="G1175" s="34"/>
      <c r="H1175" s="34"/>
      <c r="I1175" s="34"/>
      <c r="J1175" s="31"/>
    </row>
    <row r="1176" spans="1:10" x14ac:dyDescent="0.15">
      <c r="A1176" s="34"/>
      <c r="B1176" s="34"/>
      <c r="C1176" s="34"/>
      <c r="D1176" s="34"/>
      <c r="E1176" s="34"/>
      <c r="F1176" s="34"/>
      <c r="G1176" s="34"/>
      <c r="H1176" s="34"/>
      <c r="I1176" s="34"/>
      <c r="J1176" s="31"/>
    </row>
    <row r="1177" spans="1:10" x14ac:dyDescent="0.15">
      <c r="A1177" s="34"/>
      <c r="B1177" s="34"/>
      <c r="C1177" s="34"/>
      <c r="D1177" s="34"/>
      <c r="E1177" s="34"/>
      <c r="F1177" s="34"/>
      <c r="G1177" s="34"/>
      <c r="H1177" s="34"/>
      <c r="I1177" s="34"/>
      <c r="J1177" s="31"/>
    </row>
    <row r="1178" spans="1:10" x14ac:dyDescent="0.15">
      <c r="A1178" s="34"/>
      <c r="B1178" s="34"/>
      <c r="C1178" s="34"/>
      <c r="D1178" s="34"/>
      <c r="E1178" s="34"/>
      <c r="F1178" s="34"/>
      <c r="G1178" s="34"/>
      <c r="H1178" s="34"/>
      <c r="I1178" s="34"/>
      <c r="J1178" s="31"/>
    </row>
    <row r="1179" spans="1:10" x14ac:dyDescent="0.15">
      <c r="A1179" s="34"/>
      <c r="B1179" s="34"/>
      <c r="C1179" s="34"/>
      <c r="D1179" s="34"/>
      <c r="E1179" s="34"/>
      <c r="F1179" s="34"/>
      <c r="G1179" s="34"/>
      <c r="H1179" s="34"/>
      <c r="I1179" s="34"/>
      <c r="J1179" s="31"/>
    </row>
    <row r="1180" spans="1:10" x14ac:dyDescent="0.15">
      <c r="A1180" s="34"/>
      <c r="B1180" s="34"/>
      <c r="C1180" s="34"/>
      <c r="D1180" s="34"/>
      <c r="E1180" s="34"/>
      <c r="F1180" s="34"/>
      <c r="G1180" s="34"/>
      <c r="H1180" s="34"/>
      <c r="I1180" s="34"/>
      <c r="J1180" s="31"/>
    </row>
    <row r="1181" spans="1:10" x14ac:dyDescent="0.15">
      <c r="A1181" s="34"/>
      <c r="B1181" s="34"/>
      <c r="C1181" s="34"/>
      <c r="D1181" s="34"/>
      <c r="E1181" s="34"/>
      <c r="F1181" s="34"/>
      <c r="G1181" s="34"/>
      <c r="H1181" s="34"/>
      <c r="I1181" s="34"/>
      <c r="J1181" s="31"/>
    </row>
    <row r="1182" spans="1:10" x14ac:dyDescent="0.15">
      <c r="A1182" s="34"/>
      <c r="B1182" s="34"/>
      <c r="C1182" s="34"/>
      <c r="D1182" s="34"/>
      <c r="E1182" s="34"/>
      <c r="F1182" s="34"/>
      <c r="G1182" s="34"/>
      <c r="H1182" s="34"/>
      <c r="I1182" s="34"/>
      <c r="J1182" s="31"/>
    </row>
    <row r="1183" spans="1:10" x14ac:dyDescent="0.15">
      <c r="A1183" s="34"/>
      <c r="B1183" s="34"/>
      <c r="C1183" s="34"/>
      <c r="D1183" s="34"/>
      <c r="E1183" s="34"/>
      <c r="F1183" s="34"/>
      <c r="G1183" s="34"/>
      <c r="H1183" s="34"/>
      <c r="I1183" s="34"/>
      <c r="J1183" s="31"/>
    </row>
    <row r="1184" spans="1:10" x14ac:dyDescent="0.15">
      <c r="A1184" s="34"/>
      <c r="B1184" s="34"/>
      <c r="C1184" s="34"/>
      <c r="D1184" s="34"/>
      <c r="E1184" s="34"/>
      <c r="F1184" s="34"/>
      <c r="G1184" s="34"/>
      <c r="H1184" s="34"/>
      <c r="I1184" s="34"/>
      <c r="J1184" s="31"/>
    </row>
    <row r="1185" spans="1:10" x14ac:dyDescent="0.15">
      <c r="A1185" s="34"/>
      <c r="B1185" s="34"/>
      <c r="C1185" s="34"/>
      <c r="D1185" s="34"/>
      <c r="E1185" s="34"/>
      <c r="F1185" s="34"/>
      <c r="G1185" s="34"/>
      <c r="H1185" s="34"/>
      <c r="I1185" s="34"/>
      <c r="J1185" s="31"/>
    </row>
    <row r="1186" spans="1:10" x14ac:dyDescent="0.15">
      <c r="A1186" s="34"/>
      <c r="B1186" s="34"/>
      <c r="C1186" s="34"/>
      <c r="D1186" s="34"/>
      <c r="E1186" s="34"/>
      <c r="F1186" s="34"/>
      <c r="G1186" s="34"/>
      <c r="H1186" s="34"/>
      <c r="I1186" s="34"/>
      <c r="J1186" s="31"/>
    </row>
    <row r="1187" spans="1:10" x14ac:dyDescent="0.15">
      <c r="A1187" s="34"/>
      <c r="B1187" s="34"/>
      <c r="C1187" s="34"/>
      <c r="D1187" s="34"/>
      <c r="E1187" s="34"/>
      <c r="F1187" s="34"/>
      <c r="G1187" s="34"/>
      <c r="H1187" s="34"/>
      <c r="I1187" s="34"/>
      <c r="J1187" s="31"/>
    </row>
    <row r="1188" spans="1:10" x14ac:dyDescent="0.15">
      <c r="A1188" s="34"/>
      <c r="B1188" s="34"/>
      <c r="C1188" s="34"/>
      <c r="D1188" s="34"/>
      <c r="E1188" s="34"/>
      <c r="F1188" s="34"/>
      <c r="G1188" s="34"/>
      <c r="H1188" s="34"/>
      <c r="I1188" s="34"/>
      <c r="J1188" s="31"/>
    </row>
    <row r="1189" spans="1:10" x14ac:dyDescent="0.15">
      <c r="A1189" s="34"/>
      <c r="B1189" s="34"/>
      <c r="C1189" s="34"/>
      <c r="D1189" s="34"/>
      <c r="E1189" s="34"/>
      <c r="F1189" s="34"/>
      <c r="G1189" s="34"/>
      <c r="H1189" s="34"/>
      <c r="I1189" s="34"/>
      <c r="J1189" s="31"/>
    </row>
    <row r="1190" spans="1:10" x14ac:dyDescent="0.15">
      <c r="A1190" s="34"/>
      <c r="B1190" s="34"/>
      <c r="C1190" s="34"/>
      <c r="D1190" s="34"/>
      <c r="E1190" s="34"/>
      <c r="F1190" s="34"/>
      <c r="G1190" s="34"/>
      <c r="H1190" s="34"/>
      <c r="I1190" s="34"/>
      <c r="J1190" s="31"/>
    </row>
    <row r="1191" spans="1:10" x14ac:dyDescent="0.15">
      <c r="A1191" s="34"/>
      <c r="B1191" s="34"/>
      <c r="C1191" s="34"/>
      <c r="D1191" s="34"/>
      <c r="E1191" s="34"/>
      <c r="F1191" s="34"/>
      <c r="G1191" s="34"/>
      <c r="H1191" s="34"/>
      <c r="I1191" s="34"/>
      <c r="J1191" s="31"/>
    </row>
    <row r="1192" spans="1:10" x14ac:dyDescent="0.15">
      <c r="A1192" s="34"/>
      <c r="B1192" s="34"/>
      <c r="C1192" s="34"/>
      <c r="D1192" s="34"/>
      <c r="E1192" s="34"/>
      <c r="F1192" s="34"/>
      <c r="G1192" s="34"/>
      <c r="H1192" s="34"/>
      <c r="I1192" s="34"/>
      <c r="J1192" s="31"/>
    </row>
    <row r="1193" spans="1:10" x14ac:dyDescent="0.15">
      <c r="A1193" s="34"/>
      <c r="B1193" s="34"/>
      <c r="C1193" s="34"/>
      <c r="D1193" s="34"/>
      <c r="E1193" s="34"/>
      <c r="F1193" s="34"/>
      <c r="G1193" s="34"/>
      <c r="H1193" s="34"/>
      <c r="I1193" s="34"/>
      <c r="J1193" s="31"/>
    </row>
    <row r="1194" spans="1:10" x14ac:dyDescent="0.15">
      <c r="A1194" s="34"/>
      <c r="B1194" s="34"/>
      <c r="C1194" s="34"/>
      <c r="D1194" s="34"/>
      <c r="E1194" s="34"/>
      <c r="F1194" s="34"/>
      <c r="G1194" s="34"/>
      <c r="H1194" s="34"/>
      <c r="I1194" s="34"/>
      <c r="J1194" s="31"/>
    </row>
    <row r="1195" spans="1:10" x14ac:dyDescent="0.15">
      <c r="A1195" s="34"/>
      <c r="B1195" s="34"/>
      <c r="C1195" s="34"/>
      <c r="D1195" s="34"/>
      <c r="E1195" s="34"/>
      <c r="F1195" s="34"/>
      <c r="G1195" s="34"/>
      <c r="H1195" s="34"/>
      <c r="I1195" s="34"/>
      <c r="J1195" s="31"/>
    </row>
    <row r="1196" spans="1:10" x14ac:dyDescent="0.15">
      <c r="A1196" s="34"/>
      <c r="B1196" s="34"/>
      <c r="C1196" s="34"/>
      <c r="D1196" s="34"/>
      <c r="E1196" s="34"/>
      <c r="F1196" s="34"/>
      <c r="G1196" s="34"/>
      <c r="H1196" s="34"/>
      <c r="I1196" s="34"/>
      <c r="J1196" s="31"/>
    </row>
    <row r="1197" spans="1:10" x14ac:dyDescent="0.15">
      <c r="A1197" s="34"/>
      <c r="B1197" s="34"/>
      <c r="C1197" s="34"/>
      <c r="D1197" s="34"/>
      <c r="E1197" s="34"/>
      <c r="F1197" s="34"/>
      <c r="G1197" s="34"/>
      <c r="H1197" s="34"/>
      <c r="I1197" s="34"/>
      <c r="J1197" s="31"/>
    </row>
    <row r="1198" spans="1:10" x14ac:dyDescent="0.15">
      <c r="A1198" s="34"/>
      <c r="B1198" s="34"/>
      <c r="C1198" s="34"/>
      <c r="D1198" s="34"/>
      <c r="E1198" s="34"/>
      <c r="F1198" s="34"/>
      <c r="G1198" s="34"/>
      <c r="H1198" s="34"/>
      <c r="I1198" s="34"/>
      <c r="J1198" s="31"/>
    </row>
    <row r="1199" spans="1:10" x14ac:dyDescent="0.15">
      <c r="A1199" s="34"/>
      <c r="B1199" s="34"/>
      <c r="C1199" s="34"/>
      <c r="D1199" s="34"/>
      <c r="E1199" s="34"/>
      <c r="F1199" s="34"/>
      <c r="G1199" s="34"/>
      <c r="H1199" s="34"/>
      <c r="I1199" s="34"/>
      <c r="J1199" s="31"/>
    </row>
    <row r="1200" spans="1:10" x14ac:dyDescent="0.15">
      <c r="A1200" s="34"/>
      <c r="B1200" s="34"/>
      <c r="C1200" s="34"/>
      <c r="D1200" s="34"/>
      <c r="E1200" s="34"/>
      <c r="F1200" s="34"/>
      <c r="G1200" s="34"/>
      <c r="H1200" s="34"/>
      <c r="I1200" s="34"/>
      <c r="J1200" s="31"/>
    </row>
    <row r="1201" spans="1:10" x14ac:dyDescent="0.15">
      <c r="A1201" s="34"/>
      <c r="B1201" s="34"/>
      <c r="C1201" s="34"/>
      <c r="D1201" s="34"/>
      <c r="E1201" s="34"/>
      <c r="F1201" s="34"/>
      <c r="G1201" s="34"/>
      <c r="H1201" s="34"/>
      <c r="I1201" s="34"/>
      <c r="J1201" s="31"/>
    </row>
    <row r="1202" spans="1:10" x14ac:dyDescent="0.15">
      <c r="A1202" s="34"/>
      <c r="B1202" s="34"/>
      <c r="C1202" s="34"/>
      <c r="D1202" s="34"/>
      <c r="E1202" s="34"/>
      <c r="F1202" s="34"/>
      <c r="G1202" s="34"/>
      <c r="H1202" s="34"/>
      <c r="I1202" s="34"/>
      <c r="J1202" s="31"/>
    </row>
    <row r="1203" spans="1:10" x14ac:dyDescent="0.15">
      <c r="A1203" s="34"/>
      <c r="B1203" s="34"/>
      <c r="C1203" s="34"/>
      <c r="D1203" s="34"/>
      <c r="E1203" s="34"/>
      <c r="F1203" s="34"/>
      <c r="G1203" s="34"/>
      <c r="H1203" s="34"/>
      <c r="I1203" s="34"/>
      <c r="J1203" s="31"/>
    </row>
    <row r="1204" spans="1:10" x14ac:dyDescent="0.15">
      <c r="A1204" s="34"/>
      <c r="B1204" s="34"/>
      <c r="C1204" s="34"/>
      <c r="D1204" s="34"/>
      <c r="E1204" s="34"/>
      <c r="F1204" s="34"/>
      <c r="G1204" s="34"/>
      <c r="H1204" s="34"/>
      <c r="I1204" s="34"/>
      <c r="J1204" s="31"/>
    </row>
    <row r="1205" spans="1:10" x14ac:dyDescent="0.15">
      <c r="A1205" s="34"/>
      <c r="B1205" s="34"/>
      <c r="C1205" s="34"/>
      <c r="D1205" s="34"/>
      <c r="E1205" s="34"/>
      <c r="F1205" s="34"/>
      <c r="G1205" s="34"/>
      <c r="H1205" s="34"/>
      <c r="I1205" s="34"/>
      <c r="J1205" s="31"/>
    </row>
    <row r="1206" spans="1:10" x14ac:dyDescent="0.15">
      <c r="A1206" s="34"/>
      <c r="B1206" s="34"/>
      <c r="C1206" s="34"/>
      <c r="D1206" s="34"/>
      <c r="E1206" s="34"/>
      <c r="F1206" s="34"/>
      <c r="G1206" s="34"/>
      <c r="H1206" s="34"/>
      <c r="I1206" s="34"/>
      <c r="J1206" s="31"/>
    </row>
    <row r="1207" spans="1:10" x14ac:dyDescent="0.15">
      <c r="A1207" s="34"/>
      <c r="B1207" s="34"/>
      <c r="C1207" s="34"/>
      <c r="D1207" s="34"/>
      <c r="E1207" s="34"/>
      <c r="F1207" s="34"/>
      <c r="G1207" s="34"/>
      <c r="H1207" s="34"/>
      <c r="I1207" s="34"/>
      <c r="J1207" s="31"/>
    </row>
    <row r="1208" spans="1:10" x14ac:dyDescent="0.15">
      <c r="A1208" s="34"/>
      <c r="B1208" s="34"/>
      <c r="C1208" s="34"/>
      <c r="D1208" s="34"/>
      <c r="E1208" s="34"/>
      <c r="F1208" s="34"/>
      <c r="G1208" s="34"/>
      <c r="H1208" s="34"/>
      <c r="I1208" s="34"/>
      <c r="J1208" s="31"/>
    </row>
    <row r="1209" spans="1:10" x14ac:dyDescent="0.15">
      <c r="A1209" s="34"/>
      <c r="B1209" s="34"/>
      <c r="C1209" s="34"/>
      <c r="D1209" s="34"/>
      <c r="E1209" s="34"/>
      <c r="F1209" s="34"/>
      <c r="G1209" s="34"/>
      <c r="H1209" s="34"/>
      <c r="I1209" s="34"/>
      <c r="J1209" s="31"/>
    </row>
    <row r="1210" spans="1:10" x14ac:dyDescent="0.15">
      <c r="A1210" s="34"/>
      <c r="B1210" s="34"/>
      <c r="C1210" s="34"/>
      <c r="D1210" s="34"/>
      <c r="E1210" s="34"/>
      <c r="F1210" s="34"/>
      <c r="G1210" s="34"/>
      <c r="H1210" s="34"/>
      <c r="I1210" s="34"/>
      <c r="J1210" s="31"/>
    </row>
    <row r="1211" spans="1:10" x14ac:dyDescent="0.15">
      <c r="A1211" s="34"/>
      <c r="B1211" s="34"/>
      <c r="C1211" s="34"/>
      <c r="D1211" s="34"/>
      <c r="E1211" s="34"/>
      <c r="F1211" s="34"/>
      <c r="G1211" s="34"/>
      <c r="H1211" s="34"/>
      <c r="I1211" s="34"/>
      <c r="J1211" s="31"/>
    </row>
    <row r="1212" spans="1:10" x14ac:dyDescent="0.15">
      <c r="A1212" s="34"/>
      <c r="B1212" s="34"/>
      <c r="C1212" s="34"/>
      <c r="D1212" s="34"/>
      <c r="E1212" s="34"/>
      <c r="F1212" s="34"/>
      <c r="G1212" s="34"/>
      <c r="H1212" s="34"/>
      <c r="I1212" s="34"/>
      <c r="J1212" s="31"/>
    </row>
    <row r="1213" spans="1:10" x14ac:dyDescent="0.15">
      <c r="A1213" s="34"/>
      <c r="B1213" s="34"/>
      <c r="C1213" s="34"/>
      <c r="D1213" s="34"/>
      <c r="E1213" s="34"/>
      <c r="F1213" s="34"/>
      <c r="G1213" s="34"/>
      <c r="H1213" s="34"/>
      <c r="I1213" s="34"/>
      <c r="J1213" s="31"/>
    </row>
    <row r="1214" spans="1:10" x14ac:dyDescent="0.15">
      <c r="A1214" s="34"/>
      <c r="B1214" s="34"/>
      <c r="C1214" s="34"/>
      <c r="D1214" s="34"/>
      <c r="E1214" s="34"/>
      <c r="F1214" s="34"/>
      <c r="G1214" s="34"/>
      <c r="H1214" s="34"/>
      <c r="I1214" s="34"/>
      <c r="J1214" s="31"/>
    </row>
    <row r="1215" spans="1:10" x14ac:dyDescent="0.15">
      <c r="A1215" s="34"/>
      <c r="B1215" s="34"/>
      <c r="C1215" s="34"/>
      <c r="D1215" s="34"/>
      <c r="E1215" s="34"/>
      <c r="F1215" s="34"/>
      <c r="G1215" s="34"/>
      <c r="H1215" s="34"/>
      <c r="I1215" s="34"/>
      <c r="J1215" s="31"/>
    </row>
    <row r="1216" spans="1:10" x14ac:dyDescent="0.15">
      <c r="A1216" s="34"/>
      <c r="B1216" s="34"/>
      <c r="C1216" s="34"/>
      <c r="D1216" s="34"/>
      <c r="E1216" s="34"/>
      <c r="F1216" s="34"/>
      <c r="G1216" s="34"/>
      <c r="H1216" s="34"/>
      <c r="I1216" s="34"/>
      <c r="J1216" s="31"/>
    </row>
    <row r="1217" spans="1:10" x14ac:dyDescent="0.15">
      <c r="A1217" s="34"/>
      <c r="B1217" s="34"/>
      <c r="C1217" s="34"/>
      <c r="D1217" s="34"/>
      <c r="E1217" s="34"/>
      <c r="F1217" s="34"/>
      <c r="G1217" s="34"/>
      <c r="H1217" s="34"/>
      <c r="I1217" s="34"/>
      <c r="J1217" s="31"/>
    </row>
    <row r="1218" spans="1:10" x14ac:dyDescent="0.15">
      <c r="A1218" s="34"/>
      <c r="B1218" s="34"/>
      <c r="C1218" s="34"/>
      <c r="D1218" s="34"/>
      <c r="E1218" s="34"/>
      <c r="F1218" s="34"/>
      <c r="G1218" s="34"/>
      <c r="H1218" s="34"/>
      <c r="I1218" s="34"/>
      <c r="J1218" s="31"/>
    </row>
    <row r="1219" spans="1:10" x14ac:dyDescent="0.15">
      <c r="A1219" s="34"/>
      <c r="B1219" s="34"/>
      <c r="C1219" s="34"/>
      <c r="D1219" s="34"/>
      <c r="E1219" s="34"/>
      <c r="F1219" s="34"/>
      <c r="G1219" s="34"/>
      <c r="H1219" s="34"/>
      <c r="I1219" s="34"/>
      <c r="J1219" s="31"/>
    </row>
    <row r="1220" spans="1:10" x14ac:dyDescent="0.15">
      <c r="A1220" s="34"/>
      <c r="B1220" s="34"/>
      <c r="C1220" s="34"/>
      <c r="D1220" s="34"/>
      <c r="E1220" s="34"/>
      <c r="F1220" s="34"/>
      <c r="G1220" s="34"/>
      <c r="H1220" s="34"/>
      <c r="I1220" s="34"/>
      <c r="J1220" s="31"/>
    </row>
    <row r="1221" spans="1:10" x14ac:dyDescent="0.15">
      <c r="A1221" s="34"/>
      <c r="B1221" s="34"/>
      <c r="C1221" s="34"/>
      <c r="D1221" s="34"/>
      <c r="E1221" s="34"/>
      <c r="F1221" s="34"/>
      <c r="G1221" s="34"/>
      <c r="H1221" s="34"/>
      <c r="I1221" s="34"/>
      <c r="J1221" s="31"/>
    </row>
    <row r="1222" spans="1:10" x14ac:dyDescent="0.15">
      <c r="A1222" s="34"/>
      <c r="B1222" s="34"/>
      <c r="C1222" s="34"/>
      <c r="D1222" s="34"/>
      <c r="E1222" s="34"/>
      <c r="F1222" s="34"/>
      <c r="G1222" s="34"/>
      <c r="H1222" s="34"/>
      <c r="I1222" s="34"/>
      <c r="J1222" s="31"/>
    </row>
    <row r="1223" spans="1:10" x14ac:dyDescent="0.15">
      <c r="A1223" s="34"/>
      <c r="B1223" s="34"/>
      <c r="C1223" s="34"/>
      <c r="D1223" s="34"/>
      <c r="E1223" s="34"/>
      <c r="F1223" s="34"/>
      <c r="G1223" s="34"/>
      <c r="H1223" s="34"/>
      <c r="I1223" s="34"/>
      <c r="J1223" s="31"/>
    </row>
    <row r="1224" spans="1:10" x14ac:dyDescent="0.15">
      <c r="A1224" s="34"/>
      <c r="B1224" s="34"/>
      <c r="C1224" s="34"/>
      <c r="D1224" s="34"/>
      <c r="E1224" s="34"/>
      <c r="F1224" s="34"/>
      <c r="G1224" s="34"/>
      <c r="H1224" s="34"/>
      <c r="I1224" s="34"/>
      <c r="J1224" s="31"/>
    </row>
    <row r="1225" spans="1:10" x14ac:dyDescent="0.15">
      <c r="A1225" s="34"/>
      <c r="B1225" s="34"/>
      <c r="C1225" s="34"/>
      <c r="D1225" s="34"/>
      <c r="E1225" s="34"/>
      <c r="F1225" s="34"/>
      <c r="G1225" s="34"/>
      <c r="H1225" s="34"/>
      <c r="I1225" s="34"/>
      <c r="J1225" s="31"/>
    </row>
    <row r="1226" spans="1:10" x14ac:dyDescent="0.15">
      <c r="A1226" s="34"/>
      <c r="B1226" s="34"/>
      <c r="C1226" s="34"/>
      <c r="D1226" s="34"/>
      <c r="E1226" s="34"/>
      <c r="F1226" s="34"/>
      <c r="G1226" s="34"/>
      <c r="H1226" s="34"/>
      <c r="I1226" s="34"/>
      <c r="J1226" s="31"/>
    </row>
    <row r="1227" spans="1:10" x14ac:dyDescent="0.15">
      <c r="A1227" s="34"/>
      <c r="B1227" s="34"/>
      <c r="C1227" s="34"/>
      <c r="D1227" s="34"/>
      <c r="E1227" s="34"/>
      <c r="F1227" s="34"/>
      <c r="G1227" s="34"/>
      <c r="H1227" s="34"/>
      <c r="I1227" s="34"/>
      <c r="J1227" s="31"/>
    </row>
    <row r="1228" spans="1:10" x14ac:dyDescent="0.15">
      <c r="A1228" s="34"/>
      <c r="B1228" s="34"/>
      <c r="C1228" s="34"/>
      <c r="D1228" s="34"/>
      <c r="E1228" s="34"/>
      <c r="F1228" s="34"/>
      <c r="G1228" s="34"/>
      <c r="H1228" s="34"/>
      <c r="I1228" s="34"/>
      <c r="J1228" s="31"/>
    </row>
    <row r="1229" spans="1:10" x14ac:dyDescent="0.15">
      <c r="A1229" s="34"/>
      <c r="B1229" s="34"/>
      <c r="C1229" s="34"/>
      <c r="D1229" s="34"/>
      <c r="E1229" s="34"/>
      <c r="F1229" s="34"/>
      <c r="G1229" s="34"/>
      <c r="H1229" s="34"/>
      <c r="I1229" s="34"/>
      <c r="J1229" s="31"/>
    </row>
    <row r="1230" spans="1:10" x14ac:dyDescent="0.15">
      <c r="A1230" s="34"/>
      <c r="B1230" s="34"/>
      <c r="C1230" s="34"/>
      <c r="D1230" s="34"/>
      <c r="E1230" s="34"/>
      <c r="F1230" s="34"/>
      <c r="G1230" s="34"/>
      <c r="H1230" s="34"/>
      <c r="I1230" s="34"/>
      <c r="J1230" s="31"/>
    </row>
    <row r="1231" spans="1:10" x14ac:dyDescent="0.15">
      <c r="A1231" s="34"/>
      <c r="B1231" s="34"/>
      <c r="C1231" s="34"/>
      <c r="D1231" s="34"/>
      <c r="E1231" s="34"/>
      <c r="F1231" s="34"/>
      <c r="G1231" s="34"/>
      <c r="H1231" s="34"/>
      <c r="I1231" s="34"/>
      <c r="J1231" s="31"/>
    </row>
    <row r="1232" spans="1:10" x14ac:dyDescent="0.15">
      <c r="A1232" s="34"/>
      <c r="B1232" s="34"/>
      <c r="C1232" s="34"/>
      <c r="D1232" s="34"/>
      <c r="E1232" s="34"/>
      <c r="F1232" s="34"/>
      <c r="G1232" s="34"/>
      <c r="H1232" s="34"/>
      <c r="I1232" s="34"/>
      <c r="J1232" s="31"/>
    </row>
    <row r="1233" spans="1:220" x14ac:dyDescent="0.15">
      <c r="A1233" s="34"/>
      <c r="B1233" s="34"/>
      <c r="C1233" s="34"/>
      <c r="D1233" s="34"/>
      <c r="E1233" s="34"/>
      <c r="F1233" s="34"/>
      <c r="G1233" s="34"/>
      <c r="H1233" s="34"/>
      <c r="I1233" s="34"/>
      <c r="J1233" s="31"/>
    </row>
    <row r="1234" spans="1:220" x14ac:dyDescent="0.15">
      <c r="A1234" s="34"/>
      <c r="B1234" s="34"/>
      <c r="C1234" s="34"/>
      <c r="D1234" s="34"/>
      <c r="E1234" s="34"/>
      <c r="F1234" s="34"/>
      <c r="G1234" s="34"/>
      <c r="H1234" s="34"/>
      <c r="I1234" s="34"/>
      <c r="J1234" s="31"/>
    </row>
    <row r="1235" spans="1:220" x14ac:dyDescent="0.15">
      <c r="A1235" s="34"/>
      <c r="B1235" s="34"/>
      <c r="C1235" s="34"/>
      <c r="D1235" s="34"/>
      <c r="E1235" s="34"/>
      <c r="F1235" s="34"/>
      <c r="G1235" s="34"/>
      <c r="H1235" s="34"/>
      <c r="I1235" s="34"/>
      <c r="J1235" s="31"/>
    </row>
    <row r="1236" spans="1:220" x14ac:dyDescent="0.15">
      <c r="A1236" s="34"/>
      <c r="B1236" s="34"/>
      <c r="C1236" s="34"/>
      <c r="D1236" s="34"/>
      <c r="E1236" s="34"/>
      <c r="F1236" s="34"/>
      <c r="G1236" s="34"/>
      <c r="H1236" s="34"/>
      <c r="I1236" s="34"/>
      <c r="J1236" s="31"/>
    </row>
    <row r="1237" spans="1:220" x14ac:dyDescent="0.15">
      <c r="A1237" s="34"/>
      <c r="B1237" s="34"/>
      <c r="C1237" s="34"/>
      <c r="D1237" s="34"/>
      <c r="E1237" s="34"/>
      <c r="F1237" s="34"/>
      <c r="G1237" s="34"/>
      <c r="H1237" s="34"/>
      <c r="I1237" s="34"/>
      <c r="J1237" s="31"/>
    </row>
    <row r="1238" spans="1:220" x14ac:dyDescent="0.15">
      <c r="A1238" s="34"/>
      <c r="B1238" s="34"/>
      <c r="C1238" s="34"/>
      <c r="D1238" s="34"/>
      <c r="E1238" s="34"/>
      <c r="F1238" s="34"/>
      <c r="G1238" s="34"/>
      <c r="H1238" s="34"/>
      <c r="I1238" s="34"/>
      <c r="J1238" s="31"/>
    </row>
    <row r="1239" spans="1:220" x14ac:dyDescent="0.15">
      <c r="A1239" s="34"/>
      <c r="B1239" s="34"/>
      <c r="C1239" s="34"/>
      <c r="D1239" s="34"/>
      <c r="E1239" s="34"/>
      <c r="F1239" s="34"/>
      <c r="G1239" s="34"/>
      <c r="H1239" s="34"/>
      <c r="I1239" s="34"/>
      <c r="J1239" s="31"/>
    </row>
    <row r="1240" spans="1:220" x14ac:dyDescent="0.15">
      <c r="A1240" s="34"/>
      <c r="B1240" s="34"/>
      <c r="C1240" s="34"/>
      <c r="D1240" s="34"/>
      <c r="E1240" s="34"/>
      <c r="F1240" s="34"/>
      <c r="G1240" s="34"/>
      <c r="H1240" s="34"/>
      <c r="I1240" s="34"/>
      <c r="J1240" s="31"/>
    </row>
    <row r="1241" spans="1:220" x14ac:dyDescent="0.15">
      <c r="A1241" s="34"/>
      <c r="B1241" s="34"/>
      <c r="C1241" s="34"/>
      <c r="D1241" s="34"/>
      <c r="E1241" s="34"/>
      <c r="F1241" s="34"/>
      <c r="G1241" s="34"/>
      <c r="H1241" s="34"/>
      <c r="I1241" s="34"/>
      <c r="J1241" s="31"/>
    </row>
    <row r="1242" spans="1:220" x14ac:dyDescent="0.15">
      <c r="A1242" s="34"/>
      <c r="B1242" s="34"/>
      <c r="C1242" s="34"/>
      <c r="D1242" s="34"/>
      <c r="E1242" s="34"/>
      <c r="F1242" s="34"/>
      <c r="G1242" s="34"/>
      <c r="H1242" s="34"/>
      <c r="I1242" s="34"/>
      <c r="J1242" s="31"/>
    </row>
    <row r="1243" spans="1:220" x14ac:dyDescent="0.15">
      <c r="A1243" s="34"/>
      <c r="B1243" s="34"/>
      <c r="C1243" s="34"/>
      <c r="D1243" s="34"/>
      <c r="E1243" s="34"/>
      <c r="F1243" s="34"/>
      <c r="G1243" s="34"/>
      <c r="H1243" s="34"/>
      <c r="I1243" s="34"/>
      <c r="J1243" s="31"/>
    </row>
    <row r="1244" spans="1:220" x14ac:dyDescent="0.15">
      <c r="A1244" s="34"/>
      <c r="B1244" s="34"/>
      <c r="C1244" s="34"/>
      <c r="D1244" s="34"/>
      <c r="E1244" s="34"/>
      <c r="F1244" s="34"/>
      <c r="G1244" s="34"/>
      <c r="H1244" s="34"/>
      <c r="I1244" s="34"/>
      <c r="J1244" s="31"/>
    </row>
    <row r="1245" spans="1:220" s="37" customFormat="1" x14ac:dyDescent="0.15">
      <c r="A1245" s="34"/>
      <c r="B1245" s="34"/>
      <c r="C1245" s="34"/>
      <c r="D1245" s="34"/>
      <c r="E1245" s="34"/>
      <c r="F1245" s="34"/>
      <c r="G1245" s="34"/>
      <c r="H1245" s="34"/>
      <c r="I1245" s="34"/>
      <c r="J1245" s="31"/>
      <c r="K1245" s="34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  <c r="CA1245" s="34"/>
      <c r="CB1245" s="34"/>
      <c r="CC1245" s="34"/>
      <c r="CD1245" s="34"/>
      <c r="CE1245" s="34"/>
      <c r="CF1245" s="34"/>
      <c r="CG1245" s="34"/>
      <c r="CH1245" s="34"/>
      <c r="CI1245" s="34"/>
      <c r="CJ1245" s="34"/>
      <c r="CK1245" s="34"/>
      <c r="CL1245" s="34"/>
      <c r="CM1245" s="34"/>
      <c r="CN1245" s="34"/>
      <c r="CO1245" s="34"/>
      <c r="CP1245" s="34"/>
      <c r="CQ1245" s="34"/>
      <c r="CR1245" s="34"/>
      <c r="CS1245" s="34"/>
      <c r="CT1245" s="34"/>
      <c r="CU1245" s="34"/>
      <c r="CV1245" s="34"/>
      <c r="CW1245" s="34"/>
      <c r="CX1245" s="34"/>
      <c r="CY1245" s="34"/>
      <c r="CZ1245" s="34"/>
      <c r="DA1245" s="34"/>
      <c r="DB1245" s="34"/>
      <c r="DC1245" s="34"/>
      <c r="DD1245" s="34"/>
      <c r="DE1245" s="34"/>
      <c r="DF1245" s="34"/>
      <c r="DG1245" s="34"/>
      <c r="DH1245" s="34"/>
      <c r="DI1245" s="34"/>
      <c r="DJ1245" s="34"/>
      <c r="DK1245" s="34"/>
      <c r="DL1245" s="34"/>
      <c r="DM1245" s="34"/>
      <c r="DN1245" s="34"/>
      <c r="DO1245" s="34"/>
      <c r="DP1245" s="34"/>
      <c r="DQ1245" s="34"/>
      <c r="DR1245" s="34"/>
      <c r="DS1245" s="34"/>
      <c r="DT1245" s="34"/>
      <c r="DU1245" s="34"/>
      <c r="DV1245" s="34"/>
      <c r="DW1245" s="34"/>
      <c r="DX1245" s="34"/>
      <c r="DY1245" s="34"/>
      <c r="DZ1245" s="34"/>
      <c r="EA1245" s="34"/>
      <c r="EB1245" s="34"/>
      <c r="EC1245" s="34"/>
      <c r="ED1245" s="34"/>
      <c r="EE1245" s="34"/>
      <c r="EF1245" s="34"/>
      <c r="EG1245" s="34"/>
      <c r="EH1245" s="34"/>
      <c r="EI1245" s="34"/>
      <c r="EJ1245" s="34"/>
      <c r="EK1245" s="34"/>
      <c r="EL1245" s="34"/>
      <c r="EM1245" s="34"/>
      <c r="EN1245" s="34"/>
      <c r="EO1245" s="34"/>
      <c r="EP1245" s="34"/>
      <c r="EQ1245" s="34"/>
      <c r="ER1245" s="34"/>
      <c r="ES1245" s="34"/>
      <c r="ET1245" s="34"/>
      <c r="EU1245" s="34"/>
      <c r="EV1245" s="34"/>
      <c r="EW1245" s="34"/>
      <c r="EX1245" s="34"/>
      <c r="EY1245" s="34"/>
      <c r="EZ1245" s="34"/>
      <c r="FA1245" s="34"/>
      <c r="FB1245" s="34"/>
      <c r="FC1245" s="34"/>
      <c r="FD1245" s="34"/>
      <c r="FE1245" s="34"/>
      <c r="FF1245" s="34"/>
      <c r="FG1245" s="34"/>
      <c r="FH1245" s="34"/>
      <c r="FI1245" s="34"/>
      <c r="FJ1245" s="34"/>
      <c r="FK1245" s="34"/>
      <c r="FL1245" s="34"/>
      <c r="FM1245" s="34"/>
      <c r="FN1245" s="34"/>
      <c r="FO1245" s="34"/>
      <c r="FP1245" s="34"/>
      <c r="FQ1245" s="34"/>
      <c r="FR1245" s="34"/>
      <c r="FS1245" s="34"/>
      <c r="FT1245" s="34"/>
      <c r="FU1245" s="34"/>
      <c r="FV1245" s="34"/>
      <c r="FW1245" s="34"/>
      <c r="FX1245" s="34"/>
      <c r="FY1245" s="34"/>
      <c r="FZ1245" s="34"/>
      <c r="GA1245" s="34"/>
      <c r="GB1245" s="34"/>
      <c r="GC1245" s="34"/>
      <c r="GD1245" s="34"/>
      <c r="GE1245" s="34"/>
      <c r="GF1245" s="34"/>
      <c r="GG1245" s="34"/>
      <c r="GH1245" s="34"/>
      <c r="GI1245" s="34"/>
      <c r="GJ1245" s="34"/>
      <c r="GK1245" s="34"/>
      <c r="GL1245" s="34"/>
      <c r="GM1245" s="34"/>
      <c r="GN1245" s="34"/>
      <c r="GO1245" s="34"/>
      <c r="GP1245" s="34"/>
      <c r="GQ1245" s="34"/>
      <c r="GR1245" s="34"/>
      <c r="GS1245" s="34"/>
      <c r="GT1245" s="34"/>
      <c r="GU1245" s="34"/>
      <c r="GV1245" s="34"/>
      <c r="GW1245" s="34"/>
      <c r="GX1245" s="34"/>
      <c r="GY1245" s="34"/>
      <c r="GZ1245" s="34"/>
      <c r="HA1245" s="34"/>
      <c r="HB1245" s="34"/>
      <c r="HC1245" s="34"/>
      <c r="HD1245" s="34"/>
      <c r="HE1245" s="34"/>
      <c r="HF1245" s="34"/>
      <c r="HG1245" s="34"/>
      <c r="HH1245" s="34"/>
      <c r="HI1245" s="34"/>
      <c r="HJ1245" s="34"/>
      <c r="HK1245" s="34"/>
      <c r="HL1245" s="34"/>
    </row>
    <row r="1246" spans="1:220" s="34" customFormat="1" x14ac:dyDescent="0.15">
      <c r="J1246" s="31"/>
    </row>
    <row r="1247" spans="1:220" s="34" customFormat="1" x14ac:dyDescent="0.15">
      <c r="J1247" s="31"/>
    </row>
    <row r="1248" spans="1:220" s="34" customFormat="1" x14ac:dyDescent="0.15">
      <c r="J1248" s="31"/>
    </row>
    <row r="1249" spans="10:10" s="34" customFormat="1" x14ac:dyDescent="0.15">
      <c r="J1249" s="31"/>
    </row>
    <row r="1250" spans="10:10" s="34" customFormat="1" x14ac:dyDescent="0.15">
      <c r="J1250" s="31"/>
    </row>
    <row r="1251" spans="10:10" s="34" customFormat="1" x14ac:dyDescent="0.15">
      <c r="J1251" s="31"/>
    </row>
    <row r="1252" spans="10:10" s="34" customFormat="1" x14ac:dyDescent="0.15">
      <c r="J1252" s="31"/>
    </row>
    <row r="1253" spans="10:10" s="34" customFormat="1" x14ac:dyDescent="0.15">
      <c r="J1253" s="31"/>
    </row>
  </sheetData>
  <mergeCells count="116">
    <mergeCell ref="A309:A332"/>
    <mergeCell ref="A197:A202"/>
    <mergeCell ref="C198:C199"/>
    <mergeCell ref="C309:C311"/>
    <mergeCell ref="C312:C314"/>
    <mergeCell ref="C315:C317"/>
    <mergeCell ref="C318:C320"/>
    <mergeCell ref="C321:C323"/>
    <mergeCell ref="C324:C327"/>
    <mergeCell ref="C328:C332"/>
    <mergeCell ref="C215:C217"/>
    <mergeCell ref="C218:C220"/>
    <mergeCell ref="C221:C223"/>
    <mergeCell ref="C224:C226"/>
    <mergeCell ref="C227:C229"/>
    <mergeCell ref="C230:C232"/>
    <mergeCell ref="C263:C265"/>
    <mergeCell ref="C266:C268"/>
    <mergeCell ref="C269:C271"/>
    <mergeCell ref="C272:C274"/>
    <mergeCell ref="C251:C253"/>
    <mergeCell ref="C254:C256"/>
    <mergeCell ref="C257:C259"/>
    <mergeCell ref="C260:C262"/>
    <mergeCell ref="C81:C86"/>
    <mergeCell ref="C87:C89"/>
    <mergeCell ref="C56:C58"/>
    <mergeCell ref="G25:I25"/>
    <mergeCell ref="A94:A105"/>
    <mergeCell ref="C95:C105"/>
    <mergeCell ref="G113:I113"/>
    <mergeCell ref="A106:A111"/>
    <mergeCell ref="A112:J112"/>
    <mergeCell ref="C106:C111"/>
    <mergeCell ref="C185:C186"/>
    <mergeCell ref="C177:C178"/>
    <mergeCell ref="C125:C130"/>
    <mergeCell ref="C131:C137"/>
    <mergeCell ref="C138:C142"/>
    <mergeCell ref="C148:C154"/>
    <mergeCell ref="C155:C159"/>
    <mergeCell ref="C143:C147"/>
    <mergeCell ref="A181:A194"/>
    <mergeCell ref="C193:C194"/>
    <mergeCell ref="A333:J333"/>
    <mergeCell ref="G334:I334"/>
    <mergeCell ref="A114:A159"/>
    <mergeCell ref="A160:A178"/>
    <mergeCell ref="A195:J195"/>
    <mergeCell ref="G196:I196"/>
    <mergeCell ref="C173:C174"/>
    <mergeCell ref="C203:C205"/>
    <mergeCell ref="C206:C208"/>
    <mergeCell ref="C209:C211"/>
    <mergeCell ref="C212:C214"/>
    <mergeCell ref="C275:C279"/>
    <mergeCell ref="C280:C284"/>
    <mergeCell ref="A203:A284"/>
    <mergeCell ref="C191:C192"/>
    <mergeCell ref="C175:C176"/>
    <mergeCell ref="C233:C235"/>
    <mergeCell ref="C236:C238"/>
    <mergeCell ref="C239:C241"/>
    <mergeCell ref="C242:C244"/>
    <mergeCell ref="C245:C247"/>
    <mergeCell ref="C248:C250"/>
    <mergeCell ref="C181:C182"/>
    <mergeCell ref="C183:C184"/>
    <mergeCell ref="A1:I1"/>
    <mergeCell ref="A26:A93"/>
    <mergeCell ref="G8:I8"/>
    <mergeCell ref="E2:F2"/>
    <mergeCell ref="E3:F3"/>
    <mergeCell ref="E4:F4"/>
    <mergeCell ref="E5:F5"/>
    <mergeCell ref="A6:J6"/>
    <mergeCell ref="A24:J24"/>
    <mergeCell ref="A7:J7"/>
    <mergeCell ref="C68:C72"/>
    <mergeCell ref="C73:C80"/>
    <mergeCell ref="C59:C63"/>
    <mergeCell ref="C64:C67"/>
    <mergeCell ref="C90:C93"/>
    <mergeCell ref="A9:A22"/>
    <mergeCell ref="C38:C46"/>
    <mergeCell ref="C47:C51"/>
    <mergeCell ref="C52:C55"/>
    <mergeCell ref="C32:C37"/>
    <mergeCell ref="C26:C31"/>
    <mergeCell ref="C14:C16"/>
    <mergeCell ref="C17:C19"/>
    <mergeCell ref="C20:C22"/>
    <mergeCell ref="A350:A364"/>
    <mergeCell ref="A335:A347"/>
    <mergeCell ref="C114:C118"/>
    <mergeCell ref="C120:C121"/>
    <mergeCell ref="C123:C124"/>
    <mergeCell ref="A179:J179"/>
    <mergeCell ref="G180:I180"/>
    <mergeCell ref="C160:C164"/>
    <mergeCell ref="C335:C336"/>
    <mergeCell ref="C337:C340"/>
    <mergeCell ref="C165:C170"/>
    <mergeCell ref="C171:C172"/>
    <mergeCell ref="A348:J348"/>
    <mergeCell ref="A285:A308"/>
    <mergeCell ref="G349:I349"/>
    <mergeCell ref="C187:C188"/>
    <mergeCell ref="C189:C190"/>
    <mergeCell ref="C285:C287"/>
    <mergeCell ref="C288:C290"/>
    <mergeCell ref="C291:C293"/>
    <mergeCell ref="C294:C296"/>
    <mergeCell ref="C297:C299"/>
    <mergeCell ref="C300:C303"/>
    <mergeCell ref="C304:C308"/>
  </mergeCells>
  <phoneticPr fontId="1" type="noConversion"/>
  <hyperlinks>
    <hyperlink ref="J347" r:id="rId1" display="http://192.168.29.162:8080/browse/MTG-9193"/>
  </hyperlinks>
  <pageMargins left="0.7" right="0.7" top="0.75" bottom="0.75" header="0.3" footer="0.3"/>
  <pageSetup paperSize="9"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00FF"/>
  </sheetPr>
  <dimension ref="B1:B26"/>
  <sheetViews>
    <sheetView workbookViewId="0">
      <selection activeCell="C29" sqref="C29"/>
    </sheetView>
  </sheetViews>
  <sheetFormatPr defaultRowHeight="16.5" x14ac:dyDescent="0.15"/>
  <cols>
    <col min="1" max="16384" width="9" style="40"/>
  </cols>
  <sheetData>
    <row r="1" spans="2:2" x14ac:dyDescent="0.15">
      <c r="B1" s="40" t="s">
        <v>36</v>
      </c>
    </row>
    <row r="26" spans="2:2" x14ac:dyDescent="0.15">
      <c r="B26" s="40" t="s">
        <v>37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Visio.Drawing.11" shapeId="1025" r:id="rId4">
          <objectPr defaultSize="0" autoPict="0" r:id="rId5">
            <anchor moveWithCells="1" sizeWithCells="1">
              <from>
                <xdr:col>1</xdr:col>
                <xdr:colOff>19050</xdr:colOff>
                <xdr:row>2</xdr:row>
                <xdr:rowOff>19050</xdr:rowOff>
              </from>
              <to>
                <xdr:col>7</xdr:col>
                <xdr:colOff>666750</xdr:colOff>
                <xdr:row>24</xdr:row>
                <xdr:rowOff>161925</xdr:rowOff>
              </to>
            </anchor>
          </objectPr>
        </oleObject>
      </mc:Choice>
      <mc:Fallback>
        <oleObject progId="Visio.Drawing.11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D36"/>
  <sheetViews>
    <sheetView workbookViewId="0">
      <selection activeCell="G17" sqref="G17"/>
    </sheetView>
  </sheetViews>
  <sheetFormatPr defaultRowHeight="16.5" x14ac:dyDescent="0.15"/>
  <cols>
    <col min="1" max="2" width="9" style="40"/>
    <col min="3" max="3" width="15.25" style="40" customWidth="1"/>
    <col min="4" max="4" width="73.375" style="40" customWidth="1"/>
    <col min="5" max="16384" width="9" style="40"/>
  </cols>
  <sheetData>
    <row r="1" spans="1:4" x14ac:dyDescent="0.15">
      <c r="A1" s="41" t="s">
        <v>2</v>
      </c>
      <c r="B1" s="41" t="s">
        <v>3</v>
      </c>
      <c r="C1" s="41" t="s">
        <v>4</v>
      </c>
      <c r="D1" s="41" t="s">
        <v>5</v>
      </c>
    </row>
    <row r="2" spans="1:4" x14ac:dyDescent="0.15">
      <c r="A2" s="48"/>
      <c r="B2" s="21"/>
      <c r="C2" s="48"/>
      <c r="D2" s="21"/>
    </row>
    <row r="3" spans="1:4" x14ac:dyDescent="0.15">
      <c r="A3" s="48"/>
      <c r="B3" s="21"/>
      <c r="C3" s="48"/>
      <c r="D3" s="21"/>
    </row>
    <row r="4" spans="1:4" x14ac:dyDescent="0.15">
      <c r="A4" s="48"/>
      <c r="B4" s="21"/>
      <c r="C4" s="48"/>
      <c r="D4" s="42"/>
    </row>
    <row r="5" spans="1:4" x14ac:dyDescent="0.15">
      <c r="A5" s="48"/>
      <c r="B5" s="21"/>
      <c r="C5" s="48"/>
      <c r="D5" s="21"/>
    </row>
    <row r="6" spans="1:4" x14ac:dyDescent="0.15">
      <c r="A6" s="48"/>
      <c r="B6" s="21"/>
      <c r="C6" s="48"/>
      <c r="D6" s="42"/>
    </row>
    <row r="7" spans="1:4" x14ac:dyDescent="0.15">
      <c r="A7" s="48"/>
      <c r="B7" s="21"/>
      <c r="C7" s="48"/>
      <c r="D7" s="42"/>
    </row>
    <row r="8" spans="1:4" x14ac:dyDescent="0.15">
      <c r="A8" s="48"/>
      <c r="B8" s="21"/>
      <c r="C8" s="48"/>
      <c r="D8" s="21"/>
    </row>
    <row r="9" spans="1:4" x14ac:dyDescent="0.15">
      <c r="A9" s="48"/>
      <c r="B9" s="21"/>
      <c r="C9" s="48"/>
      <c r="D9" s="21"/>
    </row>
    <row r="10" spans="1:4" x14ac:dyDescent="0.15">
      <c r="A10" s="48"/>
      <c r="B10" s="21"/>
      <c r="C10" s="48"/>
      <c r="D10" s="42"/>
    </row>
    <row r="11" spans="1:4" x14ac:dyDescent="0.15">
      <c r="A11" s="48"/>
      <c r="B11" s="21"/>
      <c r="C11" s="48"/>
      <c r="D11" s="21"/>
    </row>
    <row r="12" spans="1:4" x14ac:dyDescent="0.15">
      <c r="A12" s="48"/>
      <c r="B12" s="21"/>
      <c r="C12" s="48"/>
      <c r="D12" s="43"/>
    </row>
    <row r="13" spans="1:4" x14ac:dyDescent="0.15">
      <c r="A13" s="48"/>
      <c r="B13" s="21"/>
      <c r="C13" s="48"/>
      <c r="D13" s="43"/>
    </row>
    <row r="14" spans="1:4" x14ac:dyDescent="0.15">
      <c r="A14" s="48"/>
      <c r="B14" s="21"/>
      <c r="C14" s="48"/>
      <c r="D14" s="43"/>
    </row>
    <row r="15" spans="1:4" x14ac:dyDescent="0.15">
      <c r="A15" s="48"/>
      <c r="B15" s="21"/>
      <c r="C15" s="48"/>
      <c r="D15" s="43"/>
    </row>
    <row r="16" spans="1:4" x14ac:dyDescent="0.15">
      <c r="A16" s="48"/>
      <c r="B16" s="21"/>
      <c r="C16" s="48"/>
      <c r="D16" s="44"/>
    </row>
    <row r="17" spans="1:4" x14ac:dyDescent="0.15">
      <c r="A17" s="48"/>
      <c r="B17" s="21"/>
      <c r="C17" s="48"/>
      <c r="D17" s="43"/>
    </row>
    <row r="18" spans="1:4" x14ac:dyDescent="0.15">
      <c r="A18" s="48"/>
      <c r="B18" s="21"/>
      <c r="C18" s="48"/>
      <c r="D18" s="43"/>
    </row>
    <row r="19" spans="1:4" x14ac:dyDescent="0.15">
      <c r="A19" s="48"/>
      <c r="B19" s="21"/>
      <c r="C19" s="48"/>
      <c r="D19" s="43"/>
    </row>
    <row r="20" spans="1:4" x14ac:dyDescent="0.15">
      <c r="A20" s="48"/>
      <c r="B20" s="21"/>
      <c r="C20" s="48"/>
      <c r="D20" s="43"/>
    </row>
    <row r="21" spans="1:4" x14ac:dyDescent="0.15">
      <c r="A21" s="48"/>
      <c r="B21" s="21"/>
      <c r="C21" s="48"/>
      <c r="D21" s="43"/>
    </row>
    <row r="22" spans="1:4" x14ac:dyDescent="0.15">
      <c r="A22" s="45"/>
      <c r="B22" s="46"/>
      <c r="C22" s="47"/>
      <c r="D22" s="43"/>
    </row>
    <row r="23" spans="1:4" x14ac:dyDescent="0.15">
      <c r="A23" s="45"/>
      <c r="B23" s="46"/>
      <c r="C23" s="47"/>
      <c r="D23" s="43"/>
    </row>
    <row r="24" spans="1:4" x14ac:dyDescent="0.15">
      <c r="A24" s="45"/>
      <c r="B24" s="46"/>
      <c r="C24" s="48"/>
      <c r="D24" s="43"/>
    </row>
    <row r="25" spans="1:4" x14ac:dyDescent="0.15">
      <c r="A25" s="45"/>
      <c r="B25" s="46"/>
      <c r="C25" s="47"/>
      <c r="D25" s="43"/>
    </row>
    <row r="26" spans="1:4" x14ac:dyDescent="0.15">
      <c r="A26" s="45"/>
      <c r="B26" s="46"/>
      <c r="C26" s="47"/>
      <c r="D26" s="43"/>
    </row>
    <row r="27" spans="1:4" x14ac:dyDescent="0.15">
      <c r="A27" s="48"/>
      <c r="B27" s="21"/>
      <c r="C27" s="48"/>
      <c r="D27" s="43"/>
    </row>
    <row r="28" spans="1:4" x14ac:dyDescent="0.15">
      <c r="A28" s="48"/>
      <c r="B28" s="21"/>
      <c r="C28" s="48"/>
      <c r="D28" s="43"/>
    </row>
    <row r="29" spans="1:4" x14ac:dyDescent="0.15">
      <c r="A29" s="8"/>
      <c r="B29" s="8"/>
      <c r="C29" s="8"/>
      <c r="D29" s="8"/>
    </row>
    <row r="30" spans="1:4" x14ac:dyDescent="0.15">
      <c r="A30" s="8"/>
      <c r="B30" s="8"/>
      <c r="C30" s="8"/>
      <c r="D30" s="8"/>
    </row>
    <row r="31" spans="1:4" x14ac:dyDescent="0.15">
      <c r="A31" s="8"/>
      <c r="B31" s="8"/>
      <c r="C31" s="8"/>
      <c r="D31" s="8"/>
    </row>
    <row r="32" spans="1:4" x14ac:dyDescent="0.15">
      <c r="A32" s="8"/>
      <c r="B32" s="8"/>
      <c r="C32" s="8"/>
      <c r="D32" s="8"/>
    </row>
    <row r="33" spans="1:4" x14ac:dyDescent="0.15">
      <c r="A33" s="8"/>
      <c r="B33" s="8"/>
      <c r="C33" s="8"/>
      <c r="D33" s="8"/>
    </row>
    <row r="34" spans="1:4" x14ac:dyDescent="0.15">
      <c r="A34" s="8"/>
      <c r="B34" s="8"/>
      <c r="C34" s="8"/>
      <c r="D34" s="8"/>
    </row>
    <row r="35" spans="1:4" x14ac:dyDescent="0.15">
      <c r="A35" s="8"/>
      <c r="B35" s="8"/>
      <c r="C35" s="8"/>
      <c r="D35" s="8"/>
    </row>
    <row r="36" spans="1:4" x14ac:dyDescent="0.15">
      <c r="A36" s="8"/>
      <c r="B36" s="8"/>
      <c r="C36" s="8"/>
      <c r="D36" s="8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27" sqref="H27:H28"/>
    </sheetView>
  </sheetViews>
  <sheetFormatPr defaultRowHeight="16.5" x14ac:dyDescent="0.15"/>
  <cols>
    <col min="1" max="16384" width="9" style="40"/>
  </cols>
  <sheetData>
    <row r="1" spans="1:6" x14ac:dyDescent="0.15">
      <c r="A1" s="125" t="s">
        <v>34</v>
      </c>
      <c r="B1" s="126"/>
      <c r="C1" s="126"/>
      <c r="D1" s="126"/>
      <c r="E1" s="126"/>
      <c r="F1" s="126"/>
    </row>
    <row r="2" spans="1:6" x14ac:dyDescent="0.15">
      <c r="A2" s="126"/>
      <c r="B2" s="126"/>
      <c r="C2" s="126"/>
      <c r="D2" s="126"/>
      <c r="E2" s="126"/>
      <c r="F2" s="126"/>
    </row>
    <row r="3" spans="1:6" x14ac:dyDescent="0.15">
      <c r="A3" s="126"/>
      <c r="B3" s="126"/>
      <c r="C3" s="126"/>
      <c r="D3" s="126"/>
      <c r="E3" s="126"/>
      <c r="F3" s="126"/>
    </row>
    <row r="4" spans="1:6" x14ac:dyDescent="0.15">
      <c r="A4" s="126"/>
      <c r="B4" s="126"/>
      <c r="C4" s="126"/>
      <c r="D4" s="126"/>
      <c r="E4" s="126"/>
      <c r="F4" s="126"/>
    </row>
    <row r="5" spans="1:6" x14ac:dyDescent="0.15">
      <c r="A5" s="126"/>
      <c r="B5" s="126"/>
      <c r="C5" s="126"/>
      <c r="D5" s="126"/>
      <c r="E5" s="126"/>
      <c r="F5" s="126"/>
    </row>
    <row r="6" spans="1:6" x14ac:dyDescent="0.15">
      <c r="A6" s="126"/>
      <c r="B6" s="126"/>
      <c r="C6" s="126"/>
      <c r="D6" s="126"/>
      <c r="E6" s="126"/>
      <c r="F6" s="126"/>
    </row>
    <row r="7" spans="1:6" x14ac:dyDescent="0.15">
      <c r="A7" s="126"/>
      <c r="B7" s="126"/>
      <c r="C7" s="126"/>
      <c r="D7" s="126"/>
      <c r="E7" s="126"/>
      <c r="F7" s="126"/>
    </row>
    <row r="8" spans="1:6" x14ac:dyDescent="0.15">
      <c r="A8" s="126"/>
      <c r="B8" s="126"/>
      <c r="C8" s="126"/>
      <c r="D8" s="126"/>
      <c r="E8" s="126"/>
      <c r="F8" s="126"/>
    </row>
    <row r="9" spans="1:6" x14ac:dyDescent="0.15">
      <c r="A9" s="126"/>
      <c r="B9" s="126"/>
      <c r="C9" s="126"/>
      <c r="D9" s="126"/>
      <c r="E9" s="126"/>
      <c r="F9" s="126"/>
    </row>
    <row r="10" spans="1:6" x14ac:dyDescent="0.15">
      <c r="A10" s="126"/>
      <c r="B10" s="126"/>
      <c r="C10" s="126"/>
      <c r="D10" s="126"/>
      <c r="E10" s="126"/>
      <c r="F10" s="126"/>
    </row>
    <row r="11" spans="1:6" x14ac:dyDescent="0.15">
      <c r="A11" s="126"/>
      <c r="B11" s="126"/>
      <c r="C11" s="126"/>
      <c r="D11" s="126"/>
      <c r="E11" s="126"/>
      <c r="F11" s="126"/>
    </row>
    <row r="12" spans="1:6" x14ac:dyDescent="0.15">
      <c r="A12" s="126"/>
      <c r="B12" s="126"/>
      <c r="C12" s="126"/>
      <c r="D12" s="126"/>
      <c r="E12" s="126"/>
      <c r="F12" s="126"/>
    </row>
    <row r="13" spans="1:6" x14ac:dyDescent="0.15">
      <c r="A13" s="126"/>
      <c r="B13" s="126"/>
      <c r="C13" s="126"/>
      <c r="D13" s="126"/>
      <c r="E13" s="126"/>
      <c r="F13" s="126"/>
    </row>
    <row r="14" spans="1:6" x14ac:dyDescent="0.15">
      <c r="A14" s="126"/>
      <c r="B14" s="126"/>
      <c r="C14" s="126"/>
      <c r="D14" s="126"/>
      <c r="E14" s="126"/>
      <c r="F14" s="126"/>
    </row>
    <row r="15" spans="1:6" x14ac:dyDescent="0.15">
      <c r="A15" s="126"/>
      <c r="B15" s="126"/>
      <c r="C15" s="126"/>
      <c r="D15" s="126"/>
      <c r="E15" s="126"/>
      <c r="F15" s="126"/>
    </row>
    <row r="16" spans="1:6" x14ac:dyDescent="0.15">
      <c r="A16" s="126"/>
      <c r="B16" s="126"/>
      <c r="C16" s="126"/>
      <c r="D16" s="126"/>
      <c r="E16" s="126"/>
      <c r="F16" s="126"/>
    </row>
    <row r="17" spans="1:6" x14ac:dyDescent="0.15">
      <c r="A17" s="126"/>
      <c r="B17" s="126"/>
      <c r="C17" s="126"/>
      <c r="D17" s="126"/>
      <c r="E17" s="126"/>
      <c r="F17" s="126"/>
    </row>
    <row r="18" spans="1:6" x14ac:dyDescent="0.15">
      <c r="A18" s="126"/>
      <c r="B18" s="126"/>
      <c r="C18" s="126"/>
      <c r="D18" s="126"/>
      <c r="E18" s="126"/>
      <c r="F18" s="126"/>
    </row>
    <row r="19" spans="1:6" x14ac:dyDescent="0.15">
      <c r="A19" s="126"/>
      <c r="B19" s="126"/>
      <c r="C19" s="126"/>
      <c r="D19" s="126"/>
      <c r="E19" s="126"/>
      <c r="F19" s="126"/>
    </row>
    <row r="20" spans="1:6" x14ac:dyDescent="0.15">
      <c r="A20" s="126"/>
      <c r="B20" s="126"/>
      <c r="C20" s="126"/>
      <c r="D20" s="126"/>
      <c r="E20" s="126"/>
      <c r="F20" s="126"/>
    </row>
    <row r="21" spans="1:6" x14ac:dyDescent="0.15">
      <c r="A21" s="126"/>
      <c r="B21" s="126"/>
      <c r="C21" s="126"/>
      <c r="D21" s="126"/>
      <c r="E21" s="126"/>
      <c r="F21" s="126"/>
    </row>
    <row r="22" spans="1:6" x14ac:dyDescent="0.15">
      <c r="A22" s="126"/>
      <c r="B22" s="126"/>
      <c r="C22" s="126"/>
      <c r="D22" s="126"/>
      <c r="E22" s="126"/>
      <c r="F22" s="126"/>
    </row>
    <row r="23" spans="1:6" x14ac:dyDescent="0.15">
      <c r="A23" s="126"/>
      <c r="B23" s="126"/>
      <c r="C23" s="126"/>
      <c r="D23" s="126"/>
      <c r="E23" s="126"/>
      <c r="F23" s="126"/>
    </row>
    <row r="24" spans="1:6" x14ac:dyDescent="0.15">
      <c r="A24" s="126"/>
      <c r="B24" s="126"/>
      <c r="C24" s="126"/>
      <c r="D24" s="126"/>
      <c r="E24" s="126"/>
      <c r="F24" s="126"/>
    </row>
    <row r="25" spans="1:6" x14ac:dyDescent="0.15">
      <c r="A25" s="126"/>
      <c r="B25" s="126"/>
      <c r="C25" s="126"/>
      <c r="D25" s="126"/>
      <c r="E25" s="126"/>
      <c r="F25" s="126"/>
    </row>
    <row r="26" spans="1:6" x14ac:dyDescent="0.15">
      <c r="A26" s="126"/>
      <c r="B26" s="126"/>
      <c r="C26" s="126"/>
      <c r="D26" s="126"/>
      <c r="E26" s="126"/>
      <c r="F26" s="126"/>
    </row>
    <row r="27" spans="1:6" x14ac:dyDescent="0.15">
      <c r="A27" s="126"/>
      <c r="B27" s="126"/>
      <c r="C27" s="126"/>
      <c r="D27" s="126"/>
      <c r="E27" s="126"/>
      <c r="F27" s="126"/>
    </row>
  </sheetData>
  <mergeCells count="1">
    <mergeCell ref="A1:F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2016-03-28T07:11:45Z</dcterms:modified>
</cp:coreProperties>
</file>