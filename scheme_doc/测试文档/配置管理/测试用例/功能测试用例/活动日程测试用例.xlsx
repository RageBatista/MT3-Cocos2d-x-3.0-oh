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08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<sst xmlns="http://schemas.openxmlformats.org/spreadsheetml/2006/main" count="454">
  <si>
    <t>活动日程测试用例</t>
  </si>
  <si>
    <t xml:space="preserve">设 计 人 : </t>
  </si>
  <si>
    <t>赵新晨</t>
  </si>
  <si>
    <t>暂不处理</t>
  </si>
  <si>
    <t>主要功能分类</t>
  </si>
  <si>
    <t>测试记录</t>
  </si>
  <si>
    <t>备注</t>
  </si>
  <si>
    <t>Case总量</t>
  </si>
  <si>
    <t>设计时间 :</t>
  </si>
  <si>
    <t>2016.2.18</t>
  </si>
  <si>
    <t>需程序自测</t>
  </si>
  <si>
    <t>子功能测试序列</t>
  </si>
  <si>
    <t>测试时间</t>
  </si>
  <si>
    <t>P</t>
  </si>
  <si>
    <t>程    序 ：</t>
  </si>
  <si>
    <t xml:space="preserve">  王剑峰/邓程</t>
  </si>
  <si>
    <t>需策划评估</t>
  </si>
  <si>
    <t>测试序列分类</t>
  </si>
  <si>
    <t>测试版本</t>
  </si>
  <si>
    <t>F</t>
  </si>
  <si>
    <t>策    划 ：</t>
  </si>
  <si>
    <t>许羽佳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</si>
  <si>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</si>
  <si>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</si>
  <si>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</si>
  <si>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</si>
  <si>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</si>
  <si>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</si>
  <si>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一、功能入口&amp;出口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</si>
  <si>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</si>
  <si>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</si>
  <si>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</si>
  <si>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</si>
  <si>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</si>
  <si>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</si>
  <si>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</si>
  <si>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</si>
  <si>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</si>
  <si>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MT-G-HD-001</t>
  </si>
  <si>
    <t>非战斗状态点击主界面上侧【活动】按钮</t>
  </si>
  <si>
    <t>活动界面成功打开</t>
  </si>
  <si>
    <t>MT-G-HD-002</t>
  </si>
  <si>
    <t>战斗状态点击主界面左上角“菜单图标”
打开菜单后点击菜单中【活动】按钮</t>
  </si>
  <si>
    <t>MT-G-HD-003</t>
  </si>
  <si>
    <t>点击活动界面右上角的【X】按钮</t>
  </si>
  <si>
    <t>活动界面成功关闭</t>
  </si>
  <si>
    <t>MT-G-HD-004</t>
  </si>
  <si>
    <t>战斗状态点击活动界面右上角的【X】按钮</t>
  </si>
  <si>
    <t>MT-G-HD-005</t>
  </si>
  <si>
    <t>新建角色，//addlevel 25</t>
  </si>
  <si>
    <t>活动功能开启</t>
  </si>
  <si>
    <t>MT-G-HD-006</t>
  </si>
  <si>
    <t>新手引导活动按钮</t>
  </si>
  <si>
    <t>MT-G-HD-007</t>
  </si>
  <si>
    <t>新建角色，//goquest 181139</t>
  </si>
  <si>
    <t>MT-G-HD-008</t>
  </si>
  <si>
    <t>二、活动界面</t>
  </si>
  <si>
    <t>活动界面</t>
  </si>
  <si>
    <t>MT-G-HD-009</t>
  </si>
  <si>
    <t>检查日常活动界面</t>
  </si>
  <si>
    <t>布局符合要求</t>
  </si>
  <si>
    <t>MT-G-HD-010</t>
  </si>
  <si>
    <t xml:space="preserve">字体美观端正   </t>
  </si>
  <si>
    <t>MT-G-HD-011</t>
  </si>
  <si>
    <t>文字描述无错字</t>
  </si>
  <si>
    <t>MT-G-HD-012</t>
  </si>
  <si>
    <t>文字显示无溢出</t>
  </si>
  <si>
    <t>MT-G-HD-013</t>
  </si>
  <si>
    <t>图标显示正确</t>
  </si>
  <si>
    <t>MT-G-HD-014</t>
  </si>
  <si>
    <t>布局符合要求，画面美观，端正</t>
  </si>
  <si>
    <t>MT-G-HD-015</t>
  </si>
  <si>
    <t>日常活动按钮为高亮状态</t>
  </si>
  <si>
    <t>MT-G-HD-016</t>
  </si>
  <si>
    <t>第一个活动必为推荐任务</t>
  </si>
  <si>
    <t>MT-G-HD-017</t>
  </si>
  <si>
    <t>活动界面最上方为活动标题</t>
  </si>
  <si>
    <t>字体美观端正，无错字，文字无溢出</t>
  </si>
  <si>
    <t>MT-G-HD-018</t>
  </si>
  <si>
    <t>活动界面右上方为活动刷新说明</t>
  </si>
  <si>
    <t>MT-G-HD-019</t>
  </si>
  <si>
    <t>活动界面左上方为活动分类按钮</t>
  </si>
  <si>
    <t>位置正确</t>
  </si>
  <si>
    <t>MT-G-HD-020</t>
  </si>
  <si>
    <t>此按钮为二态按钮</t>
  </si>
  <si>
    <t>MT-G-HD-021</t>
  </si>
  <si>
    <t>活动界面中间为活动列表</t>
  </si>
  <si>
    <t>MT-G-HD-022</t>
  </si>
  <si>
    <t>列表可左右拖动</t>
  </si>
  <si>
    <t>MT-G-HD-023</t>
  </si>
  <si>
    <t>排序为可参加的活动在完成的活动前面</t>
  </si>
  <si>
    <t>MT-G-HD-024</t>
  </si>
  <si>
    <t>活动上方分别是标题、图标、次数、活跃度、参加按钮</t>
  </si>
  <si>
    <t>MT-G-HD-025</t>
  </si>
  <si>
    <t>点击活动图标</t>
  </si>
  <si>
    <t>弹出相应tips</t>
  </si>
  <si>
    <t>MT-G-HD-026</t>
  </si>
  <si>
    <t>MT-G-HD-027</t>
  </si>
  <si>
    <t>MT-G-HD-028</t>
  </si>
  <si>
    <t>tips描述分别为标题、次数、活动时间、任务类型、等级限制、任务描述、活跃度奖励、活动奖励</t>
  </si>
  <si>
    <t>MT-G-HD-029</t>
  </si>
  <si>
    <t>点击除奖励图标外任意位置，tips关闭</t>
  </si>
  <si>
    <t>MT-G-HD-030</t>
  </si>
  <si>
    <t>点击tips中的奖励图标</t>
  </si>
  <si>
    <t>弹出该奖励tips</t>
  </si>
  <si>
    <t>MT-G-HD-031</t>
  </si>
  <si>
    <t>tips内容为该道具的tips</t>
  </si>
  <si>
    <t>MT-G-HD-032</t>
  </si>
  <si>
    <t>MT-G-HD-033</t>
  </si>
  <si>
    <t>点击除该奖励图标外任意位置，tips关闭</t>
  </si>
  <si>
    <t>MT-G-HD-034</t>
  </si>
  <si>
    <t>活动界面下方为活跃度奖励和进度条</t>
  </si>
  <si>
    <t>MT-G-HD-035</t>
  </si>
  <si>
    <t>活跃度奖励和绿条对应位置准确</t>
  </si>
  <si>
    <t>MT-G-HD-036</t>
  </si>
  <si>
    <t>点击活跃度奖励图标</t>
  </si>
  <si>
    <t>MT-G-HD-037</t>
  </si>
  <si>
    <t>MT-G-HD-038</t>
  </si>
  <si>
    <t>MT-G-HD-039</t>
  </si>
  <si>
    <t>MT-G-HD-040</t>
  </si>
  <si>
    <t>//addhyd 20 
查看活跃度绿条</t>
  </si>
  <si>
    <t>绿条对应在20位置</t>
  </si>
  <si>
    <t>MT-G-HD-041</t>
  </si>
  <si>
    <t>对应的活跃度奖励转光圈特效</t>
  </si>
  <si>
    <t>MT-G-HD-042</t>
  </si>
  <si>
    <t>主界面活动按钮有红点提醒</t>
  </si>
  <si>
    <t>MT-G-HD-043</t>
  </si>
  <si>
    <t>战斗状态活动按钮有红点提醒</t>
  </si>
  <si>
    <t>MT-G-HD-044</t>
  </si>
  <si>
    <t>活跃度计数为20</t>
  </si>
  <si>
    <t>MT-G-HD-045</t>
  </si>
  <si>
    <t>//addhyd 200
查看活跃度绿条</t>
  </si>
  <si>
    <t>绿条进度满</t>
  </si>
  <si>
    <t>MT-G-HD-046</t>
  </si>
  <si>
    <t>所有活跃度奖励都转光圈特效</t>
  </si>
  <si>
    <t>MT-G-HD-047</t>
  </si>
  <si>
    <t>MT-G-HD-048</t>
  </si>
  <si>
    <t>MT-G-HD-049</t>
  </si>
  <si>
    <t>绿条长度在界面边缘，不超出界面</t>
  </si>
  <si>
    <t>MT-G-HD-050</t>
  </si>
  <si>
    <t>活跃度计数为200</t>
  </si>
  <si>
    <t>MT-G-HD-051</t>
  </si>
  <si>
    <t>点击限时活动按钮</t>
  </si>
  <si>
    <t>中间活动列表切换到限时活动</t>
  </si>
  <si>
    <t>MT-G-HD-052</t>
  </si>
  <si>
    <t>限时活动按钮变为高亮状态</t>
  </si>
  <si>
    <t>MT-G-HD-053</t>
  </si>
  <si>
    <t>MT-G-HD-054</t>
  </si>
  <si>
    <t>MT-G-HD-055</t>
  </si>
  <si>
    <t>按开启时间进行排序</t>
  </si>
  <si>
    <t>MT-G-HD-056</t>
  </si>
  <si>
    <t>MT-G-HD-057</t>
  </si>
  <si>
    <t>点击限时活动图标</t>
  </si>
  <si>
    <t>MT-G-HD-058</t>
  </si>
  <si>
    <t>MT-G-HD-059</t>
  </si>
  <si>
    <t>MT-G-HD-060</t>
  </si>
  <si>
    <t>MT-G-HD-061</t>
  </si>
  <si>
    <t>MT-G-HD-062</t>
  </si>
  <si>
    <t>MT-G-HD-063</t>
  </si>
  <si>
    <t>MT-G-HD-064</t>
  </si>
  <si>
    <t>MT-G-HD-065</t>
  </si>
  <si>
    <t>MT-G-HD-066</t>
  </si>
  <si>
    <t>限时活动开启时</t>
  </si>
  <si>
    <t>该活动右上角有红点提醒</t>
  </si>
  <si>
    <t>MT-G-HD-067</t>
  </si>
  <si>
    <t>限时活动按钮有红点提醒</t>
  </si>
  <si>
    <t>MT-G-HD-068</t>
  </si>
  <si>
    <t>MT-G-HD-069</t>
  </si>
  <si>
    <t>MT-G-HD-070</t>
  </si>
  <si>
    <t>该活动排序与未开启的前面</t>
  </si>
  <si>
    <t>MT-G-HD-071</t>
  </si>
  <si>
    <t>点击即将开启</t>
  </si>
  <si>
    <t>MT-G-HD-072</t>
  </si>
  <si>
    <t>MT-G-HD-073</t>
  </si>
  <si>
    <t>MT-G-HD-074</t>
  </si>
  <si>
    <t>MT-G-HD-075</t>
  </si>
  <si>
    <t>按开启等级进行排序</t>
  </si>
  <si>
    <t>MT-G-HD-076</t>
  </si>
  <si>
    <t>MT-G-HD-077</t>
  </si>
  <si>
    <t>MT-G-HD-078</t>
  </si>
  <si>
    <t>MT-G-HD-079</t>
  </si>
  <si>
    <t>MT-G-HD-080</t>
  </si>
  <si>
    <t>MT-G-HD-081</t>
  </si>
  <si>
    <t>MT-G-HD-082</t>
  </si>
  <si>
    <t>MT-G-HD-083</t>
  </si>
  <si>
    <t>MT-G-HD-084</t>
  </si>
  <si>
    <t>MT-G-HD-085</t>
  </si>
  <si>
    <t>二、活动功能</t>
  </si>
  <si>
    <t>MT-G-HD-086</t>
  </si>
  <si>
    <t>查看推荐任务</t>
  </si>
  <si>
    <t>推荐任务在第一个位置</t>
  </si>
  <si>
    <t>MT-G-HD-087</t>
  </si>
  <si>
    <t>左上角有推荐角标</t>
  </si>
  <si>
    <t>MT-G-HD-088</t>
  </si>
  <si>
    <t>推荐任务活跃度双倍</t>
  </si>
  <si>
    <t>MT-G-HD-089</t>
  </si>
  <si>
    <t>推荐任务每日随机</t>
  </si>
  <si>
    <t>MT-G-HD-090</t>
  </si>
  <si>
    <t>每个人推荐任务都一样</t>
  </si>
  <si>
    <t>MT-G-HD-091</t>
  </si>
  <si>
    <t>推荐任务完成后排到已完成活动的第一个</t>
  </si>
  <si>
    <t>MT-G-HD-092</t>
  </si>
  <si>
    <t>点击参加按钮</t>
  </si>
  <si>
    <t>活动界面关闭</t>
  </si>
  <si>
    <t>MT-G-HD-093</t>
  </si>
  <si>
    <t>同场景时自动寻路至NPC并对话</t>
  </si>
  <si>
    <t>MT-G-HD-094</t>
  </si>
  <si>
    <t>不同场景时跳转地图后自动寻路至NPC并对话</t>
  </si>
  <si>
    <t>MT-G-HD-095</t>
  </si>
  <si>
    <t>活动次数</t>
  </si>
  <si>
    <t>每完成一次，计数+1</t>
  </si>
  <si>
    <t>MT-G-HD-096</t>
  </si>
  <si>
    <t>次数不会超过上限</t>
  </si>
  <si>
    <t>MT-G-HD-097</t>
  </si>
  <si>
    <t>公会任务次数每周重置</t>
  </si>
  <si>
    <t>MT-G-HD-098</t>
  </si>
  <si>
    <t xml:space="preserve">其他任务都是每日重置                        </t>
  </si>
  <si>
    <t>MT-G-HD-099</t>
  </si>
  <si>
    <t>重置后次数和活跃度为0</t>
  </si>
  <si>
    <t>MT-G-HD-100</t>
  </si>
  <si>
    <t>重置后能继续做满任务</t>
  </si>
  <si>
    <t>MT-G-HD-101</t>
  </si>
  <si>
    <t>活跃度</t>
  </si>
  <si>
    <t>活动次数增加相应活跃度</t>
  </si>
  <si>
    <t>MT-G-HD-102</t>
  </si>
  <si>
    <t>次数上限后，活跃度不会增加</t>
  </si>
  <si>
    <t>MT-G-HD-103</t>
  </si>
  <si>
    <t>活跃度上限后，活跃度不会增加</t>
  </si>
  <si>
    <t>MT-G-HD-104</t>
  </si>
  <si>
    <t>活跃度绿条显示正确</t>
  </si>
  <si>
    <t>MT-G-HD-105</t>
  </si>
  <si>
    <t>达到相应的活跃度数量触发奖励</t>
  </si>
  <si>
    <t>MT-G-HD-106</t>
  </si>
  <si>
    <t>主界面活动按钮会有红点提示</t>
  </si>
  <si>
    <t>MT-G-HD-107</t>
  </si>
  <si>
    <t>触发奖励后有光圈特效</t>
  </si>
  <si>
    <t>MT-G-HD-108</t>
  </si>
  <si>
    <t>领取后有奖励飘入背包动画</t>
  </si>
  <si>
    <t>MT-G-HD-109</t>
  </si>
  <si>
    <t>光圈特效消失</t>
  </si>
  <si>
    <t>MT-G-HD-110</t>
  </si>
  <si>
    <t>奖励图标置灰</t>
  </si>
  <si>
    <t>MT-G-HD-111</t>
  </si>
  <si>
    <t>主界面活动按钮红点提示消失</t>
  </si>
  <si>
    <t>MT-G-HD-112</t>
  </si>
  <si>
    <t>背包满的时候，提示背包空间已满，物品存放临时背包，请及时清理</t>
  </si>
  <si>
    <t>MT-G-HD-113</t>
  </si>
  <si>
    <t>做完活动的所有次数</t>
  </si>
  <si>
    <t>该活动排序到可参加活动的后面</t>
  </si>
  <si>
    <t>MT-G-HD-114</t>
  </si>
  <si>
    <t>参加按钮变成完成图标</t>
  </si>
  <si>
    <t>MT-G-HD-115</t>
  </si>
  <si>
    <t>次数达到上限</t>
  </si>
  <si>
    <t>MT-G-HD-116</t>
  </si>
  <si>
    <t>活跃度达到上限</t>
  </si>
  <si>
    <t>MT-G-HD-117</t>
  </si>
  <si>
    <t>点击限时活动</t>
  </si>
  <si>
    <t>切换到限时活动界面</t>
  </si>
  <si>
    <t>MT-G-HD-118</t>
  </si>
  <si>
    <t>活动未开启时显示开启时间</t>
  </si>
  <si>
    <t>MT-G-HD-119</t>
  </si>
  <si>
    <t>活动未开启后显示参加按钮</t>
  </si>
  <si>
    <t>MT-G-HD-120</t>
  </si>
  <si>
    <t>可参加活动排在前面</t>
  </si>
  <si>
    <t>MT-G-HD-121</t>
  </si>
  <si>
    <t>可参加活动右上角有红点提示</t>
  </si>
  <si>
    <t>MT-G-HD-122</t>
  </si>
  <si>
    <t>有可参加时限时活动由红点提示</t>
  </si>
  <si>
    <t>MT-G-HD-123</t>
  </si>
  <si>
    <t>有可参加时，主界面活动按钮有红点提示</t>
  </si>
  <si>
    <t>MT-G-HD-124</t>
  </si>
  <si>
    <t>未开启活动按时间先后排序</t>
  </si>
  <si>
    <t>MT-G-HD-125</t>
  </si>
  <si>
    <t>显示的限时活动和当前日期应开启活动对应</t>
  </si>
  <si>
    <t>MT-G-HD-126</t>
  </si>
  <si>
    <t>玩家50级后巨龙护卫从限时活动消失</t>
  </si>
  <si>
    <t>MT-G-HD-127</t>
  </si>
  <si>
    <t>切换到即将开启界面</t>
  </si>
  <si>
    <t>MT-G-HD-128</t>
  </si>
  <si>
    <t>显示需要的开启等级</t>
  </si>
  <si>
    <t>MT-G-HD-129</t>
  </si>
  <si>
    <t>按等级进行排序</t>
  </si>
  <si>
    <t>MT-G-HD-130</t>
  </si>
  <si>
    <t>角色达到等级后，活动从即将开启消失转到相应的分类里</t>
  </si>
  <si>
    <t>MT-G-HD-131</t>
  </si>
  <si>
    <t>点击活动周历</t>
  </si>
  <si>
    <t>打开活动周历界面</t>
  </si>
  <si>
    <t>MT-G-HD-132</t>
  </si>
  <si>
    <t>界面排版正常，文字正确</t>
  </si>
  <si>
    <t>MT-G-HD-133</t>
  </si>
  <si>
    <t>点击后打开相应活动tips</t>
  </si>
  <si>
    <t>MT-G-HD-134</t>
  </si>
  <si>
    <t>点以任意位置，tips关闭</t>
  </si>
  <si>
    <t>MT-G-HD-135</t>
  </si>
  <si>
    <t>当前日期对应的活动颜色加深</t>
  </si>
  <si>
    <t>MT-G-HD-136</t>
  </si>
  <si>
    <t>点击右上角【X】，活动周历关闭，显示活动界面</t>
  </si>
  <si>
    <t>MT-G-HD-137</t>
  </si>
  <si>
    <t>职业任务</t>
  </si>
  <si>
    <t>活动时间：全天</t>
  </si>
  <si>
    <t>MT-G-HD-138</t>
  </si>
  <si>
    <t>任务形式：单人任务</t>
  </si>
  <si>
    <t>MT-G-HD-139</t>
  </si>
  <si>
    <t>等级限制：达到15级</t>
  </si>
  <si>
    <t>MT-G-HD-140</t>
  </si>
  <si>
    <t>次数：20次</t>
  </si>
  <si>
    <t>MT-G-HD-141</t>
  </si>
  <si>
    <t>活跃度奖励：20</t>
  </si>
  <si>
    <t>MT-G-HD-142</t>
  </si>
  <si>
    <t>推荐时活跃度奖励：40</t>
  </si>
  <si>
    <t>MT-G-HD-143</t>
  </si>
  <si>
    <t>每日0点刷新</t>
  </si>
  <si>
    <t>MT-G-HD-144</t>
  </si>
  <si>
    <t>英雄试炼</t>
  </si>
  <si>
    <t>MT-G-HD-145</t>
  </si>
  <si>
    <t>任务形式：单人或组队</t>
  </si>
  <si>
    <t>MT-G-HD-146</t>
  </si>
  <si>
    <t>等级限制：达到18级</t>
  </si>
  <si>
    <t>MT-G-HD-147</t>
  </si>
  <si>
    <t>任务次数：1次</t>
  </si>
  <si>
    <t>MT-G-HD-148</t>
  </si>
  <si>
    <t>活跃度奖励：5</t>
  </si>
  <si>
    <t>MT-G-HD-149</t>
  </si>
  <si>
    <t>推荐时活跃度奖励：10</t>
  </si>
  <si>
    <t>MT-G-HD-150</t>
  </si>
  <si>
    <t>MT-G-HD-151</t>
  </si>
  <si>
    <t>日常副本</t>
  </si>
  <si>
    <t>MT-G-HD-152</t>
  </si>
  <si>
    <t>任务形式：组队任务</t>
  </si>
  <si>
    <t>MT-G-HD-153</t>
  </si>
  <si>
    <t>等级限制：达到20级</t>
  </si>
  <si>
    <t>MT-G-HD-154</t>
  </si>
  <si>
    <t>任务次数：无限制</t>
  </si>
  <si>
    <t>MT-G-HD-155</t>
  </si>
  <si>
    <t>MT-G-HD-156</t>
  </si>
  <si>
    <t>MT-G-HD-157</t>
  </si>
  <si>
    <t>MT-G-HD-158</t>
  </si>
  <si>
    <t>考古任务</t>
  </si>
  <si>
    <t>MT-G-HD-159</t>
  </si>
  <si>
    <t>MT-G-HD-160</t>
  </si>
  <si>
    <t>等级限制：达到25级</t>
  </si>
  <si>
    <t>MT-G-HD-161</t>
  </si>
  <si>
    <t>任务次数：15次</t>
  </si>
  <si>
    <t>MT-G-HD-162</t>
  </si>
  <si>
    <t>活跃度奖励：15</t>
  </si>
  <si>
    <t>MT-G-HD-163</t>
  </si>
  <si>
    <t>推荐时活跃度奖励：30</t>
  </si>
  <si>
    <t>MT-G-HD-164</t>
  </si>
  <si>
    <t>MT-G-HD-165</t>
  </si>
  <si>
    <t>封印古神</t>
  </si>
  <si>
    <t>MT-G-HD-166</t>
  </si>
  <si>
    <t>MT-G-HD-167</t>
  </si>
  <si>
    <t>MT-G-HD-168</t>
  </si>
  <si>
    <t>任务次数：10次</t>
  </si>
  <si>
    <t>MT-G-HD-169</t>
  </si>
  <si>
    <t>活跃度奖励：10</t>
  </si>
  <si>
    <t>MT-G-HD-170</t>
  </si>
  <si>
    <t>推荐时活跃度奖励：20</t>
  </si>
  <si>
    <t>MT-G-HD-171</t>
  </si>
  <si>
    <t>MT-G-HD-172</t>
  </si>
  <si>
    <t>精英副本</t>
  </si>
  <si>
    <t>MT-G-HD-173</t>
  </si>
  <si>
    <t>MT-G-HD-174</t>
  </si>
  <si>
    <t>等级限制：达到30级</t>
  </si>
  <si>
    <t>MT-G-HD-175</t>
  </si>
  <si>
    <t>任务次数：2次</t>
  </si>
  <si>
    <t>MT-G-HD-176</t>
  </si>
  <si>
    <t>MT-G-HD-177</t>
  </si>
  <si>
    <t>MT-G-HD-178</t>
  </si>
  <si>
    <t>MT-G-HD-179</t>
  </si>
  <si>
    <t>公会任务</t>
  </si>
  <si>
    <t>MT-G-HD-180</t>
  </si>
  <si>
    <t>MT-G-HD-181</t>
  </si>
  <si>
    <t>等级限制：达到35级</t>
  </si>
  <si>
    <t>MT-G-HD-182</t>
  </si>
  <si>
    <t>任务次数：70次</t>
  </si>
  <si>
    <t>MT-G-HD-183</t>
  </si>
  <si>
    <t>活跃度奖励：0</t>
  </si>
  <si>
    <t>MT-G-HD-184</t>
  </si>
  <si>
    <t>每周一0点刷新</t>
  </si>
  <si>
    <t>MT-G-HD-185</t>
  </si>
  <si>
    <t>冰封王座</t>
  </si>
  <si>
    <t>MT-G-HD-186</t>
  </si>
  <si>
    <t>MT-G-HD-187</t>
  </si>
  <si>
    <t>等级限制：达到40级</t>
  </si>
  <si>
    <t>MT-G-HD-188</t>
  </si>
  <si>
    <t>活跃度奖励：25</t>
  </si>
  <si>
    <t>MT-G-HD-189</t>
  </si>
  <si>
    <t>推荐时活跃度奖励：50</t>
  </si>
  <si>
    <t>MT-G-HD-190</t>
  </si>
  <si>
    <t>MT-G-HD-191</t>
  </si>
  <si>
    <t>MT人文探索</t>
  </si>
  <si>
    <t>活动时间：11：00-24：00</t>
  </si>
  <si>
    <t>MT-G-HD-192</t>
  </si>
  <si>
    <t>MT-G-HD-193</t>
  </si>
  <si>
    <t>MT-G-HD-194</t>
  </si>
  <si>
    <t>MT-G-HD-195</t>
  </si>
  <si>
    <t>冠军试炼</t>
  </si>
  <si>
    <t>活动时间：周一、三、五晚上20：30-21：10</t>
  </si>
  <si>
    <t>MT-G-HD-196</t>
  </si>
  <si>
    <t>MT-G-HD-197</t>
  </si>
  <si>
    <t>MT-G-HD-198</t>
  </si>
  <si>
    <t>MT-G-HD-199</t>
  </si>
  <si>
    <t>3V3竞技场</t>
  </si>
  <si>
    <t>活动时间：周一、三、五、七晚上21：30-22：30</t>
  </si>
  <si>
    <t>MT-G-HD-200</t>
  </si>
  <si>
    <t>MT-G-HD-201</t>
  </si>
  <si>
    <t>MT-G-HD-202</t>
  </si>
  <si>
    <t>MT-G-HD-203</t>
  </si>
  <si>
    <t>巨龙护卫</t>
  </si>
  <si>
    <t>MT-G-HD-204</t>
  </si>
  <si>
    <t>MT-G-HD-205</t>
  </si>
  <si>
    <t>等级限制：35-50级</t>
  </si>
  <si>
    <t>MT-G-HD-206</t>
  </si>
  <si>
    <t>次数：10</t>
  </si>
  <si>
    <t>MT-G-HD-207</t>
  </si>
  <si>
    <t>玩家50级时，该活动消失</t>
  </si>
  <si>
    <t>MT-G-HD-208</t>
  </si>
  <si>
    <t>巨龙军团</t>
  </si>
  <si>
    <t>MT-G-HD-209</t>
  </si>
  <si>
    <t>MT-G-HD-210</t>
  </si>
  <si>
    <t>等级限制：达到50级</t>
  </si>
  <si>
    <t>MT-G-HD-211</t>
  </si>
  <si>
    <t>次数：5</t>
  </si>
  <si>
    <t>MT-G-HD-212</t>
  </si>
  <si>
    <t>1V1竞技场</t>
  </si>
  <si>
    <t>活动时间：周二、四、六晚上20.30-21.10</t>
  </si>
  <si>
    <t>MT-G-HD-213</t>
  </si>
  <si>
    <t>MT-G-HD-214</t>
  </si>
  <si>
    <t>MT-G-HD-215</t>
  </si>
  <si>
    <t>MT-G-HD-216</t>
  </si>
  <si>
    <t>公会副本</t>
  </si>
  <si>
    <t>周2、4、6晚上21.30-22.30</t>
  </si>
  <si>
    <t>MT-G-HD-217</t>
  </si>
  <si>
    <t>MT-G-HD-218</t>
  </si>
  <si>
    <t>三、特殊操作</t>
  </si>
  <si>
    <t>MT-G-HD-219</t>
  </si>
  <si>
    <t>服务器崩溃后重启再次上线进入游戏</t>
  </si>
  <si>
    <t>活动计数正确</t>
  </si>
  <si>
    <t>MT-G-HD-220</t>
  </si>
  <si>
    <t>活跃度计算正确</t>
  </si>
  <si>
    <t>MT-G-HD-221</t>
  </si>
  <si>
    <t>绿条显示正确</t>
  </si>
  <si>
    <t>MT-G-HD-222</t>
  </si>
  <si>
    <t>活跃度奖励记录正确</t>
  </si>
  <si>
    <t>MT-G-HD-223</t>
  </si>
  <si>
    <t>推荐活动还是之前的推荐活动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</si>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</sst>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5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2" fillId="11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5" fillId="0" borderId="0" xfId="0" applyFont="1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040"/>
  <sheetViews>
    <sheetView tabSelected="1" workbookViewId="0">
      <pane ySplit="6" topLeftCell="A7" activePane="bottomLeft" state="frozen"/>
      <selection/>
      <selection pane="bottomLeft" activeCell="C246" sqref="C246"/>
    </sheetView>
  </sheetViews>
  <sheetFormatPr defaultColWidth="9" defaultRowHeight="16.5"/>
  <cols>
    <col min="1" max="1" width="10.5" style="13" customWidth="1"/>
    <col min="2" max="2" width="12.75" style="13" customWidth="1"/>
    <col min="3" max="3" width="38.625" style="13" customWidth="1"/>
    <col min="4" max="4" width="34.5" style="13" customWidth="1"/>
    <col min="5" max="7" width="9" style="13"/>
    <col min="8" max="8" width="9.125" style="23" customWidth="1"/>
    <col min="9" max="9" width="9" style="13"/>
    <col min="10" max="10" width="15.625" style="15" customWidth="1"/>
    <col min="11" max="220" width="9" style="22"/>
    <col min="221" max="16384" width="9" style="13"/>
  </cols>
  <sheetData>
    <row r="1" s="14" customFormat="1" ht="21" spans="1:220">
      <c r="A1" s="24" t="s">
        <v>0</v>
      </c>
      <c r="B1" s="25"/>
      <c r="C1" s="25"/>
      <c r="D1" s="25"/>
      <c r="E1" s="25"/>
      <c r="F1" s="25"/>
      <c r="G1" s="25"/>
      <c r="H1" s="25"/>
      <c r="I1" s="58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  <c r="FJ1" s="59"/>
      <c r="FK1" s="59"/>
      <c r="FL1" s="59"/>
      <c r="FM1" s="59"/>
      <c r="FN1" s="59"/>
      <c r="FO1" s="59"/>
      <c r="FP1" s="59"/>
      <c r="FQ1" s="59"/>
      <c r="FR1" s="59"/>
      <c r="FS1" s="59"/>
      <c r="FT1" s="59"/>
      <c r="FU1" s="59"/>
      <c r="FV1" s="59"/>
      <c r="FW1" s="59"/>
      <c r="FX1" s="59"/>
      <c r="FY1" s="59"/>
      <c r="FZ1" s="59"/>
      <c r="GA1" s="59"/>
      <c r="GB1" s="59"/>
      <c r="GC1" s="59"/>
      <c r="GD1" s="59"/>
      <c r="GE1" s="59"/>
      <c r="GF1" s="59"/>
      <c r="GG1" s="59"/>
      <c r="GH1" s="59"/>
      <c r="GI1" s="59"/>
      <c r="GJ1" s="59"/>
      <c r="GK1" s="59"/>
      <c r="GL1" s="59"/>
      <c r="GM1" s="59"/>
      <c r="GN1" s="59"/>
      <c r="GO1" s="59"/>
      <c r="GP1" s="59"/>
      <c r="GQ1" s="59"/>
      <c r="GR1" s="59"/>
      <c r="GS1" s="59"/>
      <c r="GT1" s="59"/>
      <c r="GU1" s="59"/>
      <c r="GV1" s="59"/>
      <c r="GW1" s="59"/>
      <c r="GX1" s="59"/>
      <c r="GY1" s="59"/>
      <c r="GZ1" s="59"/>
      <c r="HA1" s="59"/>
      <c r="HB1" s="59"/>
      <c r="HC1" s="59"/>
      <c r="HD1" s="59"/>
      <c r="HE1" s="59"/>
      <c r="HF1" s="59"/>
      <c r="HG1" s="59"/>
      <c r="HH1" s="59"/>
      <c r="HI1" s="59"/>
      <c r="HJ1" s="59"/>
      <c r="HK1" s="59"/>
      <c r="HL1" s="59"/>
    </row>
    <row r="2" s="15" customFormat="1" spans="1:220">
      <c r="A2" s="15" t="s">
        <v>1</v>
      </c>
      <c r="B2" s="26" t="s">
        <v>2</v>
      </c>
      <c r="C2" s="27" t="s">
        <v>3</v>
      </c>
      <c r="D2" s="28" t="s">
        <v>4</v>
      </c>
      <c r="E2" s="29" t="s">
        <v>5</v>
      </c>
      <c r="F2" s="29"/>
      <c r="G2" s="29">
        <v>1</v>
      </c>
      <c r="H2" s="30">
        <v>2</v>
      </c>
      <c r="I2" s="29">
        <v>3</v>
      </c>
      <c r="J2" s="60" t="s">
        <v>6</v>
      </c>
      <c r="K2" s="7" t="s">
        <v>7</v>
      </c>
      <c r="L2" s="7">
        <f t="shared" ref="L2:P2" si="0">SUM(L3:L6)</f>
        <v>0</v>
      </c>
      <c r="M2" s="7">
        <f>SUM(M3:M6)</f>
        <v>0</v>
      </c>
      <c r="N2" s="7">
        <f>SUM(N3:N6)</f>
        <v>0</v>
      </c>
      <c r="O2" s="7">
        <f>SUM(O3:O6)</f>
        <v>0</v>
      </c>
      <c r="P2" s="7">
        <f>SUM(P3:P6)</f>
        <v>0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</row>
    <row r="3" s="15" customFormat="1" spans="1:220">
      <c r="A3" s="15" t="s">
        <v>8</v>
      </c>
      <c r="B3" s="31" t="s">
        <v>9</v>
      </c>
      <c r="C3" s="32" t="s">
        <v>10</v>
      </c>
      <c r="D3" s="28" t="s">
        <v>11</v>
      </c>
      <c r="E3" s="33" t="s">
        <v>12</v>
      </c>
      <c r="F3" s="33"/>
      <c r="G3" s="34"/>
      <c r="H3" s="35"/>
      <c r="I3" s="61"/>
      <c r="J3" s="62"/>
      <c r="K3" s="63" t="s">
        <v>13</v>
      </c>
      <c r="L3" s="7">
        <f>COUNTIF(G:G,"P")</f>
        <v>0</v>
      </c>
      <c r="M3" s="7">
        <f>COUNTIF(H:H,"P")</f>
        <v>0</v>
      </c>
      <c r="N3" s="7">
        <f>COUNTIF(F:F,"P")</f>
        <v>0</v>
      </c>
      <c r="O3" s="7">
        <f>COUNTIF(G:G,"P")</f>
        <v>0</v>
      </c>
      <c r="P3" s="7">
        <f>COUNTIF(H:H,"P")</f>
        <v>0</v>
      </c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  <c r="FU3" s="70"/>
      <c r="FV3" s="70"/>
      <c r="FW3" s="70"/>
      <c r="FX3" s="70"/>
      <c r="FY3" s="70"/>
      <c r="FZ3" s="70"/>
      <c r="GA3" s="70"/>
      <c r="GB3" s="70"/>
      <c r="GC3" s="70"/>
      <c r="GD3" s="70"/>
      <c r="GE3" s="70"/>
      <c r="GF3" s="70"/>
      <c r="GG3" s="70"/>
      <c r="GH3" s="70"/>
      <c r="GI3" s="70"/>
      <c r="GJ3" s="70"/>
      <c r="GK3" s="70"/>
      <c r="GL3" s="70"/>
      <c r="GM3" s="70"/>
      <c r="GN3" s="70"/>
      <c r="GO3" s="70"/>
      <c r="GP3" s="70"/>
      <c r="GQ3" s="70"/>
      <c r="GR3" s="70"/>
      <c r="GS3" s="70"/>
      <c r="GT3" s="70"/>
      <c r="GU3" s="70"/>
      <c r="GV3" s="70"/>
      <c r="GW3" s="70"/>
      <c r="GX3" s="70"/>
      <c r="GY3" s="70"/>
      <c r="GZ3" s="70"/>
      <c r="HA3" s="70"/>
      <c r="HB3" s="70"/>
      <c r="HC3" s="70"/>
      <c r="HD3" s="70"/>
      <c r="HE3" s="70"/>
      <c r="HF3" s="70"/>
      <c r="HG3" s="70"/>
      <c r="HH3" s="70"/>
      <c r="HI3" s="70"/>
      <c r="HJ3" s="70"/>
      <c r="HK3" s="70"/>
      <c r="HL3" s="70"/>
    </row>
    <row r="4" s="15" customFormat="1" spans="1:220">
      <c r="A4" s="15" t="s">
        <v>14</v>
      </c>
      <c r="B4" s="15" t="s">
        <v>15</v>
      </c>
      <c r="C4" s="36" t="s">
        <v>16</v>
      </c>
      <c r="D4" s="28" t="s">
        <v>17</v>
      </c>
      <c r="E4" s="33" t="s">
        <v>18</v>
      </c>
      <c r="F4" s="33"/>
      <c r="G4" s="34"/>
      <c r="H4" s="35"/>
      <c r="I4" s="61"/>
      <c r="J4" s="62"/>
      <c r="K4" s="64" t="s">
        <v>19</v>
      </c>
      <c r="L4" s="7">
        <f>COUNTIF(G:G,"F")</f>
        <v>0</v>
      </c>
      <c r="M4" s="7">
        <f>COUNTIF(E:E,"F")</f>
        <v>0</v>
      </c>
      <c r="N4" s="7">
        <f>COUNTIF(F:F,"F")</f>
        <v>0</v>
      </c>
      <c r="O4" s="7">
        <f>COUNTIF(G:G,"F")</f>
        <v>0</v>
      </c>
      <c r="P4" s="7">
        <f>COUNTIF(H:H,"F")</f>
        <v>0</v>
      </c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  <c r="FU4" s="70"/>
      <c r="FV4" s="70"/>
      <c r="FW4" s="70"/>
      <c r="FX4" s="70"/>
      <c r="FY4" s="70"/>
      <c r="FZ4" s="70"/>
      <c r="GA4" s="70"/>
      <c r="GB4" s="70"/>
      <c r="GC4" s="70"/>
      <c r="GD4" s="70"/>
      <c r="GE4" s="70"/>
      <c r="GF4" s="70"/>
      <c r="GG4" s="70"/>
      <c r="GH4" s="70"/>
      <c r="GI4" s="70"/>
      <c r="GJ4" s="70"/>
      <c r="GK4" s="70"/>
      <c r="GL4" s="70"/>
      <c r="GM4" s="70"/>
      <c r="GN4" s="70"/>
      <c r="GO4" s="70"/>
      <c r="GP4" s="70"/>
      <c r="GQ4" s="70"/>
      <c r="GR4" s="70"/>
      <c r="GS4" s="70"/>
      <c r="GT4" s="70"/>
      <c r="GU4" s="70"/>
      <c r="GV4" s="70"/>
      <c r="GW4" s="70"/>
      <c r="GX4" s="70"/>
      <c r="GY4" s="70"/>
      <c r="GZ4" s="70"/>
      <c r="HA4" s="70"/>
      <c r="HB4" s="70"/>
      <c r="HC4" s="70"/>
      <c r="HD4" s="70"/>
      <c r="HE4" s="70"/>
      <c r="HF4" s="70"/>
      <c r="HG4" s="70"/>
      <c r="HH4" s="70"/>
      <c r="HI4" s="70"/>
      <c r="HJ4" s="70"/>
      <c r="HK4" s="70"/>
      <c r="HL4" s="70"/>
    </row>
    <row r="5" s="15" customFormat="1" ht="13.5" customHeight="1" spans="1:220">
      <c r="A5" s="15" t="s">
        <v>20</v>
      </c>
      <c r="B5" s="26" t="s">
        <v>21</v>
      </c>
      <c r="C5" s="37" t="s">
        <v>22</v>
      </c>
      <c r="D5" s="38" t="s">
        <v>23</v>
      </c>
      <c r="E5" s="33" t="s">
        <v>24</v>
      </c>
      <c r="F5" s="33"/>
      <c r="G5" s="34"/>
      <c r="H5" s="35"/>
      <c r="I5" s="61"/>
      <c r="J5" s="62"/>
      <c r="K5" s="7" t="s">
        <v>25</v>
      </c>
      <c r="L5" s="7">
        <f>COUNTIF(G:G,"B")</f>
        <v>0</v>
      </c>
      <c r="M5" s="7">
        <f>COUNTIF(E:E,"B")</f>
        <v>0</v>
      </c>
      <c r="N5" s="7">
        <f>COUNTIF(F:F,"B")</f>
        <v>0</v>
      </c>
      <c r="O5" s="7">
        <f>COUNTIF(G:G,"B")</f>
        <v>0</v>
      </c>
      <c r="P5" s="7">
        <f>COUNTIF(H:H,"B")</f>
        <v>0</v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/>
      <c r="HF5" s="70"/>
      <c r="HG5" s="70"/>
      <c r="HH5" s="70"/>
      <c r="HI5" s="70"/>
      <c r="HJ5" s="70"/>
      <c r="HK5" s="70"/>
      <c r="HL5" s="70"/>
    </row>
    <row r="6" s="15" customFormat="1" spans="1:220">
      <c r="A6" s="39" t="s">
        <v>26</v>
      </c>
      <c r="B6" s="40"/>
      <c r="C6" s="40"/>
      <c r="D6" s="40"/>
      <c r="E6" s="40"/>
      <c r="F6" s="40"/>
      <c r="G6" s="40"/>
      <c r="H6" s="40"/>
      <c r="I6" s="40"/>
      <c r="J6" s="65"/>
      <c r="K6" s="15" t="s">
        <v>27</v>
      </c>
      <c r="L6" s="7">
        <f>COUNTIF(G:G,"/")</f>
        <v>0</v>
      </c>
      <c r="M6" s="7">
        <f>COUNTIF(E:E,"/")</f>
        <v>0</v>
      </c>
      <c r="N6" s="7">
        <f>COUNTIF(F:F,"/")</f>
        <v>0</v>
      </c>
      <c r="O6" s="7">
        <f>COUNTIF(G:G,"/")</f>
        <v>0</v>
      </c>
      <c r="P6" s="7">
        <f>COUNTIF(H:H,"/")</f>
        <v>0</v>
      </c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  <c r="GA6" s="70"/>
      <c r="GB6" s="70"/>
      <c r="GC6" s="70"/>
      <c r="GD6" s="70"/>
      <c r="GE6" s="70"/>
      <c r="GF6" s="70"/>
      <c r="GG6" s="70"/>
      <c r="GH6" s="70"/>
      <c r="GI6" s="70"/>
      <c r="GJ6" s="70"/>
      <c r="GK6" s="70"/>
      <c r="GL6" s="70"/>
      <c r="GM6" s="70"/>
      <c r="GN6" s="70"/>
      <c r="GO6" s="70"/>
      <c r="GP6" s="70"/>
      <c r="GQ6" s="70"/>
      <c r="GR6" s="70"/>
      <c r="GS6" s="70"/>
      <c r="GT6" s="70"/>
      <c r="GU6" s="70"/>
      <c r="GV6" s="70"/>
      <c r="GW6" s="70"/>
      <c r="GX6" s="70"/>
      <c r="GY6" s="70"/>
      <c r="GZ6" s="70"/>
      <c r="HA6" s="70"/>
      <c r="HB6" s="70"/>
      <c r="HC6" s="70"/>
      <c r="HD6" s="70"/>
      <c r="HE6" s="70"/>
      <c r="HF6" s="70"/>
      <c r="HG6" s="70"/>
      <c r="HH6" s="70"/>
      <c r="HI6" s="70"/>
      <c r="HJ6" s="70"/>
      <c r="HK6" s="70"/>
      <c r="HL6" s="70"/>
    </row>
    <row r="7" s="16" customFormat="1" spans="1:220">
      <c r="A7" s="41" t="s">
        <v>28</v>
      </c>
      <c r="B7" s="42"/>
      <c r="C7" s="42"/>
      <c r="D7" s="42"/>
      <c r="E7" s="42"/>
      <c r="F7" s="42"/>
      <c r="G7" s="42"/>
      <c r="H7" s="42"/>
      <c r="I7" s="42"/>
      <c r="J7" s="66"/>
      <c r="K7" s="67" t="s">
        <v>29</v>
      </c>
      <c r="L7" s="68">
        <v>0</v>
      </c>
      <c r="M7" s="68"/>
      <c r="N7" s="68"/>
      <c r="O7" s="68"/>
      <c r="P7" s="68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72"/>
      <c r="GY7" s="72"/>
      <c r="GZ7" s="72"/>
      <c r="HA7" s="72"/>
      <c r="HB7" s="72"/>
      <c r="HC7" s="72"/>
      <c r="HD7" s="72"/>
      <c r="HE7" s="72"/>
      <c r="HF7" s="72"/>
      <c r="HG7" s="72"/>
      <c r="HH7" s="72"/>
      <c r="HI7" s="72"/>
      <c r="HJ7" s="72"/>
      <c r="HK7" s="72"/>
      <c r="HL7" s="72"/>
    </row>
    <row r="8" s="15" customFormat="1" spans="1:220">
      <c r="A8" s="43" t="s">
        <v>30</v>
      </c>
      <c r="B8" s="44" t="s">
        <v>31</v>
      </c>
      <c r="C8" s="43" t="s">
        <v>32</v>
      </c>
      <c r="D8" s="28" t="s">
        <v>33</v>
      </c>
      <c r="E8" s="44" t="s">
        <v>34</v>
      </c>
      <c r="F8" s="44" t="s">
        <v>35</v>
      </c>
      <c r="G8" s="44" t="s">
        <v>36</v>
      </c>
      <c r="H8" s="44"/>
      <c r="I8" s="44"/>
      <c r="J8" s="69" t="s">
        <v>6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70"/>
      <c r="DZ8" s="70"/>
      <c r="EA8" s="70"/>
      <c r="EB8" s="70"/>
      <c r="EC8" s="70"/>
      <c r="ED8" s="70"/>
      <c r="EE8" s="70"/>
      <c r="EF8" s="70"/>
      <c r="EG8" s="70"/>
      <c r="EH8" s="70"/>
      <c r="EI8" s="70"/>
      <c r="EJ8" s="70"/>
      <c r="EK8" s="70"/>
      <c r="EL8" s="70"/>
      <c r="EM8" s="70"/>
      <c r="EN8" s="70"/>
      <c r="EO8" s="70"/>
      <c r="EP8" s="70"/>
      <c r="EQ8" s="70"/>
      <c r="ER8" s="70"/>
      <c r="ES8" s="70"/>
      <c r="ET8" s="70"/>
      <c r="EU8" s="70"/>
      <c r="EV8" s="70"/>
      <c r="EW8" s="70"/>
      <c r="EX8" s="70"/>
      <c r="EY8" s="70"/>
      <c r="EZ8" s="70"/>
      <c r="FA8" s="70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70"/>
      <c r="FV8" s="70"/>
      <c r="FW8" s="70"/>
      <c r="FX8" s="70"/>
      <c r="FY8" s="70"/>
      <c r="FZ8" s="70"/>
      <c r="GA8" s="70"/>
      <c r="GB8" s="70"/>
      <c r="GC8" s="70"/>
      <c r="GD8" s="70"/>
      <c r="GE8" s="70"/>
      <c r="GF8" s="70"/>
      <c r="GG8" s="70"/>
      <c r="GH8" s="70"/>
      <c r="GI8" s="70"/>
      <c r="GJ8" s="70"/>
      <c r="GK8" s="70"/>
      <c r="GL8" s="70"/>
      <c r="GM8" s="70"/>
      <c r="GN8" s="70"/>
      <c r="GO8" s="70"/>
      <c r="GP8" s="70"/>
      <c r="GQ8" s="70"/>
      <c r="GR8" s="70"/>
      <c r="GS8" s="70"/>
      <c r="GT8" s="70"/>
      <c r="GU8" s="70"/>
      <c r="GV8" s="70"/>
      <c r="GW8" s="70"/>
      <c r="GX8" s="70"/>
      <c r="GY8" s="70"/>
      <c r="GZ8" s="70"/>
      <c r="HA8" s="70"/>
      <c r="HB8" s="70"/>
      <c r="HC8" s="70"/>
      <c r="HD8" s="70"/>
      <c r="HE8" s="70"/>
      <c r="HF8" s="70"/>
      <c r="HG8" s="70"/>
      <c r="HH8" s="70"/>
      <c r="HI8" s="70"/>
      <c r="HJ8" s="70"/>
      <c r="HK8" s="70"/>
      <c r="HL8" s="70"/>
    </row>
    <row r="9" s="15" customFormat="1" spans="1:220">
      <c r="A9" s="45" t="s">
        <v>37</v>
      </c>
      <c r="B9" s="46" t="s">
        <v>38</v>
      </c>
      <c r="C9" s="46" t="s">
        <v>39</v>
      </c>
      <c r="D9" s="47" t="s">
        <v>40</v>
      </c>
      <c r="H9" s="48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  <c r="GH9" s="70"/>
      <c r="GI9" s="70"/>
      <c r="GJ9" s="70"/>
      <c r="GK9" s="70"/>
      <c r="GL9" s="70"/>
      <c r="GM9" s="70"/>
      <c r="GN9" s="70"/>
      <c r="GO9" s="70"/>
      <c r="GP9" s="70"/>
      <c r="GQ9" s="70"/>
      <c r="GR9" s="70"/>
      <c r="GS9" s="70"/>
      <c r="GT9" s="70"/>
      <c r="GU9" s="70"/>
      <c r="GV9" s="70"/>
      <c r="GW9" s="70"/>
      <c r="GX9" s="70"/>
      <c r="GY9" s="70"/>
      <c r="GZ9" s="70"/>
      <c r="HA9" s="70"/>
      <c r="HB9" s="70"/>
      <c r="HC9" s="70"/>
      <c r="HD9" s="70"/>
      <c r="HE9" s="70"/>
      <c r="HF9" s="70"/>
      <c r="HG9" s="70"/>
      <c r="HH9" s="70"/>
      <c r="HI9" s="70"/>
      <c r="HJ9" s="70"/>
      <c r="HK9" s="70"/>
      <c r="HL9" s="70"/>
    </row>
    <row r="10" s="15" customFormat="1" ht="27" spans="1:220">
      <c r="A10" s="49"/>
      <c r="B10" s="46" t="s">
        <v>41</v>
      </c>
      <c r="C10" s="46" t="s">
        <v>42</v>
      </c>
      <c r="D10" s="47" t="s">
        <v>40</v>
      </c>
      <c r="H10" s="4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  <c r="HC10" s="70"/>
      <c r="HD10" s="70"/>
      <c r="HE10" s="70"/>
      <c r="HF10" s="70"/>
      <c r="HG10" s="70"/>
      <c r="HH10" s="70"/>
      <c r="HI10" s="70"/>
      <c r="HJ10" s="70"/>
      <c r="HK10" s="70"/>
      <c r="HL10" s="70"/>
    </row>
    <row r="11" s="15" customFormat="1" spans="1:220">
      <c r="A11" s="49"/>
      <c r="B11" s="46" t="s">
        <v>43</v>
      </c>
      <c r="C11" s="46" t="s">
        <v>44</v>
      </c>
      <c r="D11" s="47" t="s">
        <v>45</v>
      </c>
      <c r="H11" s="4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  <c r="HC11" s="70"/>
      <c r="HD11" s="70"/>
      <c r="HE11" s="70"/>
      <c r="HF11" s="70"/>
      <c r="HG11" s="70"/>
      <c r="HH11" s="70"/>
      <c r="HI11" s="70"/>
      <c r="HJ11" s="70"/>
      <c r="HK11" s="70"/>
      <c r="HL11" s="70"/>
    </row>
    <row r="12" s="15" customFormat="1" spans="1:220">
      <c r="A12" s="49"/>
      <c r="B12" s="46" t="s">
        <v>46</v>
      </c>
      <c r="C12" s="46" t="s">
        <v>47</v>
      </c>
      <c r="D12" s="47" t="s">
        <v>45</v>
      </c>
      <c r="H12" s="4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  <c r="GH12" s="70"/>
      <c r="GI12" s="70"/>
      <c r="GJ12" s="70"/>
      <c r="GK12" s="70"/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  <c r="HC12" s="70"/>
      <c r="HD12" s="70"/>
      <c r="HE12" s="70"/>
      <c r="HF12" s="70"/>
      <c r="HG12" s="70"/>
      <c r="HH12" s="70"/>
      <c r="HI12" s="70"/>
      <c r="HJ12" s="70"/>
      <c r="HK12" s="70"/>
      <c r="HL12" s="70"/>
    </row>
    <row r="13" s="15" customFormat="1" spans="1:220">
      <c r="A13" s="49"/>
      <c r="B13" s="46" t="s">
        <v>48</v>
      </c>
      <c r="C13" s="50" t="s">
        <v>49</v>
      </c>
      <c r="D13" s="50" t="s">
        <v>50</v>
      </c>
      <c r="H13" s="4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70"/>
      <c r="GX13" s="70"/>
      <c r="GY13" s="70"/>
      <c r="GZ13" s="70"/>
      <c r="HA13" s="70"/>
      <c r="HB13" s="70"/>
      <c r="HC13" s="70"/>
      <c r="HD13" s="70"/>
      <c r="HE13" s="70"/>
      <c r="HF13" s="70"/>
      <c r="HG13" s="70"/>
      <c r="HH13" s="70"/>
      <c r="HI13" s="70"/>
      <c r="HJ13" s="70"/>
      <c r="HK13" s="70"/>
      <c r="HL13" s="70"/>
    </row>
    <row r="14" s="15" customFormat="1" spans="1:220">
      <c r="A14" s="49"/>
      <c r="B14" s="46" t="s">
        <v>51</v>
      </c>
      <c r="C14" s="50"/>
      <c r="D14" s="50" t="s">
        <v>52</v>
      </c>
      <c r="H14" s="4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/>
      <c r="FW14" s="70"/>
      <c r="FX14" s="70"/>
      <c r="FY14" s="70"/>
      <c r="FZ14" s="70"/>
      <c r="GA14" s="70"/>
      <c r="GB14" s="70"/>
      <c r="GC14" s="70"/>
      <c r="GD14" s="70"/>
      <c r="GE14" s="70"/>
      <c r="GF14" s="70"/>
      <c r="GG14" s="70"/>
      <c r="GH14" s="70"/>
      <c r="GI14" s="70"/>
      <c r="GJ14" s="70"/>
      <c r="GK14" s="70"/>
      <c r="GL14" s="70"/>
      <c r="GM14" s="70"/>
      <c r="GN14" s="70"/>
      <c r="GO14" s="70"/>
      <c r="GP14" s="70"/>
      <c r="GQ14" s="70"/>
      <c r="GR14" s="70"/>
      <c r="GS14" s="70"/>
      <c r="GT14" s="70"/>
      <c r="GU14" s="70"/>
      <c r="GV14" s="70"/>
      <c r="GW14" s="70"/>
      <c r="GX14" s="70"/>
      <c r="GY14" s="70"/>
      <c r="GZ14" s="70"/>
      <c r="HA14" s="70"/>
      <c r="HB14" s="70"/>
      <c r="HC14" s="70"/>
      <c r="HD14" s="70"/>
      <c r="HE14" s="70"/>
      <c r="HF14" s="70"/>
      <c r="HG14" s="70"/>
      <c r="HH14" s="70"/>
      <c r="HI14" s="70"/>
      <c r="HJ14" s="70"/>
      <c r="HK14" s="70"/>
      <c r="HL14" s="70"/>
    </row>
    <row r="15" s="15" customFormat="1" spans="1:220">
      <c r="A15" s="49"/>
      <c r="B15" s="46" t="s">
        <v>53</v>
      </c>
      <c r="C15" s="50" t="s">
        <v>54</v>
      </c>
      <c r="D15" s="50" t="s">
        <v>50</v>
      </c>
      <c r="H15" s="4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70"/>
      <c r="GW15" s="70"/>
      <c r="GX15" s="70"/>
      <c r="GY15" s="70"/>
      <c r="GZ15" s="70"/>
      <c r="HA15" s="70"/>
      <c r="HB15" s="70"/>
      <c r="HC15" s="70"/>
      <c r="HD15" s="70"/>
      <c r="HE15" s="70"/>
      <c r="HF15" s="70"/>
      <c r="HG15" s="70"/>
      <c r="HH15" s="70"/>
      <c r="HI15" s="70"/>
      <c r="HJ15" s="70"/>
      <c r="HK15" s="70"/>
      <c r="HL15" s="70"/>
    </row>
    <row r="16" s="15" customFormat="1" spans="1:220">
      <c r="A16" s="49"/>
      <c r="B16" s="46" t="s">
        <v>55</v>
      </c>
      <c r="C16" s="50"/>
      <c r="D16" s="50" t="s">
        <v>52</v>
      </c>
      <c r="H16" s="4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</row>
    <row r="17" s="16" customFormat="1" spans="1:220">
      <c r="A17" s="51" t="s">
        <v>56</v>
      </c>
      <c r="B17" s="52"/>
      <c r="C17" s="52"/>
      <c r="D17" s="52"/>
      <c r="E17" s="52"/>
      <c r="F17" s="52"/>
      <c r="G17" s="52"/>
      <c r="H17" s="52"/>
      <c r="I17" s="52"/>
      <c r="J17" s="71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</row>
    <row r="18" s="15" customFormat="1" ht="13.5" customHeight="1" spans="1:220">
      <c r="A18" s="43" t="s">
        <v>30</v>
      </c>
      <c r="B18" s="44" t="s">
        <v>31</v>
      </c>
      <c r="C18" s="43" t="s">
        <v>32</v>
      </c>
      <c r="D18" s="28" t="s">
        <v>33</v>
      </c>
      <c r="E18" s="44" t="s">
        <v>34</v>
      </c>
      <c r="F18" s="44" t="s">
        <v>35</v>
      </c>
      <c r="G18" s="44" t="s">
        <v>36</v>
      </c>
      <c r="H18" s="44"/>
      <c r="I18" s="44"/>
      <c r="J18" s="69" t="s">
        <v>6</v>
      </c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</row>
    <row r="19" s="15" customFormat="1" ht="13.5" customHeight="1" spans="1:220">
      <c r="A19" s="26" t="s">
        <v>57</v>
      </c>
      <c r="B19" s="46" t="s">
        <v>58</v>
      </c>
      <c r="C19" s="50" t="s">
        <v>59</v>
      </c>
      <c r="D19" s="50" t="s">
        <v>60</v>
      </c>
      <c r="G19" s="53"/>
      <c r="H19" s="53"/>
      <c r="I19" s="53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</row>
    <row r="20" s="17" customFormat="1" ht="13.5" customHeight="1" spans="1:220">
      <c r="A20" s="26"/>
      <c r="B20" s="46" t="s">
        <v>61</v>
      </c>
      <c r="C20" s="50"/>
      <c r="D20" s="54" t="s">
        <v>62</v>
      </c>
      <c r="E20" s="15"/>
      <c r="F20" s="15"/>
      <c r="G20" s="53"/>
      <c r="H20" s="53"/>
      <c r="I20" s="53"/>
      <c r="J20" s="15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</row>
    <row r="21" s="18" customFormat="1" ht="13.5" customHeight="1" spans="1:220">
      <c r="A21" s="26"/>
      <c r="B21" s="46" t="s">
        <v>63</v>
      </c>
      <c r="C21" s="50"/>
      <c r="D21" s="54" t="s">
        <v>64</v>
      </c>
      <c r="E21" s="15"/>
      <c r="F21" s="15"/>
      <c r="G21" s="53"/>
      <c r="H21" s="53"/>
      <c r="I21" s="53"/>
      <c r="J21" s="15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</row>
    <row r="22" s="18" customFormat="1" ht="13.5" customHeight="1" spans="1:220">
      <c r="A22" s="26"/>
      <c r="B22" s="46" t="s">
        <v>65</v>
      </c>
      <c r="C22" s="50"/>
      <c r="D22" s="54" t="s">
        <v>66</v>
      </c>
      <c r="E22" s="15"/>
      <c r="F22" s="15"/>
      <c r="G22" s="53"/>
      <c r="H22" s="53"/>
      <c r="I22" s="53"/>
      <c r="J22" s="15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</row>
    <row r="23" s="18" customFormat="1" ht="13.5" customHeight="1" spans="1:220">
      <c r="A23" s="26"/>
      <c r="B23" s="46" t="s">
        <v>67</v>
      </c>
      <c r="C23" s="50"/>
      <c r="D23" s="50" t="s">
        <v>68</v>
      </c>
      <c r="E23" s="15"/>
      <c r="F23" s="15"/>
      <c r="G23" s="53"/>
      <c r="H23" s="53"/>
      <c r="I23" s="53"/>
      <c r="J23" s="15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</row>
    <row r="24" s="18" customFormat="1" ht="13.5" customHeight="1" spans="1:220">
      <c r="A24" s="26"/>
      <c r="B24" s="46" t="s">
        <v>69</v>
      </c>
      <c r="C24" s="50"/>
      <c r="D24" s="50" t="s">
        <v>70</v>
      </c>
      <c r="E24" s="15"/>
      <c r="F24" s="15"/>
      <c r="G24" s="53"/>
      <c r="H24" s="53"/>
      <c r="I24" s="53"/>
      <c r="J24" s="15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</row>
    <row r="25" s="18" customFormat="1" ht="13.5" customHeight="1" spans="1:220">
      <c r="A25" s="26"/>
      <c r="B25" s="46" t="s">
        <v>71</v>
      </c>
      <c r="C25" s="50"/>
      <c r="D25" s="50" t="s">
        <v>72</v>
      </c>
      <c r="E25" s="15"/>
      <c r="F25" s="15"/>
      <c r="G25" s="53"/>
      <c r="H25" s="53"/>
      <c r="I25" s="53"/>
      <c r="J25" s="15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</row>
    <row r="26" s="18" customFormat="1" ht="13.5" customHeight="1" spans="1:220">
      <c r="A26" s="26"/>
      <c r="B26" s="46" t="s">
        <v>73</v>
      </c>
      <c r="C26" s="50"/>
      <c r="D26" s="50" t="s">
        <v>74</v>
      </c>
      <c r="E26" s="15"/>
      <c r="F26" s="15"/>
      <c r="G26" s="53"/>
      <c r="H26" s="53"/>
      <c r="I26" s="53"/>
      <c r="J26" s="15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</row>
    <row r="27" s="18" customFormat="1" ht="13.5" customHeight="1" spans="1:220">
      <c r="A27" s="26"/>
      <c r="B27" s="46" t="s">
        <v>75</v>
      </c>
      <c r="C27" s="50" t="s">
        <v>76</v>
      </c>
      <c r="D27" s="54" t="s">
        <v>77</v>
      </c>
      <c r="E27" s="15"/>
      <c r="F27" s="15"/>
      <c r="G27" s="53"/>
      <c r="H27" s="53"/>
      <c r="I27" s="53"/>
      <c r="J27" s="15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</row>
    <row r="28" s="18" customFormat="1" ht="13.5" customHeight="1" spans="1:220">
      <c r="A28" s="26"/>
      <c r="B28" s="46" t="s">
        <v>78</v>
      </c>
      <c r="C28" s="50" t="s">
        <v>79</v>
      </c>
      <c r="D28" s="54" t="s">
        <v>77</v>
      </c>
      <c r="E28" s="15"/>
      <c r="F28" s="15"/>
      <c r="G28" s="53"/>
      <c r="H28" s="53"/>
      <c r="I28" s="53"/>
      <c r="J28" s="15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</row>
    <row r="29" s="18" customFormat="1" ht="13.5" customHeight="1" spans="1:220">
      <c r="A29" s="26"/>
      <c r="B29" s="46" t="s">
        <v>80</v>
      </c>
      <c r="C29" s="50" t="s">
        <v>81</v>
      </c>
      <c r="D29" s="15" t="s">
        <v>82</v>
      </c>
      <c r="E29" s="15"/>
      <c r="F29" s="15"/>
      <c r="G29" s="53"/>
      <c r="H29" s="53"/>
      <c r="I29" s="53"/>
      <c r="J29" s="15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</row>
    <row r="30" s="18" customFormat="1" ht="13.5" customHeight="1" spans="1:220">
      <c r="A30" s="26"/>
      <c r="B30" s="46" t="s">
        <v>83</v>
      </c>
      <c r="C30" s="50"/>
      <c r="D30" s="15" t="s">
        <v>84</v>
      </c>
      <c r="E30" s="15"/>
      <c r="F30" s="15"/>
      <c r="G30" s="53"/>
      <c r="H30" s="53"/>
      <c r="I30" s="53"/>
      <c r="J30" s="15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</row>
    <row r="31" s="18" customFormat="1" ht="13.5" customHeight="1" spans="1:220">
      <c r="A31" s="26"/>
      <c r="B31" s="46" t="s">
        <v>85</v>
      </c>
      <c r="C31" s="50" t="s">
        <v>86</v>
      </c>
      <c r="D31" s="50" t="s">
        <v>70</v>
      </c>
      <c r="E31" s="15"/>
      <c r="F31" s="15"/>
      <c r="G31" s="53"/>
      <c r="H31" s="53"/>
      <c r="I31" s="53"/>
      <c r="J31" s="15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</row>
    <row r="32" s="19" customFormat="1" ht="13.5" customHeight="1" spans="1:220">
      <c r="A32" s="26"/>
      <c r="B32" s="46" t="s">
        <v>87</v>
      </c>
      <c r="C32" s="50"/>
      <c r="D32" s="55" t="s">
        <v>88</v>
      </c>
      <c r="E32" s="56"/>
      <c r="F32" s="56"/>
      <c r="G32" s="57"/>
      <c r="H32" s="57"/>
      <c r="I32" s="57"/>
      <c r="J32" s="56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</row>
    <row r="33" s="19" customFormat="1" ht="13.5" customHeight="1" spans="1:220">
      <c r="A33" s="26"/>
      <c r="B33" s="46" t="s">
        <v>89</v>
      </c>
      <c r="C33" s="50"/>
      <c r="D33" s="55" t="s">
        <v>90</v>
      </c>
      <c r="E33" s="56"/>
      <c r="F33" s="56"/>
      <c r="G33" s="57"/>
      <c r="H33" s="57"/>
      <c r="I33" s="57"/>
      <c r="J33" s="56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</row>
    <row r="34" s="18" customFormat="1" ht="33" customHeight="1" spans="1:220">
      <c r="A34" s="26"/>
      <c r="B34" s="46" t="s">
        <v>91</v>
      </c>
      <c r="C34" s="50"/>
      <c r="D34" s="54" t="s">
        <v>92</v>
      </c>
      <c r="E34" s="15"/>
      <c r="F34" s="15"/>
      <c r="G34" s="53"/>
      <c r="H34" s="53"/>
      <c r="I34" s="53"/>
      <c r="J34" s="15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</row>
    <row r="35" s="18" customFormat="1" ht="13.5" customHeight="1" spans="1:220">
      <c r="A35" s="26"/>
      <c r="B35" s="46" t="s">
        <v>93</v>
      </c>
      <c r="C35" s="50" t="s">
        <v>94</v>
      </c>
      <c r="D35" s="18" t="s">
        <v>95</v>
      </c>
      <c r="E35" s="15"/>
      <c r="F35" s="15"/>
      <c r="G35" s="53"/>
      <c r="H35" s="53"/>
      <c r="I35" s="53"/>
      <c r="J35" s="15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</row>
    <row r="36" s="18" customFormat="1" ht="13.5" customHeight="1" spans="1:220">
      <c r="A36" s="26"/>
      <c r="B36" s="46" t="s">
        <v>96</v>
      </c>
      <c r="C36" s="50"/>
      <c r="D36" s="50" t="s">
        <v>70</v>
      </c>
      <c r="E36" s="15"/>
      <c r="F36" s="15"/>
      <c r="G36" s="53"/>
      <c r="H36" s="53"/>
      <c r="I36" s="53"/>
      <c r="J36" s="15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</row>
    <row r="37" s="18" customFormat="1" ht="13.5" customHeight="1" spans="1:220">
      <c r="A37" s="26"/>
      <c r="B37" s="46" t="s">
        <v>97</v>
      </c>
      <c r="C37" s="50"/>
      <c r="D37" s="54" t="s">
        <v>77</v>
      </c>
      <c r="E37" s="15"/>
      <c r="F37" s="15"/>
      <c r="G37" s="53"/>
      <c r="H37" s="53"/>
      <c r="I37" s="53"/>
      <c r="J37" s="15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</row>
    <row r="38" s="18" customFormat="1" ht="51" customHeight="1" spans="1:220">
      <c r="A38" s="26"/>
      <c r="B38" s="46" t="s">
        <v>98</v>
      </c>
      <c r="C38" s="50"/>
      <c r="D38" s="50" t="s">
        <v>99</v>
      </c>
      <c r="E38" s="15"/>
      <c r="F38" s="15"/>
      <c r="G38" s="53"/>
      <c r="H38" s="53"/>
      <c r="I38" s="53"/>
      <c r="J38" s="15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</row>
    <row r="39" s="18" customFormat="1" ht="13.5" customHeight="1" spans="1:220">
      <c r="A39" s="26"/>
      <c r="B39" s="46" t="s">
        <v>100</v>
      </c>
      <c r="C39" s="50"/>
      <c r="D39" s="50" t="s">
        <v>101</v>
      </c>
      <c r="E39" s="15"/>
      <c r="F39" s="15"/>
      <c r="G39" s="53"/>
      <c r="H39" s="53"/>
      <c r="I39" s="53"/>
      <c r="J39" s="15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  <c r="FM39" s="70"/>
      <c r="FN39" s="70"/>
      <c r="FO39" s="70"/>
      <c r="FP39" s="70"/>
      <c r="FQ39" s="70"/>
      <c r="FR39" s="70"/>
      <c r="FS39" s="70"/>
      <c r="FT39" s="70"/>
      <c r="FU39" s="70"/>
      <c r="FV39" s="70"/>
      <c r="FW39" s="70"/>
      <c r="FX39" s="70"/>
      <c r="FY39" s="70"/>
      <c r="FZ39" s="70"/>
      <c r="GA39" s="70"/>
      <c r="GB39" s="70"/>
      <c r="GC39" s="70"/>
      <c r="GD39" s="70"/>
      <c r="GE39" s="70"/>
      <c r="GF39" s="70"/>
      <c r="GG39" s="70"/>
      <c r="GH39" s="70"/>
      <c r="GI39" s="70"/>
      <c r="GJ39" s="70"/>
      <c r="GK39" s="70"/>
      <c r="GL39" s="70"/>
      <c r="GM39" s="70"/>
      <c r="GN39" s="70"/>
      <c r="GO39" s="70"/>
      <c r="GP39" s="70"/>
      <c r="GQ39" s="70"/>
      <c r="GR39" s="70"/>
      <c r="GS39" s="70"/>
      <c r="GT39" s="70"/>
      <c r="GU39" s="70"/>
      <c r="GV39" s="70"/>
      <c r="GW39" s="70"/>
      <c r="GX39" s="70"/>
      <c r="GY39" s="70"/>
      <c r="GZ39" s="70"/>
      <c r="HA39" s="70"/>
      <c r="HB39" s="70"/>
      <c r="HC39" s="70"/>
      <c r="HD39" s="70"/>
      <c r="HE39" s="70"/>
      <c r="HF39" s="70"/>
      <c r="HG39" s="70"/>
      <c r="HH39" s="70"/>
      <c r="HI39" s="70"/>
      <c r="HJ39" s="70"/>
      <c r="HK39" s="70"/>
      <c r="HL39" s="70"/>
    </row>
    <row r="40" s="18" customFormat="1" ht="13.5" customHeight="1" spans="1:220">
      <c r="A40" s="26"/>
      <c r="B40" s="46" t="s">
        <v>102</v>
      </c>
      <c r="C40" s="50" t="s">
        <v>103</v>
      </c>
      <c r="D40" s="50" t="s">
        <v>104</v>
      </c>
      <c r="E40" s="15"/>
      <c r="F40" s="15"/>
      <c r="G40" s="53"/>
      <c r="H40" s="53"/>
      <c r="I40" s="53"/>
      <c r="J40" s="15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  <c r="FO40" s="70"/>
      <c r="FP40" s="70"/>
      <c r="FQ40" s="70"/>
      <c r="FR40" s="70"/>
      <c r="FS40" s="70"/>
      <c r="FT40" s="70"/>
      <c r="FU40" s="70"/>
      <c r="FV40" s="70"/>
      <c r="FW40" s="70"/>
      <c r="FX40" s="70"/>
      <c r="FY40" s="70"/>
      <c r="FZ40" s="70"/>
      <c r="GA40" s="70"/>
      <c r="GB40" s="70"/>
      <c r="GC40" s="70"/>
      <c r="GD40" s="70"/>
      <c r="GE40" s="70"/>
      <c r="GF40" s="70"/>
      <c r="GG40" s="70"/>
      <c r="GH40" s="70"/>
      <c r="GI40" s="70"/>
      <c r="GJ40" s="70"/>
      <c r="GK40" s="70"/>
      <c r="GL40" s="70"/>
      <c r="GM40" s="70"/>
      <c r="GN40" s="70"/>
      <c r="GO40" s="70"/>
      <c r="GP40" s="70"/>
      <c r="GQ40" s="70"/>
      <c r="GR40" s="70"/>
      <c r="GS40" s="70"/>
      <c r="GT40" s="70"/>
      <c r="GU40" s="70"/>
      <c r="GV40" s="70"/>
      <c r="GW40" s="70"/>
      <c r="GX40" s="70"/>
      <c r="GY40" s="70"/>
      <c r="GZ40" s="70"/>
      <c r="HA40" s="70"/>
      <c r="HB40" s="70"/>
      <c r="HC40" s="70"/>
      <c r="HD40" s="70"/>
      <c r="HE40" s="70"/>
      <c r="HF40" s="70"/>
      <c r="HG40" s="70"/>
      <c r="HH40" s="70"/>
      <c r="HI40" s="70"/>
      <c r="HJ40" s="70"/>
      <c r="HK40" s="70"/>
      <c r="HL40" s="70"/>
    </row>
    <row r="41" s="18" customFormat="1" ht="13.5" customHeight="1" spans="1:220">
      <c r="A41" s="26"/>
      <c r="B41" s="46" t="s">
        <v>105</v>
      </c>
      <c r="C41" s="50"/>
      <c r="D41" s="50" t="s">
        <v>106</v>
      </c>
      <c r="E41" s="15"/>
      <c r="F41" s="15"/>
      <c r="G41" s="53"/>
      <c r="H41" s="53"/>
      <c r="I41" s="53"/>
      <c r="J41" s="15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  <c r="FU41" s="70"/>
      <c r="FV41" s="70"/>
      <c r="FW41" s="70"/>
      <c r="FX41" s="70"/>
      <c r="FY41" s="70"/>
      <c r="FZ41" s="70"/>
      <c r="GA41" s="70"/>
      <c r="GB41" s="70"/>
      <c r="GC41" s="70"/>
      <c r="GD41" s="70"/>
      <c r="GE41" s="70"/>
      <c r="GF41" s="70"/>
      <c r="GG41" s="70"/>
      <c r="GH41" s="70"/>
      <c r="GI41" s="70"/>
      <c r="GJ41" s="70"/>
      <c r="GK41" s="70"/>
      <c r="GL41" s="70"/>
      <c r="GM41" s="70"/>
      <c r="GN41" s="70"/>
      <c r="GO41" s="70"/>
      <c r="GP41" s="70"/>
      <c r="GQ41" s="70"/>
      <c r="GR41" s="70"/>
      <c r="GS41" s="70"/>
      <c r="GT41" s="70"/>
      <c r="GU41" s="70"/>
      <c r="GV41" s="70"/>
      <c r="GW41" s="70"/>
      <c r="GX41" s="70"/>
      <c r="GY41" s="70"/>
      <c r="GZ41" s="70"/>
      <c r="HA41" s="70"/>
      <c r="HB41" s="70"/>
      <c r="HC41" s="70"/>
      <c r="HD41" s="70"/>
      <c r="HE41" s="70"/>
      <c r="HF41" s="70"/>
      <c r="HG41" s="70"/>
      <c r="HH41" s="70"/>
      <c r="HI41" s="70"/>
      <c r="HJ41" s="70"/>
      <c r="HK41" s="70"/>
      <c r="HL41" s="70"/>
    </row>
    <row r="42" s="18" customFormat="1" ht="13.5" customHeight="1" spans="1:220">
      <c r="A42" s="26"/>
      <c r="B42" s="46" t="s">
        <v>107</v>
      </c>
      <c r="C42" s="50"/>
      <c r="D42" s="50" t="s">
        <v>70</v>
      </c>
      <c r="E42" s="15"/>
      <c r="F42" s="15"/>
      <c r="G42" s="53"/>
      <c r="H42" s="53"/>
      <c r="I42" s="53"/>
      <c r="J42" s="15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  <c r="FC42" s="70"/>
      <c r="FD42" s="70"/>
      <c r="FE42" s="70"/>
      <c r="FF42" s="70"/>
      <c r="FG42" s="70"/>
      <c r="FH42" s="70"/>
      <c r="FI42" s="70"/>
      <c r="FJ42" s="70"/>
      <c r="FK42" s="70"/>
      <c r="FL42" s="70"/>
      <c r="FM42" s="70"/>
      <c r="FN42" s="70"/>
      <c r="FO42" s="70"/>
      <c r="FP42" s="70"/>
      <c r="FQ42" s="70"/>
      <c r="FR42" s="70"/>
      <c r="FS42" s="70"/>
      <c r="FT42" s="70"/>
      <c r="FU42" s="70"/>
      <c r="FV42" s="70"/>
      <c r="FW42" s="70"/>
      <c r="FX42" s="70"/>
      <c r="FY42" s="70"/>
      <c r="FZ42" s="70"/>
      <c r="GA42" s="70"/>
      <c r="GB42" s="70"/>
      <c r="GC42" s="70"/>
      <c r="GD42" s="70"/>
      <c r="GE42" s="70"/>
      <c r="GF42" s="70"/>
      <c r="GG42" s="70"/>
      <c r="GH42" s="70"/>
      <c r="GI42" s="70"/>
      <c r="GJ42" s="70"/>
      <c r="GK42" s="70"/>
      <c r="GL42" s="70"/>
      <c r="GM42" s="70"/>
      <c r="GN42" s="70"/>
      <c r="GO42" s="70"/>
      <c r="GP42" s="70"/>
      <c r="GQ42" s="70"/>
      <c r="GR42" s="70"/>
      <c r="GS42" s="70"/>
      <c r="GT42" s="70"/>
      <c r="GU42" s="70"/>
      <c r="GV42" s="70"/>
      <c r="GW42" s="70"/>
      <c r="GX42" s="70"/>
      <c r="GY42" s="70"/>
      <c r="GZ42" s="70"/>
      <c r="HA42" s="70"/>
      <c r="HB42" s="70"/>
      <c r="HC42" s="70"/>
      <c r="HD42" s="70"/>
      <c r="HE42" s="70"/>
      <c r="HF42" s="70"/>
      <c r="HG42" s="70"/>
      <c r="HH42" s="70"/>
      <c r="HI42" s="70"/>
      <c r="HJ42" s="70"/>
      <c r="HK42" s="70"/>
      <c r="HL42" s="70"/>
    </row>
    <row r="43" s="18" customFormat="1" ht="13.5" customHeight="1" spans="1:220">
      <c r="A43" s="26"/>
      <c r="B43" s="46" t="s">
        <v>108</v>
      </c>
      <c r="C43" s="50"/>
      <c r="D43" s="50" t="s">
        <v>109</v>
      </c>
      <c r="E43" s="15"/>
      <c r="F43" s="15"/>
      <c r="G43" s="53"/>
      <c r="H43" s="53"/>
      <c r="I43" s="53"/>
      <c r="J43" s="15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  <c r="FO43" s="70"/>
      <c r="FP43" s="70"/>
      <c r="FQ43" s="70"/>
      <c r="FR43" s="70"/>
      <c r="FS43" s="70"/>
      <c r="FT43" s="70"/>
      <c r="FU43" s="70"/>
      <c r="FV43" s="70"/>
      <c r="FW43" s="70"/>
      <c r="FX43" s="70"/>
      <c r="FY43" s="70"/>
      <c r="FZ43" s="70"/>
      <c r="GA43" s="70"/>
      <c r="GB43" s="70"/>
      <c r="GC43" s="70"/>
      <c r="GD43" s="70"/>
      <c r="GE43" s="70"/>
      <c r="GF43" s="70"/>
      <c r="GG43" s="70"/>
      <c r="GH43" s="70"/>
      <c r="GI43" s="70"/>
      <c r="GJ43" s="70"/>
      <c r="GK43" s="70"/>
      <c r="GL43" s="70"/>
      <c r="GM43" s="70"/>
      <c r="GN43" s="70"/>
      <c r="GO43" s="70"/>
      <c r="GP43" s="70"/>
      <c r="GQ43" s="70"/>
      <c r="GR43" s="70"/>
      <c r="GS43" s="70"/>
      <c r="GT43" s="70"/>
      <c r="GU43" s="70"/>
      <c r="GV43" s="70"/>
      <c r="GW43" s="70"/>
      <c r="GX43" s="70"/>
      <c r="GY43" s="70"/>
      <c r="GZ43" s="70"/>
      <c r="HA43" s="70"/>
      <c r="HB43" s="70"/>
      <c r="HC43" s="70"/>
      <c r="HD43" s="70"/>
      <c r="HE43" s="70"/>
      <c r="HF43" s="70"/>
      <c r="HG43" s="70"/>
      <c r="HH43" s="70"/>
      <c r="HI43" s="70"/>
      <c r="HJ43" s="70"/>
      <c r="HK43" s="70"/>
      <c r="HL43" s="70"/>
    </row>
    <row r="44" s="18" customFormat="1" ht="13.5" customHeight="1" spans="1:220">
      <c r="A44" s="26"/>
      <c r="B44" s="46" t="s">
        <v>110</v>
      </c>
      <c r="C44" s="50" t="s">
        <v>111</v>
      </c>
      <c r="D44" s="50" t="s">
        <v>70</v>
      </c>
      <c r="E44" s="15"/>
      <c r="F44" s="15"/>
      <c r="G44" s="53"/>
      <c r="H44" s="53"/>
      <c r="I44" s="53"/>
      <c r="J44" s="15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  <c r="FO44" s="70"/>
      <c r="FP44" s="70"/>
      <c r="FQ44" s="70"/>
      <c r="FR44" s="70"/>
      <c r="FS44" s="70"/>
      <c r="FT44" s="70"/>
      <c r="FU44" s="70"/>
      <c r="FV44" s="70"/>
      <c r="FW44" s="70"/>
      <c r="FX44" s="70"/>
      <c r="FY44" s="70"/>
      <c r="FZ44" s="70"/>
      <c r="GA44" s="70"/>
      <c r="GB44" s="70"/>
      <c r="GC44" s="70"/>
      <c r="GD44" s="70"/>
      <c r="GE44" s="70"/>
      <c r="GF44" s="70"/>
      <c r="GG44" s="70"/>
      <c r="GH44" s="70"/>
      <c r="GI44" s="70"/>
      <c r="GJ44" s="70"/>
      <c r="GK44" s="70"/>
      <c r="GL44" s="70"/>
      <c r="GM44" s="70"/>
      <c r="GN44" s="70"/>
      <c r="GO44" s="70"/>
      <c r="GP44" s="70"/>
      <c r="GQ44" s="70"/>
      <c r="GR44" s="70"/>
      <c r="GS44" s="70"/>
      <c r="GT44" s="70"/>
      <c r="GU44" s="70"/>
      <c r="GV44" s="70"/>
      <c r="GW44" s="70"/>
      <c r="GX44" s="70"/>
      <c r="GY44" s="70"/>
      <c r="GZ44" s="70"/>
      <c r="HA44" s="70"/>
      <c r="HB44" s="70"/>
      <c r="HC44" s="70"/>
      <c r="HD44" s="70"/>
      <c r="HE44" s="70"/>
      <c r="HF44" s="70"/>
      <c r="HG44" s="70"/>
      <c r="HH44" s="70"/>
      <c r="HI44" s="70"/>
      <c r="HJ44" s="70"/>
      <c r="HK44" s="70"/>
      <c r="HL44" s="70"/>
    </row>
    <row r="45" s="18" customFormat="1" ht="13.5" customHeight="1" spans="1:220">
      <c r="A45" s="26"/>
      <c r="B45" s="46" t="s">
        <v>112</v>
      </c>
      <c r="C45" s="50"/>
      <c r="D45" s="50" t="s">
        <v>113</v>
      </c>
      <c r="E45" s="15"/>
      <c r="F45" s="15"/>
      <c r="G45" s="53"/>
      <c r="H45" s="53"/>
      <c r="I45" s="53"/>
      <c r="J45" s="15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  <c r="EY45" s="70"/>
      <c r="EZ45" s="70"/>
      <c r="FA45" s="70"/>
      <c r="FB45" s="70"/>
      <c r="FC45" s="70"/>
      <c r="FD45" s="70"/>
      <c r="FE45" s="70"/>
      <c r="FF45" s="70"/>
      <c r="FG45" s="70"/>
      <c r="FH45" s="70"/>
      <c r="FI45" s="70"/>
      <c r="FJ45" s="70"/>
      <c r="FK45" s="70"/>
      <c r="FL45" s="70"/>
      <c r="FM45" s="70"/>
      <c r="FN45" s="70"/>
      <c r="FO45" s="70"/>
      <c r="FP45" s="70"/>
      <c r="FQ45" s="70"/>
      <c r="FR45" s="70"/>
      <c r="FS45" s="70"/>
      <c r="FT45" s="70"/>
      <c r="FU45" s="70"/>
      <c r="FV45" s="70"/>
      <c r="FW45" s="70"/>
      <c r="FX45" s="70"/>
      <c r="FY45" s="70"/>
      <c r="FZ45" s="70"/>
      <c r="GA45" s="70"/>
      <c r="GB45" s="70"/>
      <c r="GC45" s="70"/>
      <c r="GD45" s="70"/>
      <c r="GE45" s="70"/>
      <c r="GF45" s="70"/>
      <c r="GG45" s="70"/>
      <c r="GH45" s="70"/>
      <c r="GI45" s="70"/>
      <c r="GJ45" s="70"/>
      <c r="GK45" s="70"/>
      <c r="GL45" s="70"/>
      <c r="GM45" s="70"/>
      <c r="GN45" s="70"/>
      <c r="GO45" s="70"/>
      <c r="GP45" s="70"/>
      <c r="GQ45" s="70"/>
      <c r="GR45" s="70"/>
      <c r="GS45" s="70"/>
      <c r="GT45" s="70"/>
      <c r="GU45" s="70"/>
      <c r="GV45" s="70"/>
      <c r="GW45" s="70"/>
      <c r="GX45" s="70"/>
      <c r="GY45" s="70"/>
      <c r="GZ45" s="70"/>
      <c r="HA45" s="70"/>
      <c r="HB45" s="70"/>
      <c r="HC45" s="70"/>
      <c r="HD45" s="70"/>
      <c r="HE45" s="70"/>
      <c r="HF45" s="70"/>
      <c r="HG45" s="70"/>
      <c r="HH45" s="70"/>
      <c r="HI45" s="70"/>
      <c r="HJ45" s="70"/>
      <c r="HK45" s="70"/>
      <c r="HL45" s="70"/>
    </row>
    <row r="46" s="18" customFormat="1" ht="13.5" customHeight="1" spans="1:220">
      <c r="A46" s="26"/>
      <c r="B46" s="46" t="s">
        <v>114</v>
      </c>
      <c r="C46" s="50" t="s">
        <v>115</v>
      </c>
      <c r="D46" s="50" t="s">
        <v>104</v>
      </c>
      <c r="E46" s="15"/>
      <c r="F46" s="15"/>
      <c r="G46" s="53"/>
      <c r="H46" s="53"/>
      <c r="I46" s="53"/>
      <c r="J46" s="15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  <c r="EY46" s="70"/>
      <c r="EZ46" s="70"/>
      <c r="FA46" s="70"/>
      <c r="FB46" s="70"/>
      <c r="FC46" s="70"/>
      <c r="FD46" s="70"/>
      <c r="FE46" s="70"/>
      <c r="FF46" s="70"/>
      <c r="FG46" s="70"/>
      <c r="FH46" s="70"/>
      <c r="FI46" s="70"/>
      <c r="FJ46" s="70"/>
      <c r="FK46" s="70"/>
      <c r="FL46" s="70"/>
      <c r="FM46" s="70"/>
      <c r="FN46" s="70"/>
      <c r="FO46" s="70"/>
      <c r="FP46" s="70"/>
      <c r="FQ46" s="70"/>
      <c r="FR46" s="70"/>
      <c r="FS46" s="70"/>
      <c r="FT46" s="70"/>
      <c r="FU46" s="70"/>
      <c r="FV46" s="70"/>
      <c r="FW46" s="70"/>
      <c r="FX46" s="70"/>
      <c r="FY46" s="70"/>
      <c r="FZ46" s="70"/>
      <c r="GA46" s="70"/>
      <c r="GB46" s="70"/>
      <c r="GC46" s="70"/>
      <c r="GD46" s="70"/>
      <c r="GE46" s="70"/>
      <c r="GF46" s="70"/>
      <c r="GG46" s="70"/>
      <c r="GH46" s="70"/>
      <c r="GI46" s="70"/>
      <c r="GJ46" s="70"/>
      <c r="GK46" s="70"/>
      <c r="GL46" s="70"/>
      <c r="GM46" s="70"/>
      <c r="GN46" s="70"/>
      <c r="GO46" s="70"/>
      <c r="GP46" s="70"/>
      <c r="GQ46" s="70"/>
      <c r="GR46" s="70"/>
      <c r="GS46" s="70"/>
      <c r="GT46" s="70"/>
      <c r="GU46" s="70"/>
      <c r="GV46" s="70"/>
      <c r="GW46" s="70"/>
      <c r="GX46" s="70"/>
      <c r="GY46" s="70"/>
      <c r="GZ46" s="70"/>
      <c r="HA46" s="70"/>
      <c r="HB46" s="70"/>
      <c r="HC46" s="70"/>
      <c r="HD46" s="70"/>
      <c r="HE46" s="70"/>
      <c r="HF46" s="70"/>
      <c r="HG46" s="70"/>
      <c r="HH46" s="70"/>
      <c r="HI46" s="70"/>
      <c r="HJ46" s="70"/>
      <c r="HK46" s="70"/>
      <c r="HL46" s="70"/>
    </row>
    <row r="47" s="18" customFormat="1" ht="13.5" customHeight="1" spans="1:220">
      <c r="A47" s="26"/>
      <c r="B47" s="46" t="s">
        <v>116</v>
      </c>
      <c r="C47" s="50"/>
      <c r="D47" s="50" t="s">
        <v>106</v>
      </c>
      <c r="E47" s="15"/>
      <c r="F47" s="15"/>
      <c r="G47" s="53"/>
      <c r="H47" s="53"/>
      <c r="I47" s="53"/>
      <c r="J47" s="15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  <c r="EY47" s="70"/>
      <c r="EZ47" s="70"/>
      <c r="FA47" s="70"/>
      <c r="FB47" s="70"/>
      <c r="FC47" s="70"/>
      <c r="FD47" s="70"/>
      <c r="FE47" s="70"/>
      <c r="FF47" s="70"/>
      <c r="FG47" s="70"/>
      <c r="FH47" s="70"/>
      <c r="FI47" s="70"/>
      <c r="FJ47" s="70"/>
      <c r="FK47" s="70"/>
      <c r="FL47" s="70"/>
      <c r="FM47" s="70"/>
      <c r="FN47" s="70"/>
      <c r="FO47" s="70"/>
      <c r="FP47" s="70"/>
      <c r="FQ47" s="70"/>
      <c r="FR47" s="70"/>
      <c r="FS47" s="70"/>
      <c r="FT47" s="70"/>
      <c r="FU47" s="70"/>
      <c r="FV47" s="70"/>
      <c r="FW47" s="70"/>
      <c r="FX47" s="70"/>
      <c r="FY47" s="70"/>
      <c r="FZ47" s="70"/>
      <c r="GA47" s="70"/>
      <c r="GB47" s="70"/>
      <c r="GC47" s="70"/>
      <c r="GD47" s="70"/>
      <c r="GE47" s="70"/>
      <c r="GF47" s="70"/>
      <c r="GG47" s="70"/>
      <c r="GH47" s="70"/>
      <c r="GI47" s="70"/>
      <c r="GJ47" s="70"/>
      <c r="GK47" s="70"/>
      <c r="GL47" s="70"/>
      <c r="GM47" s="70"/>
      <c r="GN47" s="70"/>
      <c r="GO47" s="70"/>
      <c r="GP47" s="70"/>
      <c r="GQ47" s="70"/>
      <c r="GR47" s="70"/>
      <c r="GS47" s="70"/>
      <c r="GT47" s="70"/>
      <c r="GU47" s="70"/>
      <c r="GV47" s="70"/>
      <c r="GW47" s="70"/>
      <c r="GX47" s="70"/>
      <c r="GY47" s="70"/>
      <c r="GZ47" s="70"/>
      <c r="HA47" s="70"/>
      <c r="HB47" s="70"/>
      <c r="HC47" s="70"/>
      <c r="HD47" s="70"/>
      <c r="HE47" s="70"/>
      <c r="HF47" s="70"/>
      <c r="HG47" s="70"/>
      <c r="HH47" s="70"/>
      <c r="HI47" s="70"/>
      <c r="HJ47" s="70"/>
      <c r="HK47" s="70"/>
      <c r="HL47" s="70"/>
    </row>
    <row r="48" s="18" customFormat="1" ht="13.5" customHeight="1" spans="1:220">
      <c r="A48" s="26"/>
      <c r="B48" s="46" t="s">
        <v>117</v>
      </c>
      <c r="C48" s="50"/>
      <c r="D48" s="50" t="s">
        <v>70</v>
      </c>
      <c r="E48" s="15"/>
      <c r="F48" s="15"/>
      <c r="G48" s="53"/>
      <c r="H48" s="53"/>
      <c r="I48" s="53"/>
      <c r="J48" s="15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  <c r="FU48" s="70"/>
      <c r="FV48" s="70"/>
      <c r="FW48" s="70"/>
      <c r="FX48" s="70"/>
      <c r="FY48" s="70"/>
      <c r="FZ48" s="70"/>
      <c r="GA48" s="70"/>
      <c r="GB48" s="70"/>
      <c r="GC48" s="70"/>
      <c r="GD48" s="70"/>
      <c r="GE48" s="70"/>
      <c r="GF48" s="70"/>
      <c r="GG48" s="70"/>
      <c r="GH48" s="70"/>
      <c r="GI48" s="70"/>
      <c r="GJ48" s="70"/>
      <c r="GK48" s="70"/>
      <c r="GL48" s="70"/>
      <c r="GM48" s="70"/>
      <c r="GN48" s="70"/>
      <c r="GO48" s="70"/>
      <c r="GP48" s="70"/>
      <c r="GQ48" s="70"/>
      <c r="GR48" s="70"/>
      <c r="GS48" s="70"/>
      <c r="GT48" s="70"/>
      <c r="GU48" s="70"/>
      <c r="GV48" s="70"/>
      <c r="GW48" s="70"/>
      <c r="GX48" s="70"/>
      <c r="GY48" s="70"/>
      <c r="GZ48" s="70"/>
      <c r="HA48" s="70"/>
      <c r="HB48" s="70"/>
      <c r="HC48" s="70"/>
      <c r="HD48" s="70"/>
      <c r="HE48" s="70"/>
      <c r="HF48" s="70"/>
      <c r="HG48" s="70"/>
      <c r="HH48" s="70"/>
      <c r="HI48" s="70"/>
      <c r="HJ48" s="70"/>
      <c r="HK48" s="70"/>
      <c r="HL48" s="70"/>
    </row>
    <row r="49" s="18" customFormat="1" ht="13.5" customHeight="1" spans="1:220">
      <c r="A49" s="26"/>
      <c r="B49" s="46" t="s">
        <v>118</v>
      </c>
      <c r="C49" s="50"/>
      <c r="D49" s="50" t="s">
        <v>109</v>
      </c>
      <c r="E49" s="15"/>
      <c r="F49" s="15"/>
      <c r="G49" s="53"/>
      <c r="H49" s="53"/>
      <c r="I49" s="53"/>
      <c r="J49" s="15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70"/>
      <c r="FM49" s="70"/>
      <c r="FN49" s="70"/>
      <c r="FO49" s="70"/>
      <c r="FP49" s="70"/>
      <c r="FQ49" s="70"/>
      <c r="FR49" s="70"/>
      <c r="FS49" s="70"/>
      <c r="FT49" s="70"/>
      <c r="FU49" s="70"/>
      <c r="FV49" s="70"/>
      <c r="FW49" s="70"/>
      <c r="FX49" s="70"/>
      <c r="FY49" s="70"/>
      <c r="FZ49" s="70"/>
      <c r="GA49" s="70"/>
      <c r="GB49" s="70"/>
      <c r="GC49" s="70"/>
      <c r="GD49" s="70"/>
      <c r="GE49" s="70"/>
      <c r="GF49" s="70"/>
      <c r="GG49" s="70"/>
      <c r="GH49" s="70"/>
      <c r="GI49" s="70"/>
      <c r="GJ49" s="70"/>
      <c r="GK49" s="70"/>
      <c r="GL49" s="70"/>
      <c r="GM49" s="70"/>
      <c r="GN49" s="70"/>
      <c r="GO49" s="70"/>
      <c r="GP49" s="70"/>
      <c r="GQ49" s="70"/>
      <c r="GR49" s="70"/>
      <c r="GS49" s="70"/>
      <c r="GT49" s="70"/>
      <c r="GU49" s="70"/>
      <c r="GV49" s="70"/>
      <c r="GW49" s="70"/>
      <c r="GX49" s="70"/>
      <c r="GY49" s="70"/>
      <c r="GZ49" s="70"/>
      <c r="HA49" s="70"/>
      <c r="HB49" s="70"/>
      <c r="HC49" s="70"/>
      <c r="HD49" s="70"/>
      <c r="HE49" s="70"/>
      <c r="HF49" s="70"/>
      <c r="HG49" s="70"/>
      <c r="HH49" s="70"/>
      <c r="HI49" s="70"/>
      <c r="HJ49" s="70"/>
      <c r="HK49" s="70"/>
      <c r="HL49" s="70"/>
    </row>
    <row r="50" s="18" customFormat="1" ht="36" customHeight="1" spans="1:220">
      <c r="A50" s="26"/>
      <c r="B50" s="46" t="s">
        <v>119</v>
      </c>
      <c r="C50" s="50" t="s">
        <v>120</v>
      </c>
      <c r="D50" s="50" t="s">
        <v>121</v>
      </c>
      <c r="E50" s="15"/>
      <c r="F50" s="15"/>
      <c r="G50" s="53"/>
      <c r="H50" s="53"/>
      <c r="I50" s="53"/>
      <c r="J50" s="15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/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  <c r="EY50" s="70"/>
      <c r="EZ50" s="70"/>
      <c r="FA50" s="70"/>
      <c r="FB50" s="70"/>
      <c r="FC50" s="70"/>
      <c r="FD50" s="70"/>
      <c r="FE50" s="70"/>
      <c r="FF50" s="70"/>
      <c r="FG50" s="70"/>
      <c r="FH50" s="70"/>
      <c r="FI50" s="70"/>
      <c r="FJ50" s="70"/>
      <c r="FK50" s="70"/>
      <c r="FL50" s="70"/>
      <c r="FM50" s="70"/>
      <c r="FN50" s="70"/>
      <c r="FO50" s="70"/>
      <c r="FP50" s="70"/>
      <c r="FQ50" s="70"/>
      <c r="FR50" s="70"/>
      <c r="FS50" s="70"/>
      <c r="FT50" s="70"/>
      <c r="FU50" s="70"/>
      <c r="FV50" s="70"/>
      <c r="FW50" s="70"/>
      <c r="FX50" s="70"/>
      <c r="FY50" s="70"/>
      <c r="FZ50" s="70"/>
      <c r="GA50" s="70"/>
      <c r="GB50" s="70"/>
      <c r="GC50" s="70"/>
      <c r="GD50" s="70"/>
      <c r="GE50" s="70"/>
      <c r="GF50" s="70"/>
      <c r="GG50" s="70"/>
      <c r="GH50" s="70"/>
      <c r="GI50" s="70"/>
      <c r="GJ50" s="70"/>
      <c r="GK50" s="70"/>
      <c r="GL50" s="70"/>
      <c r="GM50" s="70"/>
      <c r="GN50" s="70"/>
      <c r="GO50" s="70"/>
      <c r="GP50" s="70"/>
      <c r="GQ50" s="70"/>
      <c r="GR50" s="70"/>
      <c r="GS50" s="70"/>
      <c r="GT50" s="70"/>
      <c r="GU50" s="70"/>
      <c r="GV50" s="70"/>
      <c r="GW50" s="70"/>
      <c r="GX50" s="70"/>
      <c r="GY50" s="70"/>
      <c r="GZ50" s="70"/>
      <c r="HA50" s="70"/>
      <c r="HB50" s="70"/>
      <c r="HC50" s="70"/>
      <c r="HD50" s="70"/>
      <c r="HE50" s="70"/>
      <c r="HF50" s="70"/>
      <c r="HG50" s="70"/>
      <c r="HH50" s="70"/>
      <c r="HI50" s="70"/>
      <c r="HJ50" s="70"/>
      <c r="HK50" s="70"/>
      <c r="HL50" s="70"/>
    </row>
    <row r="51" s="18" customFormat="1" ht="19" customHeight="1" spans="1:220">
      <c r="A51" s="26"/>
      <c r="B51" s="46" t="s">
        <v>122</v>
      </c>
      <c r="C51" s="50"/>
      <c r="D51" s="50" t="s">
        <v>123</v>
      </c>
      <c r="E51" s="15"/>
      <c r="F51" s="15"/>
      <c r="G51" s="53"/>
      <c r="H51" s="53"/>
      <c r="I51" s="53"/>
      <c r="J51" s="15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/>
      <c r="FW51" s="70"/>
      <c r="FX51" s="70"/>
      <c r="FY51" s="70"/>
      <c r="FZ51" s="70"/>
      <c r="GA51" s="70"/>
      <c r="GB51" s="70"/>
      <c r="GC51" s="70"/>
      <c r="GD51" s="70"/>
      <c r="GE51" s="70"/>
      <c r="GF51" s="70"/>
      <c r="GG51" s="70"/>
      <c r="GH51" s="70"/>
      <c r="GI51" s="70"/>
      <c r="GJ51" s="70"/>
      <c r="GK51" s="70"/>
      <c r="GL51" s="70"/>
      <c r="GM51" s="70"/>
      <c r="GN51" s="70"/>
      <c r="GO51" s="70"/>
      <c r="GP51" s="70"/>
      <c r="GQ51" s="70"/>
      <c r="GR51" s="70"/>
      <c r="GS51" s="70"/>
      <c r="GT51" s="70"/>
      <c r="GU51" s="70"/>
      <c r="GV51" s="70"/>
      <c r="GW51" s="70"/>
      <c r="GX51" s="70"/>
      <c r="GY51" s="70"/>
      <c r="GZ51" s="70"/>
      <c r="HA51" s="70"/>
      <c r="HB51" s="70"/>
      <c r="HC51" s="70"/>
      <c r="HD51" s="70"/>
      <c r="HE51" s="70"/>
      <c r="HF51" s="70"/>
      <c r="HG51" s="70"/>
      <c r="HH51" s="70"/>
      <c r="HI51" s="70"/>
      <c r="HJ51" s="70"/>
      <c r="HK51" s="70"/>
      <c r="HL51" s="70"/>
    </row>
    <row r="52" s="18" customFormat="1" ht="19" customHeight="1" spans="1:220">
      <c r="A52" s="26"/>
      <c r="B52" s="46" t="s">
        <v>124</v>
      </c>
      <c r="C52" s="50"/>
      <c r="D52" s="50" t="s">
        <v>125</v>
      </c>
      <c r="E52" s="15"/>
      <c r="F52" s="15"/>
      <c r="G52" s="53"/>
      <c r="H52" s="53"/>
      <c r="I52" s="53"/>
      <c r="J52" s="15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/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70"/>
      <c r="FM52" s="70"/>
      <c r="FN52" s="70"/>
      <c r="FO52" s="70"/>
      <c r="FP52" s="70"/>
      <c r="FQ52" s="70"/>
      <c r="FR52" s="70"/>
      <c r="FS52" s="70"/>
      <c r="FT52" s="70"/>
      <c r="FU52" s="70"/>
      <c r="FV52" s="70"/>
      <c r="FW52" s="70"/>
      <c r="FX52" s="70"/>
      <c r="FY52" s="70"/>
      <c r="FZ52" s="70"/>
      <c r="GA52" s="70"/>
      <c r="GB52" s="70"/>
      <c r="GC52" s="70"/>
      <c r="GD52" s="70"/>
      <c r="GE52" s="70"/>
      <c r="GF52" s="70"/>
      <c r="GG52" s="70"/>
      <c r="GH52" s="70"/>
      <c r="GI52" s="70"/>
      <c r="GJ52" s="70"/>
      <c r="GK52" s="70"/>
      <c r="GL52" s="70"/>
      <c r="GM52" s="70"/>
      <c r="GN52" s="70"/>
      <c r="GO52" s="70"/>
      <c r="GP52" s="70"/>
      <c r="GQ52" s="70"/>
      <c r="GR52" s="70"/>
      <c r="GS52" s="70"/>
      <c r="GT52" s="70"/>
      <c r="GU52" s="70"/>
      <c r="GV52" s="70"/>
      <c r="GW52" s="70"/>
      <c r="GX52" s="70"/>
      <c r="GY52" s="70"/>
      <c r="GZ52" s="70"/>
      <c r="HA52" s="70"/>
      <c r="HB52" s="70"/>
      <c r="HC52" s="70"/>
      <c r="HD52" s="70"/>
      <c r="HE52" s="70"/>
      <c r="HF52" s="70"/>
      <c r="HG52" s="70"/>
      <c r="HH52" s="70"/>
      <c r="HI52" s="70"/>
      <c r="HJ52" s="70"/>
      <c r="HK52" s="70"/>
      <c r="HL52" s="70"/>
    </row>
    <row r="53" s="18" customFormat="1" ht="19" customHeight="1" spans="1:220">
      <c r="A53" s="26"/>
      <c r="B53" s="46" t="s">
        <v>126</v>
      </c>
      <c r="C53" s="50"/>
      <c r="D53" s="50" t="s">
        <v>127</v>
      </c>
      <c r="E53" s="15"/>
      <c r="F53" s="15"/>
      <c r="G53" s="53"/>
      <c r="H53" s="53"/>
      <c r="I53" s="53"/>
      <c r="J53" s="15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  <c r="FC53" s="70"/>
      <c r="FD53" s="70"/>
      <c r="FE53" s="70"/>
      <c r="FF53" s="70"/>
      <c r="FG53" s="70"/>
      <c r="FH53" s="70"/>
      <c r="FI53" s="70"/>
      <c r="FJ53" s="70"/>
      <c r="FK53" s="70"/>
      <c r="FL53" s="70"/>
      <c r="FM53" s="70"/>
      <c r="FN53" s="70"/>
      <c r="FO53" s="70"/>
      <c r="FP53" s="70"/>
      <c r="FQ53" s="70"/>
      <c r="FR53" s="70"/>
      <c r="FS53" s="70"/>
      <c r="FT53" s="70"/>
      <c r="FU53" s="70"/>
      <c r="FV53" s="70"/>
      <c r="FW53" s="70"/>
      <c r="FX53" s="70"/>
      <c r="FY53" s="70"/>
      <c r="FZ53" s="70"/>
      <c r="GA53" s="70"/>
      <c r="GB53" s="70"/>
      <c r="GC53" s="70"/>
      <c r="GD53" s="70"/>
      <c r="GE53" s="70"/>
      <c r="GF53" s="70"/>
      <c r="GG53" s="70"/>
      <c r="GH53" s="70"/>
      <c r="GI53" s="70"/>
      <c r="GJ53" s="70"/>
      <c r="GK53" s="70"/>
      <c r="GL53" s="70"/>
      <c r="GM53" s="70"/>
      <c r="GN53" s="70"/>
      <c r="GO53" s="70"/>
      <c r="GP53" s="70"/>
      <c r="GQ53" s="70"/>
      <c r="GR53" s="70"/>
      <c r="GS53" s="70"/>
      <c r="GT53" s="70"/>
      <c r="GU53" s="70"/>
      <c r="GV53" s="70"/>
      <c r="GW53" s="70"/>
      <c r="GX53" s="70"/>
      <c r="GY53" s="70"/>
      <c r="GZ53" s="70"/>
      <c r="HA53" s="70"/>
      <c r="HB53" s="70"/>
      <c r="HC53" s="70"/>
      <c r="HD53" s="70"/>
      <c r="HE53" s="70"/>
      <c r="HF53" s="70"/>
      <c r="HG53" s="70"/>
      <c r="HH53" s="70"/>
      <c r="HI53" s="70"/>
      <c r="HJ53" s="70"/>
      <c r="HK53" s="70"/>
      <c r="HL53" s="70"/>
    </row>
    <row r="54" s="18" customFormat="1" ht="19" customHeight="1" spans="1:220">
      <c r="A54" s="26"/>
      <c r="B54" s="46" t="s">
        <v>128</v>
      </c>
      <c r="C54" s="50"/>
      <c r="D54" s="50" t="s">
        <v>129</v>
      </c>
      <c r="E54" s="15"/>
      <c r="F54" s="15"/>
      <c r="G54" s="53"/>
      <c r="H54" s="53"/>
      <c r="I54" s="53"/>
      <c r="J54" s="15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  <c r="FO54" s="70"/>
      <c r="FP54" s="70"/>
      <c r="FQ54" s="70"/>
      <c r="FR54" s="70"/>
      <c r="FS54" s="70"/>
      <c r="FT54" s="70"/>
      <c r="FU54" s="70"/>
      <c r="FV54" s="70"/>
      <c r="FW54" s="70"/>
      <c r="FX54" s="70"/>
      <c r="FY54" s="70"/>
      <c r="FZ54" s="70"/>
      <c r="GA54" s="70"/>
      <c r="GB54" s="70"/>
      <c r="GC54" s="70"/>
      <c r="GD54" s="70"/>
      <c r="GE54" s="70"/>
      <c r="GF54" s="70"/>
      <c r="GG54" s="70"/>
      <c r="GH54" s="70"/>
      <c r="GI54" s="70"/>
      <c r="GJ54" s="70"/>
      <c r="GK54" s="70"/>
      <c r="GL54" s="70"/>
      <c r="GM54" s="70"/>
      <c r="GN54" s="70"/>
      <c r="GO54" s="70"/>
      <c r="GP54" s="70"/>
      <c r="GQ54" s="70"/>
      <c r="GR54" s="70"/>
      <c r="GS54" s="70"/>
      <c r="GT54" s="70"/>
      <c r="GU54" s="70"/>
      <c r="GV54" s="70"/>
      <c r="GW54" s="70"/>
      <c r="GX54" s="70"/>
      <c r="GY54" s="70"/>
      <c r="GZ54" s="70"/>
      <c r="HA54" s="70"/>
      <c r="HB54" s="70"/>
      <c r="HC54" s="70"/>
      <c r="HD54" s="70"/>
      <c r="HE54" s="70"/>
      <c r="HF54" s="70"/>
      <c r="HG54" s="70"/>
      <c r="HH54" s="70"/>
      <c r="HI54" s="70"/>
      <c r="HJ54" s="70"/>
      <c r="HK54" s="70"/>
      <c r="HL54" s="70"/>
    </row>
    <row r="55" s="18" customFormat="1" ht="31" customHeight="1" spans="1:220">
      <c r="A55" s="26"/>
      <c r="B55" s="46" t="s">
        <v>130</v>
      </c>
      <c r="C55" s="50" t="s">
        <v>131</v>
      </c>
      <c r="D55" s="50" t="s">
        <v>132</v>
      </c>
      <c r="E55" s="15"/>
      <c r="F55" s="15"/>
      <c r="G55" s="53"/>
      <c r="H55" s="53"/>
      <c r="I55" s="53"/>
      <c r="J55" s="15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  <c r="FU55" s="70"/>
      <c r="FV55" s="70"/>
      <c r="FW55" s="70"/>
      <c r="FX55" s="70"/>
      <c r="FY55" s="70"/>
      <c r="FZ55" s="70"/>
      <c r="GA55" s="70"/>
      <c r="GB55" s="70"/>
      <c r="GC55" s="70"/>
      <c r="GD55" s="70"/>
      <c r="GE55" s="70"/>
      <c r="GF55" s="70"/>
      <c r="GG55" s="70"/>
      <c r="GH55" s="70"/>
      <c r="GI55" s="70"/>
      <c r="GJ55" s="70"/>
      <c r="GK55" s="70"/>
      <c r="GL55" s="70"/>
      <c r="GM55" s="70"/>
      <c r="GN55" s="70"/>
      <c r="GO55" s="70"/>
      <c r="GP55" s="70"/>
      <c r="GQ55" s="70"/>
      <c r="GR55" s="70"/>
      <c r="GS55" s="70"/>
      <c r="GT55" s="70"/>
      <c r="GU55" s="70"/>
      <c r="GV55" s="70"/>
      <c r="GW55" s="70"/>
      <c r="GX55" s="70"/>
      <c r="GY55" s="70"/>
      <c r="GZ55" s="70"/>
      <c r="HA55" s="70"/>
      <c r="HB55" s="70"/>
      <c r="HC55" s="70"/>
      <c r="HD55" s="70"/>
      <c r="HE55" s="70"/>
      <c r="HF55" s="70"/>
      <c r="HG55" s="70"/>
      <c r="HH55" s="70"/>
      <c r="HI55" s="70"/>
      <c r="HJ55" s="70"/>
      <c r="HK55" s="70"/>
      <c r="HL55" s="70"/>
    </row>
    <row r="56" s="18" customFormat="1" ht="31" customHeight="1" spans="1:220">
      <c r="A56" s="26"/>
      <c r="B56" s="46" t="s">
        <v>133</v>
      </c>
      <c r="C56" s="50"/>
      <c r="D56" s="50" t="s">
        <v>134</v>
      </c>
      <c r="E56" s="15"/>
      <c r="F56" s="15"/>
      <c r="G56" s="53"/>
      <c r="H56" s="53"/>
      <c r="I56" s="53"/>
      <c r="J56" s="15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/>
      <c r="FW56" s="70"/>
      <c r="FX56" s="70"/>
      <c r="FY56" s="70"/>
      <c r="FZ56" s="70"/>
      <c r="GA56" s="70"/>
      <c r="GB56" s="70"/>
      <c r="GC56" s="70"/>
      <c r="GD56" s="70"/>
      <c r="GE56" s="70"/>
      <c r="GF56" s="70"/>
      <c r="GG56" s="70"/>
      <c r="GH56" s="70"/>
      <c r="GI56" s="70"/>
      <c r="GJ56" s="70"/>
      <c r="GK56" s="70"/>
      <c r="GL56" s="70"/>
      <c r="GM56" s="70"/>
      <c r="GN56" s="70"/>
      <c r="GO56" s="70"/>
      <c r="GP56" s="70"/>
      <c r="GQ56" s="70"/>
      <c r="GR56" s="70"/>
      <c r="GS56" s="70"/>
      <c r="GT56" s="70"/>
      <c r="GU56" s="70"/>
      <c r="GV56" s="70"/>
      <c r="GW56" s="70"/>
      <c r="GX56" s="70"/>
      <c r="GY56" s="70"/>
      <c r="GZ56" s="70"/>
      <c r="HA56" s="70"/>
      <c r="HB56" s="70"/>
      <c r="HC56" s="70"/>
      <c r="HD56" s="70"/>
      <c r="HE56" s="70"/>
      <c r="HF56" s="70"/>
      <c r="HG56" s="70"/>
      <c r="HH56" s="70"/>
      <c r="HI56" s="70"/>
      <c r="HJ56" s="70"/>
      <c r="HK56" s="70"/>
      <c r="HL56" s="70"/>
    </row>
    <row r="57" s="18" customFormat="1" ht="14" customHeight="1" spans="1:220">
      <c r="A57" s="26"/>
      <c r="B57" s="46" t="s">
        <v>135</v>
      </c>
      <c r="C57" s="50"/>
      <c r="D57" s="50" t="s">
        <v>125</v>
      </c>
      <c r="E57" s="15"/>
      <c r="F57" s="15"/>
      <c r="G57" s="53"/>
      <c r="H57" s="53"/>
      <c r="I57" s="53"/>
      <c r="J57" s="15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70"/>
      <c r="FM57" s="70"/>
      <c r="FN57" s="70"/>
      <c r="FO57" s="70"/>
      <c r="FP57" s="70"/>
      <c r="FQ57" s="70"/>
      <c r="FR57" s="70"/>
      <c r="FS57" s="70"/>
      <c r="FT57" s="70"/>
      <c r="FU57" s="70"/>
      <c r="FV57" s="70"/>
      <c r="FW57" s="70"/>
      <c r="FX57" s="70"/>
      <c r="FY57" s="70"/>
      <c r="FZ57" s="70"/>
      <c r="GA57" s="70"/>
      <c r="GB57" s="70"/>
      <c r="GC57" s="70"/>
      <c r="GD57" s="70"/>
      <c r="GE57" s="70"/>
      <c r="GF57" s="70"/>
      <c r="GG57" s="70"/>
      <c r="GH57" s="70"/>
      <c r="GI57" s="70"/>
      <c r="GJ57" s="70"/>
      <c r="GK57" s="70"/>
      <c r="GL57" s="70"/>
      <c r="GM57" s="70"/>
      <c r="GN57" s="70"/>
      <c r="GO57" s="70"/>
      <c r="GP57" s="70"/>
      <c r="GQ57" s="70"/>
      <c r="GR57" s="70"/>
      <c r="GS57" s="70"/>
      <c r="GT57" s="70"/>
      <c r="GU57" s="70"/>
      <c r="GV57" s="70"/>
      <c r="GW57" s="70"/>
      <c r="GX57" s="70"/>
      <c r="GY57" s="70"/>
      <c r="GZ57" s="70"/>
      <c r="HA57" s="70"/>
      <c r="HB57" s="70"/>
      <c r="HC57" s="70"/>
      <c r="HD57" s="70"/>
      <c r="HE57" s="70"/>
      <c r="HF57" s="70"/>
      <c r="HG57" s="70"/>
      <c r="HH57" s="70"/>
      <c r="HI57" s="70"/>
      <c r="HJ57" s="70"/>
      <c r="HK57" s="70"/>
      <c r="HL57" s="70"/>
    </row>
    <row r="58" s="18" customFormat="1" ht="17" customHeight="1" spans="1:220">
      <c r="A58" s="26"/>
      <c r="B58" s="46" t="s">
        <v>136</v>
      </c>
      <c r="C58" s="50"/>
      <c r="D58" s="50" t="s">
        <v>127</v>
      </c>
      <c r="E58" s="15"/>
      <c r="F58" s="15"/>
      <c r="G58" s="53"/>
      <c r="H58" s="53"/>
      <c r="I58" s="53"/>
      <c r="J58" s="15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  <c r="EY58" s="70"/>
      <c r="EZ58" s="70"/>
      <c r="FA58" s="70"/>
      <c r="FB58" s="70"/>
      <c r="FC58" s="70"/>
      <c r="FD58" s="70"/>
      <c r="FE58" s="70"/>
      <c r="FF58" s="70"/>
      <c r="FG58" s="70"/>
      <c r="FH58" s="70"/>
      <c r="FI58" s="70"/>
      <c r="FJ58" s="70"/>
      <c r="FK58" s="70"/>
      <c r="FL58" s="70"/>
      <c r="FM58" s="70"/>
      <c r="FN58" s="70"/>
      <c r="FO58" s="70"/>
      <c r="FP58" s="70"/>
      <c r="FQ58" s="70"/>
      <c r="FR58" s="70"/>
      <c r="FS58" s="70"/>
      <c r="FT58" s="70"/>
      <c r="FU58" s="70"/>
      <c r="FV58" s="70"/>
      <c r="FW58" s="70"/>
      <c r="FX58" s="70"/>
      <c r="FY58" s="70"/>
      <c r="FZ58" s="70"/>
      <c r="GA58" s="70"/>
      <c r="GB58" s="70"/>
      <c r="GC58" s="70"/>
      <c r="GD58" s="70"/>
      <c r="GE58" s="70"/>
      <c r="GF58" s="70"/>
      <c r="GG58" s="70"/>
      <c r="GH58" s="70"/>
      <c r="GI58" s="70"/>
      <c r="GJ58" s="70"/>
      <c r="GK58" s="70"/>
      <c r="GL58" s="70"/>
      <c r="GM58" s="70"/>
      <c r="GN58" s="70"/>
      <c r="GO58" s="70"/>
      <c r="GP58" s="70"/>
      <c r="GQ58" s="70"/>
      <c r="GR58" s="70"/>
      <c r="GS58" s="70"/>
      <c r="GT58" s="70"/>
      <c r="GU58" s="70"/>
      <c r="GV58" s="70"/>
      <c r="GW58" s="70"/>
      <c r="GX58" s="70"/>
      <c r="GY58" s="70"/>
      <c r="GZ58" s="70"/>
      <c r="HA58" s="70"/>
      <c r="HB58" s="70"/>
      <c r="HC58" s="70"/>
      <c r="HD58" s="70"/>
      <c r="HE58" s="70"/>
      <c r="HF58" s="70"/>
      <c r="HG58" s="70"/>
      <c r="HH58" s="70"/>
      <c r="HI58" s="70"/>
      <c r="HJ58" s="70"/>
      <c r="HK58" s="70"/>
      <c r="HL58" s="70"/>
    </row>
    <row r="59" s="18" customFormat="1" ht="13.5" customHeight="1" spans="1:220">
      <c r="A59" s="26"/>
      <c r="B59" s="46" t="s">
        <v>137</v>
      </c>
      <c r="C59" s="50"/>
      <c r="D59" s="50" t="s">
        <v>138</v>
      </c>
      <c r="E59" s="15"/>
      <c r="F59" s="15"/>
      <c r="G59" s="53"/>
      <c r="H59" s="53"/>
      <c r="I59" s="53"/>
      <c r="J59" s="1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  <c r="FU59" s="70"/>
      <c r="FV59" s="70"/>
      <c r="FW59" s="70"/>
      <c r="FX59" s="70"/>
      <c r="FY59" s="70"/>
      <c r="FZ59" s="70"/>
      <c r="GA59" s="70"/>
      <c r="GB59" s="70"/>
      <c r="GC59" s="70"/>
      <c r="GD59" s="70"/>
      <c r="GE59" s="70"/>
      <c r="GF59" s="70"/>
      <c r="GG59" s="70"/>
      <c r="GH59" s="70"/>
      <c r="GI59" s="70"/>
      <c r="GJ59" s="70"/>
      <c r="GK59" s="70"/>
      <c r="GL59" s="70"/>
      <c r="GM59" s="70"/>
      <c r="GN59" s="70"/>
      <c r="GO59" s="70"/>
      <c r="GP59" s="70"/>
      <c r="GQ59" s="70"/>
      <c r="GR59" s="70"/>
      <c r="GS59" s="70"/>
      <c r="GT59" s="70"/>
      <c r="GU59" s="70"/>
      <c r="GV59" s="70"/>
      <c r="GW59" s="70"/>
      <c r="GX59" s="70"/>
      <c r="GY59" s="70"/>
      <c r="GZ59" s="70"/>
      <c r="HA59" s="70"/>
      <c r="HB59" s="70"/>
      <c r="HC59" s="70"/>
      <c r="HD59" s="70"/>
      <c r="HE59" s="70"/>
      <c r="HF59" s="70"/>
      <c r="HG59" s="70"/>
      <c r="HH59" s="70"/>
      <c r="HI59" s="70"/>
      <c r="HJ59" s="70"/>
      <c r="HK59" s="70"/>
      <c r="HL59" s="70"/>
    </row>
    <row r="60" s="18" customFormat="1" ht="13.5" customHeight="1" spans="1:220">
      <c r="A60" s="26"/>
      <c r="B60" s="46" t="s">
        <v>139</v>
      </c>
      <c r="C60" s="50"/>
      <c r="D60" s="50" t="s">
        <v>140</v>
      </c>
      <c r="E60" s="15"/>
      <c r="F60" s="15"/>
      <c r="G60" s="53"/>
      <c r="H60" s="53"/>
      <c r="I60" s="53"/>
      <c r="J60" s="15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70"/>
      <c r="FM60" s="70"/>
      <c r="FN60" s="70"/>
      <c r="FO60" s="70"/>
      <c r="FP60" s="70"/>
      <c r="FQ60" s="70"/>
      <c r="FR60" s="70"/>
      <c r="FS60" s="70"/>
      <c r="FT60" s="70"/>
      <c r="FU60" s="70"/>
      <c r="FV60" s="70"/>
      <c r="FW60" s="70"/>
      <c r="FX60" s="70"/>
      <c r="FY60" s="70"/>
      <c r="FZ60" s="70"/>
      <c r="GA60" s="70"/>
      <c r="GB60" s="70"/>
      <c r="GC60" s="70"/>
      <c r="GD60" s="70"/>
      <c r="GE60" s="70"/>
      <c r="GF60" s="70"/>
      <c r="GG60" s="70"/>
      <c r="GH60" s="70"/>
      <c r="GI60" s="70"/>
      <c r="GJ60" s="70"/>
      <c r="GK60" s="70"/>
      <c r="GL60" s="70"/>
      <c r="GM60" s="70"/>
      <c r="GN60" s="70"/>
      <c r="GO60" s="70"/>
      <c r="GP60" s="70"/>
      <c r="GQ60" s="70"/>
      <c r="GR60" s="70"/>
      <c r="GS60" s="70"/>
      <c r="GT60" s="70"/>
      <c r="GU60" s="70"/>
      <c r="GV60" s="70"/>
      <c r="GW60" s="70"/>
      <c r="GX60" s="70"/>
      <c r="GY60" s="70"/>
      <c r="GZ60" s="70"/>
      <c r="HA60" s="70"/>
      <c r="HB60" s="70"/>
      <c r="HC60" s="70"/>
      <c r="HD60" s="70"/>
      <c r="HE60" s="70"/>
      <c r="HF60" s="70"/>
      <c r="HG60" s="70"/>
      <c r="HH60" s="70"/>
      <c r="HI60" s="70"/>
      <c r="HJ60" s="70"/>
      <c r="HK60" s="70"/>
      <c r="HL60" s="70"/>
    </row>
    <row r="61" s="18" customFormat="1" ht="13.5" customHeight="1" spans="1:220">
      <c r="A61" s="26"/>
      <c r="B61" s="46" t="s">
        <v>141</v>
      </c>
      <c r="C61" s="50" t="s">
        <v>142</v>
      </c>
      <c r="D61" s="50" t="s">
        <v>143</v>
      </c>
      <c r="E61" s="15"/>
      <c r="F61" s="15"/>
      <c r="G61" s="53"/>
      <c r="H61" s="53"/>
      <c r="I61" s="53"/>
      <c r="J61" s="15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/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  <c r="EY61" s="70"/>
      <c r="EZ61" s="70"/>
      <c r="FA61" s="70"/>
      <c r="FB61" s="70"/>
      <c r="FC61" s="70"/>
      <c r="FD61" s="70"/>
      <c r="FE61" s="70"/>
      <c r="FF61" s="70"/>
      <c r="FG61" s="70"/>
      <c r="FH61" s="70"/>
      <c r="FI61" s="70"/>
      <c r="FJ61" s="70"/>
      <c r="FK61" s="70"/>
      <c r="FL61" s="70"/>
      <c r="FM61" s="70"/>
      <c r="FN61" s="70"/>
      <c r="FO61" s="70"/>
      <c r="FP61" s="70"/>
      <c r="FQ61" s="70"/>
      <c r="FR61" s="70"/>
      <c r="FS61" s="70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</row>
    <row r="62" s="18" customFormat="1" ht="13.5" customHeight="1" spans="1:220">
      <c r="A62" s="26"/>
      <c r="B62" s="46" t="s">
        <v>144</v>
      </c>
      <c r="C62" s="50"/>
      <c r="D62" s="18" t="s">
        <v>145</v>
      </c>
      <c r="E62" s="15"/>
      <c r="F62" s="15"/>
      <c r="G62" s="53"/>
      <c r="H62" s="53"/>
      <c r="I62" s="53"/>
      <c r="J62" s="15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70"/>
      <c r="FM62" s="70"/>
      <c r="FN62" s="70"/>
      <c r="FO62" s="70"/>
      <c r="FP62" s="70"/>
      <c r="FQ62" s="70"/>
      <c r="FR62" s="70"/>
      <c r="FS62" s="70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</row>
    <row r="63" s="18" customFormat="1" ht="13.5" customHeight="1" spans="1:220">
      <c r="A63" s="26"/>
      <c r="B63" s="46" t="s">
        <v>146</v>
      </c>
      <c r="C63" s="50"/>
      <c r="D63" s="50" t="s">
        <v>70</v>
      </c>
      <c r="E63" s="15"/>
      <c r="F63" s="15"/>
      <c r="G63" s="53"/>
      <c r="H63" s="53"/>
      <c r="I63" s="53"/>
      <c r="J63" s="1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0"/>
      <c r="FQ63" s="70"/>
      <c r="FR63" s="70"/>
      <c r="FS63" s="70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</row>
    <row r="64" s="18" customFormat="1" ht="13.5" customHeight="1" spans="1:220">
      <c r="A64" s="26"/>
      <c r="B64" s="46" t="s">
        <v>147</v>
      </c>
      <c r="C64" s="50"/>
      <c r="D64" s="55" t="s">
        <v>88</v>
      </c>
      <c r="E64" s="15"/>
      <c r="F64" s="15"/>
      <c r="G64" s="53"/>
      <c r="H64" s="53"/>
      <c r="I64" s="53"/>
      <c r="J64" s="15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70"/>
      <c r="FM64" s="70"/>
      <c r="FN64" s="70"/>
      <c r="FO64" s="70"/>
      <c r="FP64" s="70"/>
      <c r="FQ64" s="70"/>
      <c r="FR64" s="70"/>
      <c r="FS64" s="70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</row>
    <row r="65" s="18" customFormat="1" ht="13.5" customHeight="1" spans="1:220">
      <c r="A65" s="26"/>
      <c r="B65" s="46" t="s">
        <v>148</v>
      </c>
      <c r="C65" s="50"/>
      <c r="D65" s="55" t="s">
        <v>149</v>
      </c>
      <c r="E65" s="15"/>
      <c r="F65" s="15"/>
      <c r="G65" s="53"/>
      <c r="H65" s="53"/>
      <c r="I65" s="53"/>
      <c r="J65" s="15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70"/>
      <c r="FM65" s="70"/>
      <c r="FN65" s="70"/>
      <c r="FO65" s="70"/>
      <c r="FP65" s="70"/>
      <c r="FQ65" s="70"/>
      <c r="FR65" s="70"/>
      <c r="FS65" s="70"/>
      <c r="FT65" s="70"/>
      <c r="FU65" s="70"/>
      <c r="FV65" s="70"/>
      <c r="FW65" s="70"/>
      <c r="FX65" s="70"/>
      <c r="FY65" s="70"/>
      <c r="FZ65" s="70"/>
      <c r="GA65" s="70"/>
      <c r="GB65" s="70"/>
      <c r="GC65" s="70"/>
      <c r="GD65" s="70"/>
      <c r="GE65" s="70"/>
      <c r="GF65" s="70"/>
      <c r="GG65" s="70"/>
      <c r="GH65" s="70"/>
      <c r="GI65" s="70"/>
      <c r="GJ65" s="70"/>
      <c r="GK65" s="70"/>
      <c r="GL65" s="70"/>
      <c r="GM65" s="70"/>
      <c r="GN65" s="70"/>
      <c r="GO65" s="70"/>
      <c r="GP65" s="70"/>
      <c r="GQ65" s="70"/>
      <c r="GR65" s="70"/>
      <c r="GS65" s="70"/>
      <c r="GT65" s="70"/>
      <c r="GU65" s="70"/>
      <c r="GV65" s="70"/>
      <c r="GW65" s="70"/>
      <c r="GX65" s="70"/>
      <c r="GY65" s="70"/>
      <c r="GZ65" s="70"/>
      <c r="HA65" s="70"/>
      <c r="HB65" s="70"/>
      <c r="HC65" s="70"/>
      <c r="HD65" s="70"/>
      <c r="HE65" s="70"/>
      <c r="HF65" s="70"/>
      <c r="HG65" s="70"/>
      <c r="HH65" s="70"/>
      <c r="HI65" s="70"/>
      <c r="HJ65" s="70"/>
      <c r="HK65" s="70"/>
      <c r="HL65" s="70"/>
    </row>
    <row r="66" s="18" customFormat="1" ht="13.5" customHeight="1" spans="1:220">
      <c r="A66" s="26"/>
      <c r="B66" s="46" t="s">
        <v>150</v>
      </c>
      <c r="C66" s="50"/>
      <c r="D66" s="54" t="s">
        <v>92</v>
      </c>
      <c r="E66" s="15"/>
      <c r="F66" s="15"/>
      <c r="G66" s="53"/>
      <c r="H66" s="53"/>
      <c r="I66" s="53"/>
      <c r="J66" s="15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  <c r="EZ66" s="70"/>
      <c r="FA66" s="70"/>
      <c r="FB66" s="70"/>
      <c r="FC66" s="70"/>
      <c r="FD66" s="70"/>
      <c r="FE66" s="70"/>
      <c r="FF66" s="70"/>
      <c r="FG66" s="70"/>
      <c r="FH66" s="70"/>
      <c r="FI66" s="70"/>
      <c r="FJ66" s="70"/>
      <c r="FK66" s="70"/>
      <c r="FL66" s="70"/>
      <c r="FM66" s="70"/>
      <c r="FN66" s="70"/>
      <c r="FO66" s="70"/>
      <c r="FP66" s="70"/>
      <c r="FQ66" s="70"/>
      <c r="FR66" s="70"/>
      <c r="FS66" s="70"/>
      <c r="FT66" s="70"/>
      <c r="FU66" s="70"/>
      <c r="FV66" s="70"/>
      <c r="FW66" s="70"/>
      <c r="FX66" s="70"/>
      <c r="FY66" s="70"/>
      <c r="FZ66" s="70"/>
      <c r="GA66" s="70"/>
      <c r="GB66" s="70"/>
      <c r="GC66" s="70"/>
      <c r="GD66" s="70"/>
      <c r="GE66" s="70"/>
      <c r="GF66" s="70"/>
      <c r="GG66" s="70"/>
      <c r="GH66" s="70"/>
      <c r="GI66" s="70"/>
      <c r="GJ66" s="70"/>
      <c r="GK66" s="70"/>
      <c r="GL66" s="70"/>
      <c r="GM66" s="70"/>
      <c r="GN66" s="70"/>
      <c r="GO66" s="70"/>
      <c r="GP66" s="70"/>
      <c r="GQ66" s="70"/>
      <c r="GR66" s="70"/>
      <c r="GS66" s="70"/>
      <c r="GT66" s="70"/>
      <c r="GU66" s="70"/>
      <c r="GV66" s="70"/>
      <c r="GW66" s="70"/>
      <c r="GX66" s="70"/>
      <c r="GY66" s="70"/>
      <c r="GZ66" s="70"/>
      <c r="HA66" s="70"/>
      <c r="HB66" s="70"/>
      <c r="HC66" s="70"/>
      <c r="HD66" s="70"/>
      <c r="HE66" s="70"/>
      <c r="HF66" s="70"/>
      <c r="HG66" s="70"/>
      <c r="HH66" s="70"/>
      <c r="HI66" s="70"/>
      <c r="HJ66" s="70"/>
      <c r="HK66" s="70"/>
      <c r="HL66" s="70"/>
    </row>
    <row r="67" s="18" customFormat="1" ht="13.5" customHeight="1" spans="1:220">
      <c r="A67" s="26"/>
      <c r="B67" s="46" t="s">
        <v>151</v>
      </c>
      <c r="C67" s="50" t="s">
        <v>152</v>
      </c>
      <c r="D67" s="18" t="s">
        <v>95</v>
      </c>
      <c r="E67" s="15"/>
      <c r="F67" s="15"/>
      <c r="G67" s="53"/>
      <c r="H67" s="53"/>
      <c r="I67" s="53"/>
      <c r="J67" s="15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</row>
    <row r="68" s="18" customFormat="1" ht="13.5" customHeight="1" spans="1:220">
      <c r="A68" s="26"/>
      <c r="B68" s="46" t="s">
        <v>153</v>
      </c>
      <c r="C68" s="50"/>
      <c r="D68" s="50" t="s">
        <v>70</v>
      </c>
      <c r="E68" s="15"/>
      <c r="F68" s="15"/>
      <c r="G68" s="53"/>
      <c r="H68" s="53"/>
      <c r="I68" s="53"/>
      <c r="J68" s="15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  <c r="FK68" s="70"/>
      <c r="FL68" s="70"/>
      <c r="FM68" s="70"/>
      <c r="FN68" s="70"/>
      <c r="FO68" s="70"/>
      <c r="FP68" s="70"/>
      <c r="FQ68" s="70"/>
      <c r="FR68" s="70"/>
      <c r="FS68" s="70"/>
      <c r="FT68" s="70"/>
      <c r="FU68" s="70"/>
      <c r="FV68" s="70"/>
      <c r="FW68" s="70"/>
      <c r="FX68" s="70"/>
      <c r="FY68" s="70"/>
      <c r="FZ68" s="70"/>
      <c r="GA68" s="70"/>
      <c r="GB68" s="70"/>
      <c r="GC68" s="70"/>
      <c r="GD68" s="70"/>
      <c r="GE68" s="70"/>
      <c r="GF68" s="70"/>
      <c r="GG68" s="70"/>
      <c r="GH68" s="70"/>
      <c r="GI68" s="70"/>
      <c r="GJ68" s="70"/>
      <c r="GK68" s="70"/>
      <c r="GL68" s="70"/>
      <c r="GM68" s="70"/>
      <c r="GN68" s="70"/>
      <c r="GO68" s="70"/>
      <c r="GP68" s="70"/>
      <c r="GQ68" s="70"/>
      <c r="GR68" s="70"/>
      <c r="GS68" s="70"/>
      <c r="GT68" s="70"/>
      <c r="GU68" s="70"/>
      <c r="GV68" s="70"/>
      <c r="GW68" s="70"/>
      <c r="GX68" s="70"/>
      <c r="GY68" s="70"/>
      <c r="GZ68" s="70"/>
      <c r="HA68" s="70"/>
      <c r="HB68" s="70"/>
      <c r="HC68" s="70"/>
      <c r="HD68" s="70"/>
      <c r="HE68" s="70"/>
      <c r="HF68" s="70"/>
      <c r="HG68" s="70"/>
      <c r="HH68" s="70"/>
      <c r="HI68" s="70"/>
      <c r="HJ68" s="70"/>
      <c r="HK68" s="70"/>
      <c r="HL68" s="70"/>
    </row>
    <row r="69" s="18" customFormat="1" ht="13.5" customHeight="1" spans="1:220">
      <c r="A69" s="26"/>
      <c r="B69" s="46" t="s">
        <v>154</v>
      </c>
      <c r="C69" s="50"/>
      <c r="D69" s="54" t="s">
        <v>77</v>
      </c>
      <c r="E69" s="15"/>
      <c r="F69" s="15"/>
      <c r="G69" s="53"/>
      <c r="H69" s="53"/>
      <c r="I69" s="53"/>
      <c r="J69" s="15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  <c r="GH69" s="70"/>
      <c r="GI69" s="70"/>
      <c r="GJ69" s="70"/>
      <c r="GK69" s="70"/>
      <c r="GL69" s="70"/>
      <c r="GM69" s="70"/>
      <c r="GN69" s="70"/>
      <c r="GO69" s="70"/>
      <c r="GP69" s="70"/>
      <c r="GQ69" s="70"/>
      <c r="GR69" s="70"/>
      <c r="GS69" s="70"/>
      <c r="GT69" s="70"/>
      <c r="GU69" s="70"/>
      <c r="GV69" s="70"/>
      <c r="GW69" s="70"/>
      <c r="GX69" s="70"/>
      <c r="GY69" s="70"/>
      <c r="GZ69" s="70"/>
      <c r="HA69" s="70"/>
      <c r="HB69" s="70"/>
      <c r="HC69" s="70"/>
      <c r="HD69" s="70"/>
      <c r="HE69" s="70"/>
      <c r="HF69" s="70"/>
      <c r="HG69" s="70"/>
      <c r="HH69" s="70"/>
      <c r="HI69" s="70"/>
      <c r="HJ69" s="70"/>
      <c r="HK69" s="70"/>
      <c r="HL69" s="70"/>
    </row>
    <row r="70" s="18" customFormat="1" ht="13.5" customHeight="1" spans="1:220">
      <c r="A70" s="26"/>
      <c r="B70" s="46" t="s">
        <v>155</v>
      </c>
      <c r="C70" s="50"/>
      <c r="D70" s="50" t="s">
        <v>99</v>
      </c>
      <c r="E70" s="15"/>
      <c r="F70" s="15"/>
      <c r="G70" s="53"/>
      <c r="H70" s="53"/>
      <c r="I70" s="53"/>
      <c r="J70" s="15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  <c r="FR70" s="70"/>
      <c r="FS70" s="70"/>
      <c r="FT70" s="70"/>
      <c r="FU70" s="70"/>
      <c r="FV70" s="70"/>
      <c r="FW70" s="70"/>
      <c r="FX70" s="70"/>
      <c r="FY70" s="70"/>
      <c r="FZ70" s="70"/>
      <c r="GA70" s="70"/>
      <c r="GB70" s="70"/>
      <c r="GC70" s="70"/>
      <c r="GD70" s="70"/>
      <c r="GE70" s="70"/>
      <c r="GF70" s="70"/>
      <c r="GG70" s="70"/>
      <c r="GH70" s="70"/>
      <c r="GI70" s="70"/>
      <c r="GJ70" s="70"/>
      <c r="GK70" s="70"/>
      <c r="GL70" s="70"/>
      <c r="GM70" s="70"/>
      <c r="GN70" s="70"/>
      <c r="GO70" s="70"/>
      <c r="GP70" s="70"/>
      <c r="GQ70" s="70"/>
      <c r="GR70" s="70"/>
      <c r="GS70" s="70"/>
      <c r="GT70" s="70"/>
      <c r="GU70" s="70"/>
      <c r="GV70" s="70"/>
      <c r="GW70" s="70"/>
      <c r="GX70" s="70"/>
      <c r="GY70" s="70"/>
      <c r="GZ70" s="70"/>
      <c r="HA70" s="70"/>
      <c r="HB70" s="70"/>
      <c r="HC70" s="70"/>
      <c r="HD70" s="70"/>
      <c r="HE70" s="70"/>
      <c r="HF70" s="70"/>
      <c r="HG70" s="70"/>
      <c r="HH70" s="70"/>
      <c r="HI70" s="70"/>
      <c r="HJ70" s="70"/>
      <c r="HK70" s="70"/>
      <c r="HL70" s="70"/>
    </row>
    <row r="71" s="18" customFormat="1" ht="13.5" customHeight="1" spans="1:220">
      <c r="A71" s="26"/>
      <c r="B71" s="46" t="s">
        <v>156</v>
      </c>
      <c r="C71" s="50"/>
      <c r="D71" s="50" t="s">
        <v>101</v>
      </c>
      <c r="E71" s="15"/>
      <c r="F71" s="15"/>
      <c r="G71" s="53"/>
      <c r="H71" s="53"/>
      <c r="I71" s="53"/>
      <c r="J71" s="15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  <c r="FK71" s="70"/>
      <c r="FL71" s="70"/>
      <c r="FM71" s="70"/>
      <c r="FN71" s="70"/>
      <c r="FO71" s="70"/>
      <c r="FP71" s="70"/>
      <c r="FQ71" s="70"/>
      <c r="FR71" s="70"/>
      <c r="FS71" s="70"/>
      <c r="FT71" s="70"/>
      <c r="FU71" s="70"/>
      <c r="FV71" s="70"/>
      <c r="FW71" s="70"/>
      <c r="FX71" s="70"/>
      <c r="FY71" s="70"/>
      <c r="FZ71" s="70"/>
      <c r="GA71" s="70"/>
      <c r="GB71" s="70"/>
      <c r="GC71" s="70"/>
      <c r="GD71" s="70"/>
      <c r="GE71" s="70"/>
      <c r="GF71" s="70"/>
      <c r="GG71" s="70"/>
      <c r="GH71" s="70"/>
      <c r="GI71" s="70"/>
      <c r="GJ71" s="70"/>
      <c r="GK71" s="70"/>
      <c r="GL71" s="70"/>
      <c r="GM71" s="70"/>
      <c r="GN71" s="70"/>
      <c r="GO71" s="70"/>
      <c r="GP71" s="70"/>
      <c r="GQ71" s="70"/>
      <c r="GR71" s="70"/>
      <c r="GS71" s="70"/>
      <c r="GT71" s="70"/>
      <c r="GU71" s="70"/>
      <c r="GV71" s="70"/>
      <c r="GW71" s="70"/>
      <c r="GX71" s="70"/>
      <c r="GY71" s="70"/>
      <c r="GZ71" s="70"/>
      <c r="HA71" s="70"/>
      <c r="HB71" s="70"/>
      <c r="HC71" s="70"/>
      <c r="HD71" s="70"/>
      <c r="HE71" s="70"/>
      <c r="HF71" s="70"/>
      <c r="HG71" s="70"/>
      <c r="HH71" s="70"/>
      <c r="HI71" s="70"/>
      <c r="HJ71" s="70"/>
      <c r="HK71" s="70"/>
      <c r="HL71" s="70"/>
    </row>
    <row r="72" s="18" customFormat="1" ht="13.5" customHeight="1" spans="1:220">
      <c r="A72" s="26"/>
      <c r="B72" s="46" t="s">
        <v>157</v>
      </c>
      <c r="C72" s="50" t="s">
        <v>115</v>
      </c>
      <c r="D72" s="50" t="s">
        <v>104</v>
      </c>
      <c r="E72" s="15"/>
      <c r="F72" s="15"/>
      <c r="G72" s="53"/>
      <c r="H72" s="53"/>
      <c r="I72" s="53"/>
      <c r="J72" s="15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  <c r="FK72" s="70"/>
      <c r="FL72" s="70"/>
      <c r="FM72" s="70"/>
      <c r="FN72" s="70"/>
      <c r="FO72" s="70"/>
      <c r="FP72" s="70"/>
      <c r="FQ72" s="70"/>
      <c r="FR72" s="70"/>
      <c r="FS72" s="70"/>
      <c r="FT72" s="70"/>
      <c r="FU72" s="70"/>
      <c r="FV72" s="70"/>
      <c r="FW72" s="70"/>
      <c r="FX72" s="70"/>
      <c r="FY72" s="70"/>
      <c r="FZ72" s="70"/>
      <c r="GA72" s="70"/>
      <c r="GB72" s="70"/>
      <c r="GC72" s="70"/>
      <c r="GD72" s="70"/>
      <c r="GE72" s="70"/>
      <c r="GF72" s="70"/>
      <c r="GG72" s="70"/>
      <c r="GH72" s="70"/>
      <c r="GI72" s="70"/>
      <c r="GJ72" s="70"/>
      <c r="GK72" s="70"/>
      <c r="GL72" s="70"/>
      <c r="GM72" s="70"/>
      <c r="GN72" s="70"/>
      <c r="GO72" s="70"/>
      <c r="GP72" s="70"/>
      <c r="GQ72" s="70"/>
      <c r="GR72" s="70"/>
      <c r="GS72" s="70"/>
      <c r="GT72" s="70"/>
      <c r="GU72" s="70"/>
      <c r="GV72" s="70"/>
      <c r="GW72" s="70"/>
      <c r="GX72" s="70"/>
      <c r="GY72" s="70"/>
      <c r="GZ72" s="70"/>
      <c r="HA72" s="70"/>
      <c r="HB72" s="70"/>
      <c r="HC72" s="70"/>
      <c r="HD72" s="70"/>
      <c r="HE72" s="70"/>
      <c r="HF72" s="70"/>
      <c r="HG72" s="70"/>
      <c r="HH72" s="70"/>
      <c r="HI72" s="70"/>
      <c r="HJ72" s="70"/>
      <c r="HK72" s="70"/>
      <c r="HL72" s="70"/>
    </row>
    <row r="73" s="18" customFormat="1" ht="13.5" customHeight="1" spans="1:220">
      <c r="A73" s="26"/>
      <c r="B73" s="46" t="s">
        <v>158</v>
      </c>
      <c r="C73" s="50"/>
      <c r="D73" s="50" t="s">
        <v>106</v>
      </c>
      <c r="E73" s="15"/>
      <c r="F73" s="15"/>
      <c r="G73" s="53"/>
      <c r="H73" s="53"/>
      <c r="I73" s="53"/>
      <c r="J73" s="15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  <c r="GH73" s="70"/>
      <c r="GI73" s="70"/>
      <c r="GJ73" s="70"/>
      <c r="GK73" s="70"/>
      <c r="GL73" s="70"/>
      <c r="GM73" s="70"/>
      <c r="GN73" s="70"/>
      <c r="GO73" s="70"/>
      <c r="GP73" s="70"/>
      <c r="GQ73" s="70"/>
      <c r="GR73" s="70"/>
      <c r="GS73" s="70"/>
      <c r="GT73" s="70"/>
      <c r="GU73" s="70"/>
      <c r="GV73" s="70"/>
      <c r="GW73" s="70"/>
      <c r="GX73" s="70"/>
      <c r="GY73" s="70"/>
      <c r="GZ73" s="70"/>
      <c r="HA73" s="70"/>
      <c r="HB73" s="70"/>
      <c r="HC73" s="70"/>
      <c r="HD73" s="70"/>
      <c r="HE73" s="70"/>
      <c r="HF73" s="70"/>
      <c r="HG73" s="70"/>
      <c r="HH73" s="70"/>
      <c r="HI73" s="70"/>
      <c r="HJ73" s="70"/>
      <c r="HK73" s="70"/>
      <c r="HL73" s="70"/>
    </row>
    <row r="74" s="18" customFormat="1" ht="13.5" customHeight="1" spans="1:220">
      <c r="A74" s="26"/>
      <c r="B74" s="46" t="s">
        <v>159</v>
      </c>
      <c r="C74" s="50"/>
      <c r="D74" s="50" t="s">
        <v>70</v>
      </c>
      <c r="E74" s="15"/>
      <c r="F74" s="15"/>
      <c r="G74" s="53"/>
      <c r="H74" s="53"/>
      <c r="I74" s="53"/>
      <c r="J74" s="15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K74" s="70"/>
      <c r="FL74" s="70"/>
      <c r="FM74" s="70"/>
      <c r="FN74" s="70"/>
      <c r="FO74" s="70"/>
      <c r="FP74" s="70"/>
      <c r="FQ74" s="70"/>
      <c r="FR74" s="70"/>
      <c r="FS74" s="70"/>
      <c r="FT74" s="70"/>
      <c r="FU74" s="70"/>
      <c r="FV74" s="70"/>
      <c r="FW74" s="70"/>
      <c r="FX74" s="70"/>
      <c r="FY74" s="70"/>
      <c r="FZ74" s="70"/>
      <c r="GA74" s="70"/>
      <c r="GB74" s="70"/>
      <c r="GC74" s="70"/>
      <c r="GD74" s="70"/>
      <c r="GE74" s="70"/>
      <c r="GF74" s="70"/>
      <c r="GG74" s="70"/>
      <c r="GH74" s="70"/>
      <c r="GI74" s="70"/>
      <c r="GJ74" s="70"/>
      <c r="GK74" s="70"/>
      <c r="GL74" s="70"/>
      <c r="GM74" s="70"/>
      <c r="GN74" s="70"/>
      <c r="GO74" s="70"/>
      <c r="GP74" s="70"/>
      <c r="GQ74" s="70"/>
      <c r="GR74" s="70"/>
      <c r="GS74" s="70"/>
      <c r="GT74" s="70"/>
      <c r="GU74" s="70"/>
      <c r="GV74" s="70"/>
      <c r="GW74" s="70"/>
      <c r="GX74" s="70"/>
      <c r="GY74" s="70"/>
      <c r="GZ74" s="70"/>
      <c r="HA74" s="70"/>
      <c r="HB74" s="70"/>
      <c r="HC74" s="70"/>
      <c r="HD74" s="70"/>
      <c r="HE74" s="70"/>
      <c r="HF74" s="70"/>
      <c r="HG74" s="70"/>
      <c r="HH74" s="70"/>
      <c r="HI74" s="70"/>
      <c r="HJ74" s="70"/>
      <c r="HK74" s="70"/>
      <c r="HL74" s="70"/>
    </row>
    <row r="75" s="18" customFormat="1" ht="13.5" customHeight="1" spans="1:220">
      <c r="A75" s="26"/>
      <c r="B75" s="46" t="s">
        <v>160</v>
      </c>
      <c r="C75" s="50"/>
      <c r="D75" s="50" t="s">
        <v>109</v>
      </c>
      <c r="E75" s="15"/>
      <c r="F75" s="15"/>
      <c r="G75" s="53"/>
      <c r="H75" s="53"/>
      <c r="I75" s="53"/>
      <c r="J75" s="15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  <c r="EY75" s="70"/>
      <c r="EZ75" s="70"/>
      <c r="FA75" s="70"/>
      <c r="FB75" s="70"/>
      <c r="FC75" s="70"/>
      <c r="FD75" s="70"/>
      <c r="FE75" s="70"/>
      <c r="FF75" s="70"/>
      <c r="FG75" s="70"/>
      <c r="FH75" s="70"/>
      <c r="FI75" s="70"/>
      <c r="FJ75" s="70"/>
      <c r="FK75" s="70"/>
      <c r="FL75" s="70"/>
      <c r="FM75" s="70"/>
      <c r="FN75" s="70"/>
      <c r="FO75" s="70"/>
      <c r="FP75" s="70"/>
      <c r="FQ75" s="70"/>
      <c r="FR75" s="70"/>
      <c r="FS75" s="70"/>
      <c r="FT75" s="70"/>
      <c r="FU75" s="70"/>
      <c r="FV75" s="70"/>
      <c r="FW75" s="70"/>
      <c r="FX75" s="70"/>
      <c r="FY75" s="70"/>
      <c r="FZ75" s="70"/>
      <c r="GA75" s="70"/>
      <c r="GB75" s="70"/>
      <c r="GC75" s="70"/>
      <c r="GD75" s="70"/>
      <c r="GE75" s="70"/>
      <c r="GF75" s="70"/>
      <c r="GG75" s="70"/>
      <c r="GH75" s="70"/>
      <c r="GI75" s="70"/>
      <c r="GJ75" s="70"/>
      <c r="GK75" s="70"/>
      <c r="GL75" s="70"/>
      <c r="GM75" s="70"/>
      <c r="GN75" s="70"/>
      <c r="GO75" s="70"/>
      <c r="GP75" s="70"/>
      <c r="GQ75" s="70"/>
      <c r="GR75" s="70"/>
      <c r="GS75" s="70"/>
      <c r="GT75" s="70"/>
      <c r="GU75" s="70"/>
      <c r="GV75" s="70"/>
      <c r="GW75" s="70"/>
      <c r="GX75" s="70"/>
      <c r="GY75" s="70"/>
      <c r="GZ75" s="70"/>
      <c r="HA75" s="70"/>
      <c r="HB75" s="70"/>
      <c r="HC75" s="70"/>
      <c r="HD75" s="70"/>
      <c r="HE75" s="70"/>
      <c r="HF75" s="70"/>
      <c r="HG75" s="70"/>
      <c r="HH75" s="70"/>
      <c r="HI75" s="70"/>
      <c r="HJ75" s="70"/>
      <c r="HK75" s="70"/>
      <c r="HL75" s="70"/>
    </row>
    <row r="76" s="18" customFormat="1" ht="13.5" customHeight="1" spans="1:220">
      <c r="A76" s="26"/>
      <c r="B76" s="46" t="s">
        <v>161</v>
      </c>
      <c r="C76" s="50" t="s">
        <v>162</v>
      </c>
      <c r="D76" s="50" t="s">
        <v>163</v>
      </c>
      <c r="E76" s="15"/>
      <c r="F76" s="15"/>
      <c r="G76" s="53"/>
      <c r="H76" s="53"/>
      <c r="I76" s="53"/>
      <c r="J76" s="15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  <c r="EY76" s="70"/>
      <c r="EZ76" s="70"/>
      <c r="FA76" s="70"/>
      <c r="FB76" s="70"/>
      <c r="FC76" s="70"/>
      <c r="FD76" s="70"/>
      <c r="FE76" s="70"/>
      <c r="FF76" s="70"/>
      <c r="FG76" s="70"/>
      <c r="FH76" s="70"/>
      <c r="FI76" s="70"/>
      <c r="FJ76" s="70"/>
      <c r="FK76" s="70"/>
      <c r="FL76" s="70"/>
      <c r="FM76" s="70"/>
      <c r="FN76" s="70"/>
      <c r="FO76" s="70"/>
      <c r="FP76" s="70"/>
      <c r="FQ76" s="70"/>
      <c r="FR76" s="70"/>
      <c r="FS76" s="70"/>
      <c r="FT76" s="70"/>
      <c r="FU76" s="70"/>
      <c r="FV76" s="70"/>
      <c r="FW76" s="70"/>
      <c r="FX76" s="70"/>
      <c r="FY76" s="70"/>
      <c r="FZ76" s="70"/>
      <c r="GA76" s="70"/>
      <c r="GB76" s="70"/>
      <c r="GC76" s="70"/>
      <c r="GD76" s="70"/>
      <c r="GE76" s="70"/>
      <c r="GF76" s="70"/>
      <c r="GG76" s="70"/>
      <c r="GH76" s="70"/>
      <c r="GI76" s="70"/>
      <c r="GJ76" s="70"/>
      <c r="GK76" s="70"/>
      <c r="GL76" s="70"/>
      <c r="GM76" s="70"/>
      <c r="GN76" s="70"/>
      <c r="GO76" s="70"/>
      <c r="GP76" s="70"/>
      <c r="GQ76" s="70"/>
      <c r="GR76" s="70"/>
      <c r="GS76" s="70"/>
      <c r="GT76" s="70"/>
      <c r="GU76" s="70"/>
      <c r="GV76" s="70"/>
      <c r="GW76" s="70"/>
      <c r="GX76" s="70"/>
      <c r="GY76" s="70"/>
      <c r="GZ76" s="70"/>
      <c r="HA76" s="70"/>
      <c r="HB76" s="70"/>
      <c r="HC76" s="70"/>
      <c r="HD76" s="70"/>
      <c r="HE76" s="70"/>
      <c r="HF76" s="70"/>
      <c r="HG76" s="70"/>
      <c r="HH76" s="70"/>
      <c r="HI76" s="70"/>
      <c r="HJ76" s="70"/>
      <c r="HK76" s="70"/>
      <c r="HL76" s="70"/>
    </row>
    <row r="77" s="18" customFormat="1" ht="13.5" customHeight="1" spans="1:220">
      <c r="A77" s="26"/>
      <c r="B77" s="46" t="s">
        <v>164</v>
      </c>
      <c r="C77" s="50"/>
      <c r="D77" s="50" t="s">
        <v>165</v>
      </c>
      <c r="E77" s="15"/>
      <c r="F77" s="15"/>
      <c r="G77" s="53"/>
      <c r="H77" s="53"/>
      <c r="I77" s="53"/>
      <c r="J77" s="15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  <c r="EY77" s="70"/>
      <c r="EZ77" s="70"/>
      <c r="FA77" s="70"/>
      <c r="FB77" s="70"/>
      <c r="FC77" s="70"/>
      <c r="FD77" s="70"/>
      <c r="FE77" s="70"/>
      <c r="FF77" s="70"/>
      <c r="FG77" s="70"/>
      <c r="FH77" s="70"/>
      <c r="FI77" s="70"/>
      <c r="FJ77" s="70"/>
      <c r="FK77" s="70"/>
      <c r="FL77" s="70"/>
      <c r="FM77" s="70"/>
      <c r="FN77" s="70"/>
      <c r="FO77" s="70"/>
      <c r="FP77" s="70"/>
      <c r="FQ77" s="70"/>
      <c r="FR77" s="70"/>
      <c r="FS77" s="70"/>
      <c r="FT77" s="70"/>
      <c r="FU77" s="70"/>
      <c r="FV77" s="70"/>
      <c r="FW77" s="70"/>
      <c r="FX77" s="70"/>
      <c r="FY77" s="70"/>
      <c r="FZ77" s="70"/>
      <c r="GA77" s="70"/>
      <c r="GB77" s="70"/>
      <c r="GC77" s="70"/>
      <c r="GD77" s="70"/>
      <c r="GE77" s="70"/>
      <c r="GF77" s="70"/>
      <c r="GG77" s="70"/>
      <c r="GH77" s="70"/>
      <c r="GI77" s="70"/>
      <c r="GJ77" s="70"/>
      <c r="GK77" s="70"/>
      <c r="GL77" s="70"/>
      <c r="GM77" s="70"/>
      <c r="GN77" s="70"/>
      <c r="GO77" s="70"/>
      <c r="GP77" s="70"/>
      <c r="GQ77" s="70"/>
      <c r="GR77" s="70"/>
      <c r="GS77" s="70"/>
      <c r="GT77" s="70"/>
      <c r="GU77" s="70"/>
      <c r="GV77" s="70"/>
      <c r="GW77" s="70"/>
      <c r="GX77" s="70"/>
      <c r="GY77" s="70"/>
      <c r="GZ77" s="70"/>
      <c r="HA77" s="70"/>
      <c r="HB77" s="70"/>
      <c r="HC77" s="70"/>
      <c r="HD77" s="70"/>
      <c r="HE77" s="70"/>
      <c r="HF77" s="70"/>
      <c r="HG77" s="70"/>
      <c r="HH77" s="70"/>
      <c r="HI77" s="70"/>
      <c r="HJ77" s="70"/>
      <c r="HK77" s="70"/>
      <c r="HL77" s="70"/>
    </row>
    <row r="78" s="18" customFormat="1" ht="13.5" customHeight="1" spans="1:220">
      <c r="A78" s="26"/>
      <c r="B78" s="46" t="s">
        <v>166</v>
      </c>
      <c r="C78" s="50"/>
      <c r="D78" s="50" t="s">
        <v>125</v>
      </c>
      <c r="E78" s="15"/>
      <c r="F78" s="15"/>
      <c r="G78" s="53"/>
      <c r="H78" s="53"/>
      <c r="I78" s="53"/>
      <c r="J78" s="15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  <c r="EY78" s="70"/>
      <c r="EZ78" s="70"/>
      <c r="FA78" s="70"/>
      <c r="FB78" s="70"/>
      <c r="FC78" s="70"/>
      <c r="FD78" s="70"/>
      <c r="FE78" s="70"/>
      <c r="FF78" s="70"/>
      <c r="FG78" s="70"/>
      <c r="FH78" s="70"/>
      <c r="FI78" s="70"/>
      <c r="FJ78" s="70"/>
      <c r="FK78" s="70"/>
      <c r="FL78" s="70"/>
      <c r="FM78" s="70"/>
      <c r="FN78" s="70"/>
      <c r="FO78" s="70"/>
      <c r="FP78" s="70"/>
      <c r="FQ78" s="70"/>
      <c r="FR78" s="70"/>
      <c r="FS78" s="70"/>
      <c r="FT78" s="70"/>
      <c r="FU78" s="70"/>
      <c r="FV78" s="70"/>
      <c r="FW78" s="70"/>
      <c r="FX78" s="70"/>
      <c r="FY78" s="70"/>
      <c r="FZ78" s="70"/>
      <c r="GA78" s="70"/>
      <c r="GB78" s="70"/>
      <c r="GC78" s="70"/>
      <c r="GD78" s="70"/>
      <c r="GE78" s="70"/>
      <c r="GF78" s="70"/>
      <c r="GG78" s="70"/>
      <c r="GH78" s="70"/>
      <c r="GI78" s="70"/>
      <c r="GJ78" s="70"/>
      <c r="GK78" s="70"/>
      <c r="GL78" s="70"/>
      <c r="GM78" s="70"/>
      <c r="GN78" s="70"/>
      <c r="GO78" s="70"/>
      <c r="GP78" s="70"/>
      <c r="GQ78" s="70"/>
      <c r="GR78" s="70"/>
      <c r="GS78" s="70"/>
      <c r="GT78" s="70"/>
      <c r="GU78" s="70"/>
      <c r="GV78" s="70"/>
      <c r="GW78" s="70"/>
      <c r="GX78" s="70"/>
      <c r="GY78" s="70"/>
      <c r="GZ78" s="70"/>
      <c r="HA78" s="70"/>
      <c r="HB78" s="70"/>
      <c r="HC78" s="70"/>
      <c r="HD78" s="70"/>
      <c r="HE78" s="70"/>
      <c r="HF78" s="70"/>
      <c r="HG78" s="70"/>
      <c r="HH78" s="70"/>
      <c r="HI78" s="70"/>
      <c r="HJ78" s="70"/>
      <c r="HK78" s="70"/>
      <c r="HL78" s="70"/>
    </row>
    <row r="79" s="18" customFormat="1" ht="13.5" customHeight="1" spans="1:220">
      <c r="A79" s="26"/>
      <c r="B79" s="46" t="s">
        <v>167</v>
      </c>
      <c r="C79" s="50"/>
      <c r="D79" s="50" t="s">
        <v>127</v>
      </c>
      <c r="E79" s="15"/>
      <c r="F79" s="15"/>
      <c r="G79" s="53"/>
      <c r="H79" s="53"/>
      <c r="I79" s="53"/>
      <c r="J79" s="15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  <c r="EY79" s="70"/>
      <c r="EZ79" s="70"/>
      <c r="FA79" s="70"/>
      <c r="FB79" s="70"/>
      <c r="FC79" s="70"/>
      <c r="FD79" s="70"/>
      <c r="FE79" s="70"/>
      <c r="FF79" s="70"/>
      <c r="FG79" s="70"/>
      <c r="FH79" s="70"/>
      <c r="FI79" s="70"/>
      <c r="FJ79" s="70"/>
      <c r="FK79" s="70"/>
      <c r="FL79" s="70"/>
      <c r="FM79" s="70"/>
      <c r="FN79" s="70"/>
      <c r="FO79" s="70"/>
      <c r="FP79" s="70"/>
      <c r="FQ79" s="70"/>
      <c r="FR79" s="70"/>
      <c r="FS79" s="70"/>
      <c r="FT79" s="70"/>
      <c r="FU79" s="70"/>
      <c r="FV79" s="70"/>
      <c r="FW79" s="70"/>
      <c r="FX79" s="70"/>
      <c r="FY79" s="70"/>
      <c r="FZ79" s="70"/>
      <c r="GA79" s="70"/>
      <c r="GB79" s="70"/>
      <c r="GC79" s="70"/>
      <c r="GD79" s="70"/>
      <c r="GE79" s="70"/>
      <c r="GF79" s="70"/>
      <c r="GG79" s="70"/>
      <c r="GH79" s="70"/>
      <c r="GI79" s="70"/>
      <c r="GJ79" s="70"/>
      <c r="GK79" s="70"/>
      <c r="GL79" s="70"/>
      <c r="GM79" s="70"/>
      <c r="GN79" s="70"/>
      <c r="GO79" s="70"/>
      <c r="GP79" s="70"/>
      <c r="GQ79" s="70"/>
      <c r="GR79" s="70"/>
      <c r="GS79" s="70"/>
      <c r="GT79" s="70"/>
      <c r="GU79" s="70"/>
      <c r="GV79" s="70"/>
      <c r="GW79" s="70"/>
      <c r="GX79" s="70"/>
      <c r="GY79" s="70"/>
      <c r="GZ79" s="70"/>
      <c r="HA79" s="70"/>
      <c r="HB79" s="70"/>
      <c r="HC79" s="70"/>
      <c r="HD79" s="70"/>
      <c r="HE79" s="70"/>
      <c r="HF79" s="70"/>
      <c r="HG79" s="70"/>
      <c r="HH79" s="70"/>
      <c r="HI79" s="70"/>
      <c r="HJ79" s="70"/>
      <c r="HK79" s="70"/>
      <c r="HL79" s="70"/>
    </row>
    <row r="80" s="18" customFormat="1" ht="13.5" customHeight="1" spans="1:220">
      <c r="A80" s="26"/>
      <c r="B80" s="46" t="s">
        <v>168</v>
      </c>
      <c r="C80" s="50"/>
      <c r="D80" s="50" t="s">
        <v>169</v>
      </c>
      <c r="E80" s="15"/>
      <c r="F80" s="15"/>
      <c r="G80" s="53"/>
      <c r="H80" s="53"/>
      <c r="I80" s="53"/>
      <c r="J80" s="15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  <c r="EY80" s="70"/>
      <c r="EZ80" s="70"/>
      <c r="FA80" s="70"/>
      <c r="FB80" s="70"/>
      <c r="FC80" s="70"/>
      <c r="FD80" s="70"/>
      <c r="FE80" s="70"/>
      <c r="FF80" s="70"/>
      <c r="FG80" s="70"/>
      <c r="FH80" s="70"/>
      <c r="FI80" s="70"/>
      <c r="FJ80" s="70"/>
      <c r="FK80" s="70"/>
      <c r="FL80" s="70"/>
      <c r="FM80" s="70"/>
      <c r="FN80" s="70"/>
      <c r="FO80" s="70"/>
      <c r="FP80" s="70"/>
      <c r="FQ80" s="70"/>
      <c r="FR80" s="70"/>
      <c r="FS80" s="70"/>
      <c r="FT80" s="70"/>
      <c r="FU80" s="70"/>
      <c r="FV80" s="70"/>
      <c r="FW80" s="70"/>
      <c r="FX80" s="70"/>
      <c r="FY80" s="70"/>
      <c r="FZ80" s="70"/>
      <c r="GA80" s="70"/>
      <c r="GB80" s="70"/>
      <c r="GC80" s="70"/>
      <c r="GD80" s="70"/>
      <c r="GE80" s="70"/>
      <c r="GF80" s="70"/>
      <c r="GG80" s="70"/>
      <c r="GH80" s="70"/>
      <c r="GI80" s="70"/>
      <c r="GJ80" s="70"/>
      <c r="GK80" s="70"/>
      <c r="GL80" s="70"/>
      <c r="GM80" s="70"/>
      <c r="GN80" s="70"/>
      <c r="GO80" s="70"/>
      <c r="GP80" s="70"/>
      <c r="GQ80" s="70"/>
      <c r="GR80" s="70"/>
      <c r="GS80" s="70"/>
      <c r="GT80" s="70"/>
      <c r="GU80" s="70"/>
      <c r="GV80" s="70"/>
      <c r="GW80" s="70"/>
      <c r="GX80" s="70"/>
      <c r="GY80" s="70"/>
      <c r="GZ80" s="70"/>
      <c r="HA80" s="70"/>
      <c r="HB80" s="70"/>
      <c r="HC80" s="70"/>
      <c r="HD80" s="70"/>
      <c r="HE80" s="70"/>
      <c r="HF80" s="70"/>
      <c r="HG80" s="70"/>
      <c r="HH80" s="70"/>
      <c r="HI80" s="70"/>
      <c r="HJ80" s="70"/>
      <c r="HK80" s="70"/>
      <c r="HL80" s="70"/>
    </row>
    <row r="81" s="18" customFormat="1" ht="13.5" customHeight="1" spans="1:220">
      <c r="A81" s="26"/>
      <c r="B81" s="46" t="s">
        <v>170</v>
      </c>
      <c r="C81" s="50" t="s">
        <v>171</v>
      </c>
      <c r="D81" s="50" t="s">
        <v>143</v>
      </c>
      <c r="E81" s="15"/>
      <c r="F81" s="15"/>
      <c r="G81" s="53"/>
      <c r="H81" s="53"/>
      <c r="I81" s="53"/>
      <c r="J81" s="15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  <c r="EY81" s="70"/>
      <c r="EZ81" s="70"/>
      <c r="FA81" s="70"/>
      <c r="FB81" s="70"/>
      <c r="FC81" s="70"/>
      <c r="FD81" s="70"/>
      <c r="FE81" s="70"/>
      <c r="FF81" s="70"/>
      <c r="FG81" s="70"/>
      <c r="FH81" s="70"/>
      <c r="FI81" s="70"/>
      <c r="FJ81" s="70"/>
      <c r="FK81" s="70"/>
      <c r="FL81" s="70"/>
      <c r="FM81" s="70"/>
      <c r="FN81" s="70"/>
      <c r="FO81" s="70"/>
      <c r="FP81" s="70"/>
      <c r="FQ81" s="70"/>
      <c r="FR81" s="70"/>
      <c r="FS81" s="70"/>
      <c r="FT81" s="70"/>
      <c r="FU81" s="70"/>
      <c r="FV81" s="70"/>
      <c r="FW81" s="70"/>
      <c r="FX81" s="70"/>
      <c r="FY81" s="70"/>
      <c r="FZ81" s="70"/>
      <c r="GA81" s="70"/>
      <c r="GB81" s="70"/>
      <c r="GC81" s="70"/>
      <c r="GD81" s="70"/>
      <c r="GE81" s="70"/>
      <c r="GF81" s="70"/>
      <c r="GG81" s="70"/>
      <c r="GH81" s="70"/>
      <c r="GI81" s="70"/>
      <c r="GJ81" s="70"/>
      <c r="GK81" s="70"/>
      <c r="GL81" s="70"/>
      <c r="GM81" s="70"/>
      <c r="GN81" s="70"/>
      <c r="GO81" s="70"/>
      <c r="GP81" s="70"/>
      <c r="GQ81" s="70"/>
      <c r="GR81" s="70"/>
      <c r="GS81" s="70"/>
      <c r="GT81" s="70"/>
      <c r="GU81" s="70"/>
      <c r="GV81" s="70"/>
      <c r="GW81" s="70"/>
      <c r="GX81" s="70"/>
      <c r="GY81" s="70"/>
      <c r="GZ81" s="70"/>
      <c r="HA81" s="70"/>
      <c r="HB81" s="70"/>
      <c r="HC81" s="70"/>
      <c r="HD81" s="70"/>
      <c r="HE81" s="70"/>
      <c r="HF81" s="70"/>
      <c r="HG81" s="70"/>
      <c r="HH81" s="70"/>
      <c r="HI81" s="70"/>
      <c r="HJ81" s="70"/>
      <c r="HK81" s="70"/>
      <c r="HL81" s="70"/>
    </row>
    <row r="82" s="18" customFormat="1" ht="13.5" customHeight="1" spans="1:220">
      <c r="A82" s="26"/>
      <c r="B82" s="46" t="s">
        <v>172</v>
      </c>
      <c r="C82" s="50"/>
      <c r="D82" s="18" t="s">
        <v>145</v>
      </c>
      <c r="E82" s="15"/>
      <c r="F82" s="15"/>
      <c r="G82" s="53"/>
      <c r="H82" s="53"/>
      <c r="I82" s="53"/>
      <c r="J82" s="15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  <c r="EY82" s="70"/>
      <c r="EZ82" s="70"/>
      <c r="FA82" s="70"/>
      <c r="FB82" s="70"/>
      <c r="FC82" s="70"/>
      <c r="FD82" s="70"/>
      <c r="FE82" s="70"/>
      <c r="FF82" s="70"/>
      <c r="FG82" s="70"/>
      <c r="FH82" s="70"/>
      <c r="FI82" s="70"/>
      <c r="FJ82" s="70"/>
      <c r="FK82" s="70"/>
      <c r="FL82" s="70"/>
      <c r="FM82" s="70"/>
      <c r="FN82" s="70"/>
      <c r="FO82" s="70"/>
      <c r="FP82" s="70"/>
      <c r="FQ82" s="70"/>
      <c r="FR82" s="70"/>
      <c r="FS82" s="70"/>
      <c r="FT82" s="70"/>
      <c r="FU82" s="70"/>
      <c r="FV82" s="70"/>
      <c r="FW82" s="70"/>
      <c r="FX82" s="70"/>
      <c r="FY82" s="70"/>
      <c r="FZ82" s="70"/>
      <c r="GA82" s="70"/>
      <c r="GB82" s="70"/>
      <c r="GC82" s="70"/>
      <c r="GD82" s="70"/>
      <c r="GE82" s="70"/>
      <c r="GF82" s="70"/>
      <c r="GG82" s="70"/>
      <c r="GH82" s="70"/>
      <c r="GI82" s="70"/>
      <c r="GJ82" s="70"/>
      <c r="GK82" s="70"/>
      <c r="GL82" s="70"/>
      <c r="GM82" s="70"/>
      <c r="GN82" s="70"/>
      <c r="GO82" s="70"/>
      <c r="GP82" s="70"/>
      <c r="GQ82" s="70"/>
      <c r="GR82" s="70"/>
      <c r="GS82" s="70"/>
      <c r="GT82" s="70"/>
      <c r="GU82" s="70"/>
      <c r="GV82" s="70"/>
      <c r="GW82" s="70"/>
      <c r="GX82" s="70"/>
      <c r="GY82" s="70"/>
      <c r="GZ82" s="70"/>
      <c r="HA82" s="70"/>
      <c r="HB82" s="70"/>
      <c r="HC82" s="70"/>
      <c r="HD82" s="70"/>
      <c r="HE82" s="70"/>
      <c r="HF82" s="70"/>
      <c r="HG82" s="70"/>
      <c r="HH82" s="70"/>
      <c r="HI82" s="70"/>
      <c r="HJ82" s="70"/>
      <c r="HK82" s="70"/>
      <c r="HL82" s="70"/>
    </row>
    <row r="83" s="18" customFormat="1" ht="13.5" customHeight="1" spans="1:220">
      <c r="A83" s="26"/>
      <c r="B83" s="46" t="s">
        <v>173</v>
      </c>
      <c r="C83" s="50"/>
      <c r="D83" s="50" t="s">
        <v>70</v>
      </c>
      <c r="E83" s="15"/>
      <c r="F83" s="15"/>
      <c r="G83" s="53"/>
      <c r="H83" s="53"/>
      <c r="I83" s="53"/>
      <c r="J83" s="15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  <c r="EY83" s="70"/>
      <c r="EZ83" s="70"/>
      <c r="FA83" s="70"/>
      <c r="FB83" s="70"/>
      <c r="FC83" s="70"/>
      <c r="FD83" s="70"/>
      <c r="FE83" s="70"/>
      <c r="FF83" s="70"/>
      <c r="FG83" s="70"/>
      <c r="FH83" s="70"/>
      <c r="FI83" s="70"/>
      <c r="FJ83" s="70"/>
      <c r="FK83" s="70"/>
      <c r="FL83" s="70"/>
      <c r="FM83" s="70"/>
      <c r="FN83" s="70"/>
      <c r="FO83" s="70"/>
      <c r="FP83" s="70"/>
      <c r="FQ83" s="70"/>
      <c r="FR83" s="70"/>
      <c r="FS83" s="70"/>
      <c r="FT83" s="70"/>
      <c r="FU83" s="70"/>
      <c r="FV83" s="70"/>
      <c r="FW83" s="70"/>
      <c r="FX83" s="70"/>
      <c r="FY83" s="70"/>
      <c r="FZ83" s="70"/>
      <c r="GA83" s="70"/>
      <c r="GB83" s="70"/>
      <c r="GC83" s="70"/>
      <c r="GD83" s="70"/>
      <c r="GE83" s="70"/>
      <c r="GF83" s="70"/>
      <c r="GG83" s="70"/>
      <c r="GH83" s="70"/>
      <c r="GI83" s="70"/>
      <c r="GJ83" s="70"/>
      <c r="GK83" s="70"/>
      <c r="GL83" s="70"/>
      <c r="GM83" s="70"/>
      <c r="GN83" s="70"/>
      <c r="GO83" s="70"/>
      <c r="GP83" s="70"/>
      <c r="GQ83" s="70"/>
      <c r="GR83" s="70"/>
      <c r="GS83" s="70"/>
      <c r="GT83" s="70"/>
      <c r="GU83" s="70"/>
      <c r="GV83" s="70"/>
      <c r="GW83" s="70"/>
      <c r="GX83" s="70"/>
      <c r="GY83" s="70"/>
      <c r="GZ83" s="70"/>
      <c r="HA83" s="70"/>
      <c r="HB83" s="70"/>
      <c r="HC83" s="70"/>
      <c r="HD83" s="70"/>
      <c r="HE83" s="70"/>
      <c r="HF83" s="70"/>
      <c r="HG83" s="70"/>
      <c r="HH83" s="70"/>
      <c r="HI83" s="70"/>
      <c r="HJ83" s="70"/>
      <c r="HK83" s="70"/>
      <c r="HL83" s="70"/>
    </row>
    <row r="84" s="18" customFormat="1" ht="13.5" customHeight="1" spans="1:220">
      <c r="A84" s="26"/>
      <c r="B84" s="46" t="s">
        <v>174</v>
      </c>
      <c r="C84" s="50"/>
      <c r="D84" s="55" t="s">
        <v>88</v>
      </c>
      <c r="E84" s="15"/>
      <c r="F84" s="15"/>
      <c r="G84" s="53"/>
      <c r="H84" s="53"/>
      <c r="I84" s="53"/>
      <c r="J84" s="15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K84" s="70"/>
      <c r="FL84" s="70"/>
      <c r="FM84" s="70"/>
      <c r="FN84" s="70"/>
      <c r="FO84" s="70"/>
      <c r="FP84" s="70"/>
      <c r="FQ84" s="70"/>
      <c r="FR84" s="70"/>
      <c r="FS84" s="70"/>
      <c r="FT84" s="70"/>
      <c r="FU84" s="70"/>
      <c r="FV84" s="70"/>
      <c r="FW84" s="70"/>
      <c r="FX84" s="70"/>
      <c r="FY84" s="70"/>
      <c r="FZ84" s="70"/>
      <c r="GA84" s="70"/>
      <c r="GB84" s="70"/>
      <c r="GC84" s="70"/>
      <c r="GD84" s="70"/>
      <c r="GE84" s="70"/>
      <c r="GF84" s="70"/>
      <c r="GG84" s="70"/>
      <c r="GH84" s="70"/>
      <c r="GI84" s="70"/>
      <c r="GJ84" s="70"/>
      <c r="GK84" s="70"/>
      <c r="GL84" s="70"/>
      <c r="GM84" s="70"/>
      <c r="GN84" s="70"/>
      <c r="GO84" s="70"/>
      <c r="GP84" s="70"/>
      <c r="GQ84" s="70"/>
      <c r="GR84" s="70"/>
      <c r="GS84" s="70"/>
      <c r="GT84" s="70"/>
      <c r="GU84" s="70"/>
      <c r="GV84" s="70"/>
      <c r="GW84" s="70"/>
      <c r="GX84" s="70"/>
      <c r="GY84" s="70"/>
      <c r="GZ84" s="70"/>
      <c r="HA84" s="70"/>
      <c r="HB84" s="70"/>
      <c r="HC84" s="70"/>
      <c r="HD84" s="70"/>
      <c r="HE84" s="70"/>
      <c r="HF84" s="70"/>
      <c r="HG84" s="70"/>
      <c r="HH84" s="70"/>
      <c r="HI84" s="70"/>
      <c r="HJ84" s="70"/>
      <c r="HK84" s="70"/>
      <c r="HL84" s="70"/>
    </row>
    <row r="85" s="18" customFormat="1" ht="13.5" customHeight="1" spans="1:220">
      <c r="A85" s="26"/>
      <c r="B85" s="46" t="s">
        <v>175</v>
      </c>
      <c r="C85" s="50"/>
      <c r="D85" s="55" t="s">
        <v>176</v>
      </c>
      <c r="E85" s="15"/>
      <c r="F85" s="15"/>
      <c r="G85" s="53"/>
      <c r="H85" s="53"/>
      <c r="I85" s="53"/>
      <c r="J85" s="15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  <c r="EY85" s="70"/>
      <c r="EZ85" s="70"/>
      <c r="FA85" s="70"/>
      <c r="FB85" s="70"/>
      <c r="FC85" s="70"/>
      <c r="FD85" s="70"/>
      <c r="FE85" s="70"/>
      <c r="FF85" s="70"/>
      <c r="FG85" s="70"/>
      <c r="FH85" s="70"/>
      <c r="FI85" s="70"/>
      <c r="FJ85" s="70"/>
      <c r="FK85" s="70"/>
      <c r="FL85" s="70"/>
      <c r="FM85" s="70"/>
      <c r="FN85" s="70"/>
      <c r="FO85" s="70"/>
      <c r="FP85" s="70"/>
      <c r="FQ85" s="70"/>
      <c r="FR85" s="70"/>
      <c r="FS85" s="70"/>
      <c r="FT85" s="70"/>
      <c r="FU85" s="70"/>
      <c r="FV85" s="70"/>
      <c r="FW85" s="70"/>
      <c r="FX85" s="70"/>
      <c r="FY85" s="70"/>
      <c r="FZ85" s="70"/>
      <c r="GA85" s="70"/>
      <c r="GB85" s="70"/>
      <c r="GC85" s="70"/>
      <c r="GD85" s="70"/>
      <c r="GE85" s="70"/>
      <c r="GF85" s="70"/>
      <c r="GG85" s="70"/>
      <c r="GH85" s="70"/>
      <c r="GI85" s="70"/>
      <c r="GJ85" s="70"/>
      <c r="GK85" s="70"/>
      <c r="GL85" s="70"/>
      <c r="GM85" s="70"/>
      <c r="GN85" s="70"/>
      <c r="GO85" s="70"/>
      <c r="GP85" s="70"/>
      <c r="GQ85" s="70"/>
      <c r="GR85" s="70"/>
      <c r="GS85" s="70"/>
      <c r="GT85" s="70"/>
      <c r="GU85" s="70"/>
      <c r="GV85" s="70"/>
      <c r="GW85" s="70"/>
      <c r="GX85" s="70"/>
      <c r="GY85" s="70"/>
      <c r="GZ85" s="70"/>
      <c r="HA85" s="70"/>
      <c r="HB85" s="70"/>
      <c r="HC85" s="70"/>
      <c r="HD85" s="70"/>
      <c r="HE85" s="70"/>
      <c r="HF85" s="70"/>
      <c r="HG85" s="70"/>
      <c r="HH85" s="70"/>
      <c r="HI85" s="70"/>
      <c r="HJ85" s="70"/>
      <c r="HK85" s="70"/>
      <c r="HL85" s="70"/>
    </row>
    <row r="86" s="18" customFormat="1" ht="13.5" customHeight="1" spans="1:220">
      <c r="A86" s="26"/>
      <c r="B86" s="46" t="s">
        <v>177</v>
      </c>
      <c r="C86" s="50"/>
      <c r="D86" s="54" t="s">
        <v>92</v>
      </c>
      <c r="E86" s="15"/>
      <c r="F86" s="15"/>
      <c r="G86" s="53"/>
      <c r="H86" s="53"/>
      <c r="I86" s="53"/>
      <c r="J86" s="15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  <c r="EY86" s="70"/>
      <c r="EZ86" s="70"/>
      <c r="FA86" s="70"/>
      <c r="FB86" s="70"/>
      <c r="FC86" s="70"/>
      <c r="FD86" s="70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0"/>
      <c r="FQ86" s="70"/>
      <c r="FR86" s="70"/>
      <c r="FS86" s="70"/>
      <c r="FT86" s="70"/>
      <c r="FU86" s="70"/>
      <c r="FV86" s="70"/>
      <c r="FW86" s="70"/>
      <c r="FX86" s="70"/>
      <c r="FY86" s="70"/>
      <c r="FZ86" s="70"/>
      <c r="GA86" s="70"/>
      <c r="GB86" s="70"/>
      <c r="GC86" s="70"/>
      <c r="GD86" s="70"/>
      <c r="GE86" s="70"/>
      <c r="GF86" s="70"/>
      <c r="GG86" s="70"/>
      <c r="GH86" s="70"/>
      <c r="GI86" s="70"/>
      <c r="GJ86" s="70"/>
      <c r="GK86" s="70"/>
      <c r="GL86" s="70"/>
      <c r="GM86" s="70"/>
      <c r="GN86" s="70"/>
      <c r="GO86" s="70"/>
      <c r="GP86" s="70"/>
      <c r="GQ86" s="70"/>
      <c r="GR86" s="70"/>
      <c r="GS86" s="70"/>
      <c r="GT86" s="70"/>
      <c r="GU86" s="70"/>
      <c r="GV86" s="70"/>
      <c r="GW86" s="70"/>
      <c r="GX86" s="70"/>
      <c r="GY86" s="70"/>
      <c r="GZ86" s="70"/>
      <c r="HA86" s="70"/>
      <c r="HB86" s="70"/>
      <c r="HC86" s="70"/>
      <c r="HD86" s="70"/>
      <c r="HE86" s="70"/>
      <c r="HF86" s="70"/>
      <c r="HG86" s="70"/>
      <c r="HH86" s="70"/>
      <c r="HI86" s="70"/>
      <c r="HJ86" s="70"/>
      <c r="HK86" s="70"/>
      <c r="HL86" s="70"/>
    </row>
    <row r="87" s="18" customFormat="1" ht="13.5" customHeight="1" spans="1:220">
      <c r="A87" s="26"/>
      <c r="B87" s="46" t="s">
        <v>178</v>
      </c>
      <c r="C87" s="50" t="s">
        <v>94</v>
      </c>
      <c r="D87" s="18" t="s">
        <v>95</v>
      </c>
      <c r="E87" s="15"/>
      <c r="F87" s="15"/>
      <c r="G87" s="53"/>
      <c r="H87" s="53"/>
      <c r="I87" s="53"/>
      <c r="J87" s="15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  <c r="EY87" s="70"/>
      <c r="EZ87" s="70"/>
      <c r="FA87" s="70"/>
      <c r="FB87" s="70"/>
      <c r="FC87" s="70"/>
      <c r="FD87" s="70"/>
      <c r="FE87" s="70"/>
      <c r="FF87" s="70"/>
      <c r="FG87" s="70"/>
      <c r="FH87" s="70"/>
      <c r="FI87" s="70"/>
      <c r="FJ87" s="70"/>
      <c r="FK87" s="70"/>
      <c r="FL87" s="70"/>
      <c r="FM87" s="70"/>
      <c r="FN87" s="70"/>
      <c r="FO87" s="70"/>
      <c r="FP87" s="70"/>
      <c r="FQ87" s="70"/>
      <c r="FR87" s="70"/>
      <c r="FS87" s="70"/>
      <c r="FT87" s="70"/>
      <c r="FU87" s="70"/>
      <c r="FV87" s="70"/>
      <c r="FW87" s="70"/>
      <c r="FX87" s="70"/>
      <c r="FY87" s="70"/>
      <c r="FZ87" s="70"/>
      <c r="GA87" s="70"/>
      <c r="GB87" s="70"/>
      <c r="GC87" s="70"/>
      <c r="GD87" s="70"/>
      <c r="GE87" s="70"/>
      <c r="GF87" s="70"/>
      <c r="GG87" s="70"/>
      <c r="GH87" s="70"/>
      <c r="GI87" s="70"/>
      <c r="GJ87" s="70"/>
      <c r="GK87" s="70"/>
      <c r="GL87" s="70"/>
      <c r="GM87" s="70"/>
      <c r="GN87" s="70"/>
      <c r="GO87" s="70"/>
      <c r="GP87" s="70"/>
      <c r="GQ87" s="70"/>
      <c r="GR87" s="70"/>
      <c r="GS87" s="70"/>
      <c r="GT87" s="70"/>
      <c r="GU87" s="70"/>
      <c r="GV87" s="70"/>
      <c r="GW87" s="70"/>
      <c r="GX87" s="70"/>
      <c r="GY87" s="70"/>
      <c r="GZ87" s="70"/>
      <c r="HA87" s="70"/>
      <c r="HB87" s="70"/>
      <c r="HC87" s="70"/>
      <c r="HD87" s="70"/>
      <c r="HE87" s="70"/>
      <c r="HF87" s="70"/>
      <c r="HG87" s="70"/>
      <c r="HH87" s="70"/>
      <c r="HI87" s="70"/>
      <c r="HJ87" s="70"/>
      <c r="HK87" s="70"/>
      <c r="HL87" s="70"/>
    </row>
    <row r="88" s="18" customFormat="1" ht="13.5" customHeight="1" spans="1:220">
      <c r="A88" s="26"/>
      <c r="B88" s="46" t="s">
        <v>179</v>
      </c>
      <c r="C88" s="50"/>
      <c r="D88" s="50" t="s">
        <v>70</v>
      </c>
      <c r="E88" s="15"/>
      <c r="F88" s="15"/>
      <c r="G88" s="53"/>
      <c r="H88" s="53"/>
      <c r="I88" s="53"/>
      <c r="J88" s="15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  <c r="EY88" s="70"/>
      <c r="EZ88" s="70"/>
      <c r="FA88" s="70"/>
      <c r="FB88" s="70"/>
      <c r="FC88" s="70"/>
      <c r="FD88" s="70"/>
      <c r="FE88" s="70"/>
      <c r="FF88" s="70"/>
      <c r="FG88" s="70"/>
      <c r="FH88" s="70"/>
      <c r="FI88" s="70"/>
      <c r="FJ88" s="70"/>
      <c r="FK88" s="70"/>
      <c r="FL88" s="70"/>
      <c r="FM88" s="70"/>
      <c r="FN88" s="70"/>
      <c r="FO88" s="70"/>
      <c r="FP88" s="70"/>
      <c r="FQ88" s="70"/>
      <c r="FR88" s="70"/>
      <c r="FS88" s="70"/>
      <c r="FT88" s="70"/>
      <c r="FU88" s="70"/>
      <c r="FV88" s="70"/>
      <c r="FW88" s="70"/>
      <c r="FX88" s="70"/>
      <c r="FY88" s="70"/>
      <c r="FZ88" s="70"/>
      <c r="GA88" s="70"/>
      <c r="GB88" s="70"/>
      <c r="GC88" s="70"/>
      <c r="GD88" s="70"/>
      <c r="GE88" s="70"/>
      <c r="GF88" s="70"/>
      <c r="GG88" s="70"/>
      <c r="GH88" s="70"/>
      <c r="GI88" s="70"/>
      <c r="GJ88" s="70"/>
      <c r="GK88" s="70"/>
      <c r="GL88" s="70"/>
      <c r="GM88" s="70"/>
      <c r="GN88" s="70"/>
      <c r="GO88" s="70"/>
      <c r="GP88" s="70"/>
      <c r="GQ88" s="70"/>
      <c r="GR88" s="70"/>
      <c r="GS88" s="70"/>
      <c r="GT88" s="70"/>
      <c r="GU88" s="70"/>
      <c r="GV88" s="70"/>
      <c r="GW88" s="70"/>
      <c r="GX88" s="70"/>
      <c r="GY88" s="70"/>
      <c r="GZ88" s="70"/>
      <c r="HA88" s="70"/>
      <c r="HB88" s="70"/>
      <c r="HC88" s="70"/>
      <c r="HD88" s="70"/>
      <c r="HE88" s="70"/>
      <c r="HF88" s="70"/>
      <c r="HG88" s="70"/>
      <c r="HH88" s="70"/>
      <c r="HI88" s="70"/>
      <c r="HJ88" s="70"/>
      <c r="HK88" s="70"/>
      <c r="HL88" s="70"/>
    </row>
    <row r="89" s="18" customFormat="1" ht="13.5" customHeight="1" spans="1:220">
      <c r="A89" s="26"/>
      <c r="B89" s="46" t="s">
        <v>180</v>
      </c>
      <c r="C89" s="50"/>
      <c r="D89" s="54" t="s">
        <v>77</v>
      </c>
      <c r="E89" s="15"/>
      <c r="F89" s="15"/>
      <c r="G89" s="53"/>
      <c r="H89" s="53"/>
      <c r="I89" s="53"/>
      <c r="J89" s="15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  <c r="EY89" s="70"/>
      <c r="EZ89" s="70"/>
      <c r="FA89" s="70"/>
      <c r="FB89" s="70"/>
      <c r="FC89" s="70"/>
      <c r="FD89" s="70"/>
      <c r="FE89" s="70"/>
      <c r="FF89" s="70"/>
      <c r="FG89" s="70"/>
      <c r="FH89" s="70"/>
      <c r="FI89" s="70"/>
      <c r="FJ89" s="70"/>
      <c r="FK89" s="70"/>
      <c r="FL89" s="70"/>
      <c r="FM89" s="70"/>
      <c r="FN89" s="70"/>
      <c r="FO89" s="70"/>
      <c r="FP89" s="70"/>
      <c r="FQ89" s="70"/>
      <c r="FR89" s="70"/>
      <c r="FS89" s="70"/>
      <c r="FT89" s="70"/>
      <c r="FU89" s="70"/>
      <c r="FV89" s="70"/>
      <c r="FW89" s="70"/>
      <c r="FX89" s="70"/>
      <c r="FY89" s="70"/>
      <c r="FZ89" s="70"/>
      <c r="GA89" s="70"/>
      <c r="GB89" s="70"/>
      <c r="GC89" s="70"/>
      <c r="GD89" s="70"/>
      <c r="GE89" s="70"/>
      <c r="GF89" s="70"/>
      <c r="GG89" s="70"/>
      <c r="GH89" s="70"/>
      <c r="GI89" s="70"/>
      <c r="GJ89" s="70"/>
      <c r="GK89" s="70"/>
      <c r="GL89" s="70"/>
      <c r="GM89" s="70"/>
      <c r="GN89" s="70"/>
      <c r="GO89" s="70"/>
      <c r="GP89" s="70"/>
      <c r="GQ89" s="70"/>
      <c r="GR89" s="70"/>
      <c r="GS89" s="70"/>
      <c r="GT89" s="70"/>
      <c r="GU89" s="70"/>
      <c r="GV89" s="70"/>
      <c r="GW89" s="70"/>
      <c r="GX89" s="70"/>
      <c r="GY89" s="70"/>
      <c r="GZ89" s="70"/>
      <c r="HA89" s="70"/>
      <c r="HB89" s="70"/>
      <c r="HC89" s="70"/>
      <c r="HD89" s="70"/>
      <c r="HE89" s="70"/>
      <c r="HF89" s="70"/>
      <c r="HG89" s="70"/>
      <c r="HH89" s="70"/>
      <c r="HI89" s="70"/>
      <c r="HJ89" s="70"/>
      <c r="HK89" s="70"/>
      <c r="HL89" s="70"/>
    </row>
    <row r="90" s="18" customFormat="1" ht="13.5" customHeight="1" spans="1:220">
      <c r="A90" s="26"/>
      <c r="B90" s="46" t="s">
        <v>181</v>
      </c>
      <c r="C90" s="50"/>
      <c r="D90" s="50" t="s">
        <v>99</v>
      </c>
      <c r="E90" s="15"/>
      <c r="F90" s="15"/>
      <c r="G90" s="53"/>
      <c r="H90" s="53"/>
      <c r="I90" s="53"/>
      <c r="J90" s="15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  <c r="EY90" s="70"/>
      <c r="EZ90" s="70"/>
      <c r="FA90" s="70"/>
      <c r="FB90" s="70"/>
      <c r="FC90" s="70"/>
      <c r="FD90" s="70"/>
      <c r="FE90" s="70"/>
      <c r="FF90" s="70"/>
      <c r="FG90" s="70"/>
      <c r="FH90" s="70"/>
      <c r="FI90" s="70"/>
      <c r="FJ90" s="70"/>
      <c r="FK90" s="70"/>
      <c r="FL90" s="70"/>
      <c r="FM90" s="70"/>
      <c r="FN90" s="70"/>
      <c r="FO90" s="70"/>
      <c r="FP90" s="70"/>
      <c r="FQ90" s="70"/>
      <c r="FR90" s="70"/>
      <c r="FS90" s="70"/>
      <c r="FT90" s="70"/>
      <c r="FU90" s="70"/>
      <c r="FV90" s="70"/>
      <c r="FW90" s="70"/>
      <c r="FX90" s="70"/>
      <c r="FY90" s="70"/>
      <c r="FZ90" s="70"/>
      <c r="GA90" s="70"/>
      <c r="GB90" s="70"/>
      <c r="GC90" s="70"/>
      <c r="GD90" s="70"/>
      <c r="GE90" s="70"/>
      <c r="GF90" s="70"/>
      <c r="GG90" s="70"/>
      <c r="GH90" s="70"/>
      <c r="GI90" s="70"/>
      <c r="GJ90" s="70"/>
      <c r="GK90" s="70"/>
      <c r="GL90" s="70"/>
      <c r="GM90" s="70"/>
      <c r="GN90" s="70"/>
      <c r="GO90" s="70"/>
      <c r="GP90" s="70"/>
      <c r="GQ90" s="70"/>
      <c r="GR90" s="70"/>
      <c r="GS90" s="70"/>
      <c r="GT90" s="70"/>
      <c r="GU90" s="70"/>
      <c r="GV90" s="70"/>
      <c r="GW90" s="70"/>
      <c r="GX90" s="70"/>
      <c r="GY90" s="70"/>
      <c r="GZ90" s="70"/>
      <c r="HA90" s="70"/>
      <c r="HB90" s="70"/>
      <c r="HC90" s="70"/>
      <c r="HD90" s="70"/>
      <c r="HE90" s="70"/>
      <c r="HF90" s="70"/>
      <c r="HG90" s="70"/>
      <c r="HH90" s="70"/>
      <c r="HI90" s="70"/>
      <c r="HJ90" s="70"/>
      <c r="HK90" s="70"/>
      <c r="HL90" s="70"/>
    </row>
    <row r="91" s="18" customFormat="1" ht="13.5" customHeight="1" spans="1:220">
      <c r="A91" s="26"/>
      <c r="B91" s="46" t="s">
        <v>182</v>
      </c>
      <c r="C91" s="50"/>
      <c r="D91" s="50" t="s">
        <v>101</v>
      </c>
      <c r="E91" s="15"/>
      <c r="F91" s="15"/>
      <c r="G91" s="53"/>
      <c r="H91" s="53"/>
      <c r="I91" s="53"/>
      <c r="J91" s="15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  <c r="EY91" s="70"/>
      <c r="EZ91" s="70"/>
      <c r="FA91" s="70"/>
      <c r="FB91" s="70"/>
      <c r="FC91" s="70"/>
      <c r="FD91" s="70"/>
      <c r="FE91" s="70"/>
      <c r="FF91" s="70"/>
      <c r="FG91" s="70"/>
      <c r="FH91" s="70"/>
      <c r="FI91" s="70"/>
      <c r="FJ91" s="70"/>
      <c r="FK91" s="70"/>
      <c r="FL91" s="70"/>
      <c r="FM91" s="70"/>
      <c r="FN91" s="70"/>
      <c r="FO91" s="70"/>
      <c r="FP91" s="70"/>
      <c r="FQ91" s="70"/>
      <c r="FR91" s="70"/>
      <c r="FS91" s="70"/>
      <c r="FT91" s="70"/>
      <c r="FU91" s="70"/>
      <c r="FV91" s="70"/>
      <c r="FW91" s="70"/>
      <c r="FX91" s="70"/>
      <c r="FY91" s="70"/>
      <c r="FZ91" s="70"/>
      <c r="GA91" s="70"/>
      <c r="GB91" s="70"/>
      <c r="GC91" s="70"/>
      <c r="GD91" s="70"/>
      <c r="GE91" s="70"/>
      <c r="GF91" s="70"/>
      <c r="GG91" s="70"/>
      <c r="GH91" s="70"/>
      <c r="GI91" s="70"/>
      <c r="GJ91" s="70"/>
      <c r="GK91" s="70"/>
      <c r="GL91" s="70"/>
      <c r="GM91" s="70"/>
      <c r="GN91" s="70"/>
      <c r="GO91" s="70"/>
      <c r="GP91" s="70"/>
      <c r="GQ91" s="70"/>
      <c r="GR91" s="70"/>
      <c r="GS91" s="70"/>
      <c r="GT91" s="70"/>
      <c r="GU91" s="70"/>
      <c r="GV91" s="70"/>
      <c r="GW91" s="70"/>
      <c r="GX91" s="70"/>
      <c r="GY91" s="70"/>
      <c r="GZ91" s="70"/>
      <c r="HA91" s="70"/>
      <c r="HB91" s="70"/>
      <c r="HC91" s="70"/>
      <c r="HD91" s="70"/>
      <c r="HE91" s="70"/>
      <c r="HF91" s="70"/>
      <c r="HG91" s="70"/>
      <c r="HH91" s="70"/>
      <c r="HI91" s="70"/>
      <c r="HJ91" s="70"/>
      <c r="HK91" s="70"/>
      <c r="HL91" s="70"/>
    </row>
    <row r="92" s="18" customFormat="1" ht="13.5" customHeight="1" spans="1:220">
      <c r="A92" s="26"/>
      <c r="B92" s="46" t="s">
        <v>183</v>
      </c>
      <c r="C92" s="50" t="s">
        <v>103</v>
      </c>
      <c r="D92" s="50" t="s">
        <v>104</v>
      </c>
      <c r="E92" s="15"/>
      <c r="F92" s="15"/>
      <c r="G92" s="53"/>
      <c r="H92" s="53"/>
      <c r="I92" s="53"/>
      <c r="J92" s="15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  <c r="FR92" s="70"/>
      <c r="FS92" s="70"/>
      <c r="FT92" s="70"/>
      <c r="FU92" s="70"/>
      <c r="FV92" s="70"/>
      <c r="FW92" s="70"/>
      <c r="FX92" s="70"/>
      <c r="FY92" s="70"/>
      <c r="FZ92" s="70"/>
      <c r="GA92" s="70"/>
      <c r="GB92" s="70"/>
      <c r="GC92" s="70"/>
      <c r="GD92" s="70"/>
      <c r="GE92" s="70"/>
      <c r="GF92" s="70"/>
      <c r="GG92" s="70"/>
      <c r="GH92" s="70"/>
      <c r="GI92" s="70"/>
      <c r="GJ92" s="70"/>
      <c r="GK92" s="70"/>
      <c r="GL92" s="70"/>
      <c r="GM92" s="70"/>
      <c r="GN92" s="70"/>
      <c r="GO92" s="70"/>
      <c r="GP92" s="70"/>
      <c r="GQ92" s="70"/>
      <c r="GR92" s="70"/>
      <c r="GS92" s="70"/>
      <c r="GT92" s="70"/>
      <c r="GU92" s="70"/>
      <c r="GV92" s="70"/>
      <c r="GW92" s="70"/>
      <c r="GX92" s="70"/>
      <c r="GY92" s="70"/>
      <c r="GZ92" s="70"/>
      <c r="HA92" s="70"/>
      <c r="HB92" s="70"/>
      <c r="HC92" s="70"/>
      <c r="HD92" s="70"/>
      <c r="HE92" s="70"/>
      <c r="HF92" s="70"/>
      <c r="HG92" s="70"/>
      <c r="HH92" s="70"/>
      <c r="HI92" s="70"/>
      <c r="HJ92" s="70"/>
      <c r="HK92" s="70"/>
      <c r="HL92" s="70"/>
    </row>
    <row r="93" s="18" customFormat="1" ht="13.5" customHeight="1" spans="1:220">
      <c r="A93" s="26"/>
      <c r="B93" s="46" t="s">
        <v>184</v>
      </c>
      <c r="C93" s="50"/>
      <c r="D93" s="50" t="s">
        <v>106</v>
      </c>
      <c r="E93" s="15"/>
      <c r="F93" s="15"/>
      <c r="G93" s="53"/>
      <c r="H93" s="53"/>
      <c r="I93" s="53"/>
      <c r="J93" s="15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  <c r="FR93" s="70"/>
      <c r="FS93" s="70"/>
      <c r="FT93" s="70"/>
      <c r="FU93" s="70"/>
      <c r="FV93" s="70"/>
      <c r="FW93" s="70"/>
      <c r="FX93" s="70"/>
      <c r="FY93" s="70"/>
      <c r="FZ93" s="70"/>
      <c r="GA93" s="70"/>
      <c r="GB93" s="70"/>
      <c r="GC93" s="70"/>
      <c r="GD93" s="70"/>
      <c r="GE93" s="70"/>
      <c r="GF93" s="70"/>
      <c r="GG93" s="70"/>
      <c r="GH93" s="70"/>
      <c r="GI93" s="70"/>
      <c r="GJ93" s="70"/>
      <c r="GK93" s="70"/>
      <c r="GL93" s="70"/>
      <c r="GM93" s="70"/>
      <c r="GN93" s="70"/>
      <c r="GO93" s="70"/>
      <c r="GP93" s="70"/>
      <c r="GQ93" s="70"/>
      <c r="GR93" s="70"/>
      <c r="GS93" s="70"/>
      <c r="GT93" s="70"/>
      <c r="GU93" s="70"/>
      <c r="GV93" s="70"/>
      <c r="GW93" s="70"/>
      <c r="GX93" s="70"/>
      <c r="GY93" s="70"/>
      <c r="GZ93" s="70"/>
      <c r="HA93" s="70"/>
      <c r="HB93" s="70"/>
      <c r="HC93" s="70"/>
      <c r="HD93" s="70"/>
      <c r="HE93" s="70"/>
      <c r="HF93" s="70"/>
      <c r="HG93" s="70"/>
      <c r="HH93" s="70"/>
      <c r="HI93" s="70"/>
      <c r="HJ93" s="70"/>
      <c r="HK93" s="70"/>
      <c r="HL93" s="70"/>
    </row>
    <row r="94" s="18" customFormat="1" ht="13.5" customHeight="1" spans="1:220">
      <c r="A94" s="26"/>
      <c r="B94" s="46" t="s">
        <v>185</v>
      </c>
      <c r="C94" s="50"/>
      <c r="D94" s="50" t="s">
        <v>70</v>
      </c>
      <c r="E94" s="15"/>
      <c r="F94" s="15"/>
      <c r="G94" s="53"/>
      <c r="H94" s="53"/>
      <c r="I94" s="53"/>
      <c r="J94" s="15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  <c r="EY94" s="70"/>
      <c r="EZ94" s="70"/>
      <c r="FA94" s="70"/>
      <c r="FB94" s="70"/>
      <c r="FC94" s="70"/>
      <c r="FD94" s="70"/>
      <c r="FE94" s="70"/>
      <c r="FF94" s="70"/>
      <c r="FG94" s="70"/>
      <c r="FH94" s="70"/>
      <c r="FI94" s="70"/>
      <c r="FJ94" s="70"/>
      <c r="FK94" s="70"/>
      <c r="FL94" s="70"/>
      <c r="FM94" s="70"/>
      <c r="FN94" s="70"/>
      <c r="FO94" s="70"/>
      <c r="FP94" s="70"/>
      <c r="FQ94" s="70"/>
      <c r="FR94" s="70"/>
      <c r="FS94" s="70"/>
      <c r="FT94" s="70"/>
      <c r="FU94" s="70"/>
      <c r="FV94" s="70"/>
      <c r="FW94" s="70"/>
      <c r="FX94" s="70"/>
      <c r="FY94" s="70"/>
      <c r="FZ94" s="70"/>
      <c r="GA94" s="70"/>
      <c r="GB94" s="70"/>
      <c r="GC94" s="70"/>
      <c r="GD94" s="70"/>
      <c r="GE94" s="70"/>
      <c r="GF94" s="70"/>
      <c r="GG94" s="70"/>
      <c r="GH94" s="70"/>
      <c r="GI94" s="70"/>
      <c r="GJ94" s="70"/>
      <c r="GK94" s="70"/>
      <c r="GL94" s="70"/>
      <c r="GM94" s="70"/>
      <c r="GN94" s="70"/>
      <c r="GO94" s="70"/>
      <c r="GP94" s="70"/>
      <c r="GQ94" s="70"/>
      <c r="GR94" s="70"/>
      <c r="GS94" s="70"/>
      <c r="GT94" s="70"/>
      <c r="GU94" s="70"/>
      <c r="GV94" s="70"/>
      <c r="GW94" s="70"/>
      <c r="GX94" s="70"/>
      <c r="GY94" s="70"/>
      <c r="GZ94" s="70"/>
      <c r="HA94" s="70"/>
      <c r="HB94" s="70"/>
      <c r="HC94" s="70"/>
      <c r="HD94" s="70"/>
      <c r="HE94" s="70"/>
      <c r="HF94" s="70"/>
      <c r="HG94" s="70"/>
      <c r="HH94" s="70"/>
      <c r="HI94" s="70"/>
      <c r="HJ94" s="70"/>
      <c r="HK94" s="70"/>
      <c r="HL94" s="70"/>
    </row>
    <row r="95" s="18" customFormat="1" ht="13.5" customHeight="1" spans="1:220">
      <c r="A95" s="26"/>
      <c r="B95" s="46" t="s">
        <v>186</v>
      </c>
      <c r="C95" s="50"/>
      <c r="D95" s="50" t="s">
        <v>109</v>
      </c>
      <c r="E95" s="15"/>
      <c r="F95" s="15"/>
      <c r="G95" s="53"/>
      <c r="H95" s="53"/>
      <c r="I95" s="53"/>
      <c r="J95" s="15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/>
      <c r="FM95" s="70"/>
      <c r="FN95" s="70"/>
      <c r="FO95" s="70"/>
      <c r="FP95" s="70"/>
      <c r="FQ95" s="70"/>
      <c r="FR95" s="70"/>
      <c r="FS95" s="70"/>
      <c r="FT95" s="70"/>
      <c r="FU95" s="70"/>
      <c r="FV95" s="70"/>
      <c r="FW95" s="70"/>
      <c r="FX95" s="70"/>
      <c r="FY95" s="70"/>
      <c r="FZ95" s="70"/>
      <c r="GA95" s="70"/>
      <c r="GB95" s="70"/>
      <c r="GC95" s="70"/>
      <c r="GD95" s="70"/>
      <c r="GE95" s="70"/>
      <c r="GF95" s="70"/>
      <c r="GG95" s="70"/>
      <c r="GH95" s="70"/>
      <c r="GI95" s="70"/>
      <c r="GJ95" s="70"/>
      <c r="GK95" s="70"/>
      <c r="GL95" s="70"/>
      <c r="GM95" s="70"/>
      <c r="GN95" s="70"/>
      <c r="GO95" s="70"/>
      <c r="GP95" s="70"/>
      <c r="GQ95" s="70"/>
      <c r="GR95" s="70"/>
      <c r="GS95" s="70"/>
      <c r="GT95" s="70"/>
      <c r="GU95" s="70"/>
      <c r="GV95" s="70"/>
      <c r="GW95" s="70"/>
      <c r="GX95" s="70"/>
      <c r="GY95" s="70"/>
      <c r="GZ95" s="70"/>
      <c r="HA95" s="70"/>
      <c r="HB95" s="70"/>
      <c r="HC95" s="70"/>
      <c r="HD95" s="70"/>
      <c r="HE95" s="70"/>
      <c r="HF95" s="70"/>
      <c r="HG95" s="70"/>
      <c r="HH95" s="70"/>
      <c r="HI95" s="70"/>
      <c r="HJ95" s="70"/>
      <c r="HK95" s="70"/>
      <c r="HL95" s="70"/>
    </row>
    <row r="96" s="16" customFormat="1" spans="1:220">
      <c r="A96" s="51" t="s">
        <v>187</v>
      </c>
      <c r="B96" s="52"/>
      <c r="C96" s="52"/>
      <c r="D96" s="52"/>
      <c r="E96" s="52"/>
      <c r="F96" s="52"/>
      <c r="G96" s="52"/>
      <c r="H96" s="52"/>
      <c r="I96" s="52"/>
      <c r="J96" s="71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72"/>
      <c r="FM96" s="72"/>
      <c r="FN96" s="72"/>
      <c r="FO96" s="72"/>
      <c r="FP96" s="72"/>
      <c r="FQ96" s="72"/>
      <c r="FR96" s="72"/>
      <c r="FS96" s="72"/>
      <c r="FT96" s="72"/>
      <c r="FU96" s="72"/>
      <c r="FV96" s="72"/>
      <c r="FW96" s="72"/>
      <c r="FX96" s="72"/>
      <c r="FY96" s="72"/>
      <c r="FZ96" s="72"/>
      <c r="GA96" s="72"/>
      <c r="GB96" s="72"/>
      <c r="GC96" s="72"/>
      <c r="GD96" s="72"/>
      <c r="GE96" s="72"/>
      <c r="GF96" s="72"/>
      <c r="GG96" s="72"/>
      <c r="GH96" s="72"/>
      <c r="GI96" s="72"/>
      <c r="GJ96" s="72"/>
      <c r="GK96" s="72"/>
      <c r="GL96" s="72"/>
      <c r="GM96" s="72"/>
      <c r="GN96" s="72"/>
      <c r="GO96" s="72"/>
      <c r="GP96" s="72"/>
      <c r="GQ96" s="72"/>
      <c r="GR96" s="72"/>
      <c r="GS96" s="72"/>
      <c r="GT96" s="72"/>
      <c r="GU96" s="72"/>
      <c r="GV96" s="72"/>
      <c r="GW96" s="72"/>
      <c r="GX96" s="72"/>
      <c r="GY96" s="72"/>
      <c r="GZ96" s="72"/>
      <c r="HA96" s="72"/>
      <c r="HB96" s="72"/>
      <c r="HC96" s="72"/>
      <c r="HD96" s="72"/>
      <c r="HE96" s="72"/>
      <c r="HF96" s="72"/>
      <c r="HG96" s="72"/>
      <c r="HH96" s="72"/>
      <c r="HI96" s="72"/>
      <c r="HJ96" s="72"/>
      <c r="HK96" s="72"/>
      <c r="HL96" s="72"/>
    </row>
    <row r="97" s="15" customFormat="1" ht="13.5" customHeight="1" spans="1:220">
      <c r="A97" s="43" t="s">
        <v>30</v>
      </c>
      <c r="B97" s="44" t="s">
        <v>31</v>
      </c>
      <c r="C97" s="43" t="s">
        <v>32</v>
      </c>
      <c r="D97" s="28" t="s">
        <v>33</v>
      </c>
      <c r="E97" s="44" t="s">
        <v>34</v>
      </c>
      <c r="F97" s="44" t="s">
        <v>35</v>
      </c>
      <c r="G97" s="44" t="s">
        <v>36</v>
      </c>
      <c r="H97" s="44"/>
      <c r="I97" s="44"/>
      <c r="J97" s="69" t="s">
        <v>6</v>
      </c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/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  <c r="FR97" s="70"/>
      <c r="FS97" s="70"/>
      <c r="FT97" s="70"/>
      <c r="FU97" s="70"/>
      <c r="FV97" s="70"/>
      <c r="FW97" s="70"/>
      <c r="FX97" s="70"/>
      <c r="FY97" s="70"/>
      <c r="FZ97" s="70"/>
      <c r="GA97" s="70"/>
      <c r="GB97" s="70"/>
      <c r="GC97" s="70"/>
      <c r="GD97" s="70"/>
      <c r="GE97" s="70"/>
      <c r="GF97" s="70"/>
      <c r="GG97" s="70"/>
      <c r="GH97" s="70"/>
      <c r="GI97" s="70"/>
      <c r="GJ97" s="70"/>
      <c r="GK97" s="70"/>
      <c r="GL97" s="70"/>
      <c r="GM97" s="70"/>
      <c r="GN97" s="70"/>
      <c r="GO97" s="70"/>
      <c r="GP97" s="70"/>
      <c r="GQ97" s="70"/>
      <c r="GR97" s="70"/>
      <c r="GS97" s="70"/>
      <c r="GT97" s="70"/>
      <c r="GU97" s="70"/>
      <c r="GV97" s="70"/>
      <c r="GW97" s="70"/>
      <c r="GX97" s="70"/>
      <c r="GY97" s="70"/>
      <c r="GZ97" s="70"/>
      <c r="HA97" s="70"/>
      <c r="HB97" s="70"/>
      <c r="HC97" s="70"/>
      <c r="HD97" s="70"/>
      <c r="HE97" s="70"/>
      <c r="HF97" s="70"/>
      <c r="HG97" s="70"/>
      <c r="HH97" s="70"/>
      <c r="HI97" s="70"/>
      <c r="HJ97" s="70"/>
      <c r="HK97" s="70"/>
      <c r="HL97" s="70"/>
    </row>
    <row r="98" s="15" customFormat="1" spans="1:220">
      <c r="A98" s="26"/>
      <c r="B98" s="46" t="s">
        <v>188</v>
      </c>
      <c r="C98" s="50" t="s">
        <v>189</v>
      </c>
      <c r="D98" s="50" t="s">
        <v>190</v>
      </c>
      <c r="G98" s="53"/>
      <c r="H98" s="53"/>
      <c r="I98" s="53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/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  <c r="FR98" s="70"/>
      <c r="FS98" s="70"/>
      <c r="FT98" s="70"/>
      <c r="FU98" s="70"/>
      <c r="FV98" s="70"/>
      <c r="FW98" s="70"/>
      <c r="FX98" s="70"/>
      <c r="FY98" s="70"/>
      <c r="FZ98" s="70"/>
      <c r="GA98" s="70"/>
      <c r="GB98" s="70"/>
      <c r="GC98" s="70"/>
      <c r="GD98" s="70"/>
      <c r="GE98" s="70"/>
      <c r="GF98" s="70"/>
      <c r="GG98" s="70"/>
      <c r="GH98" s="70"/>
      <c r="GI98" s="70"/>
      <c r="GJ98" s="70"/>
      <c r="GK98" s="70"/>
      <c r="GL98" s="70"/>
      <c r="GM98" s="70"/>
      <c r="GN98" s="70"/>
      <c r="GO98" s="70"/>
      <c r="GP98" s="70"/>
      <c r="GQ98" s="70"/>
      <c r="GR98" s="70"/>
      <c r="GS98" s="70"/>
      <c r="GT98" s="70"/>
      <c r="GU98" s="70"/>
      <c r="GV98" s="70"/>
      <c r="GW98" s="70"/>
      <c r="GX98" s="70"/>
      <c r="GY98" s="70"/>
      <c r="GZ98" s="70"/>
      <c r="HA98" s="70"/>
      <c r="HB98" s="70"/>
      <c r="HC98" s="70"/>
      <c r="HD98" s="70"/>
      <c r="HE98" s="70"/>
      <c r="HF98" s="70"/>
      <c r="HG98" s="70"/>
      <c r="HH98" s="70"/>
      <c r="HI98" s="70"/>
      <c r="HJ98" s="70"/>
      <c r="HK98" s="70"/>
      <c r="HL98" s="70"/>
    </row>
    <row r="99" s="15" customFormat="1" spans="1:220">
      <c r="A99" s="26"/>
      <c r="B99" s="46" t="s">
        <v>191</v>
      </c>
      <c r="C99" s="50"/>
      <c r="D99" s="50" t="s">
        <v>192</v>
      </c>
      <c r="G99" s="53"/>
      <c r="H99" s="53"/>
      <c r="I99" s="53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  <c r="EY99" s="70"/>
      <c r="EZ99" s="70"/>
      <c r="FA99" s="70"/>
      <c r="FB99" s="70"/>
      <c r="FC99" s="70"/>
      <c r="FD99" s="70"/>
      <c r="FE99" s="70"/>
      <c r="FF99" s="70"/>
      <c r="FG99" s="70"/>
      <c r="FH99" s="70"/>
      <c r="FI99" s="70"/>
      <c r="FJ99" s="70"/>
      <c r="FK99" s="70"/>
      <c r="FL99" s="70"/>
      <c r="FM99" s="70"/>
      <c r="FN99" s="70"/>
      <c r="FO99" s="70"/>
      <c r="FP99" s="70"/>
      <c r="FQ99" s="70"/>
      <c r="FR99" s="70"/>
      <c r="FS99" s="70"/>
      <c r="FT99" s="70"/>
      <c r="FU99" s="70"/>
      <c r="FV99" s="70"/>
      <c r="FW99" s="70"/>
      <c r="FX99" s="70"/>
      <c r="FY99" s="70"/>
      <c r="FZ99" s="70"/>
      <c r="GA99" s="70"/>
      <c r="GB99" s="70"/>
      <c r="GC99" s="70"/>
      <c r="GD99" s="70"/>
      <c r="GE99" s="70"/>
      <c r="GF99" s="70"/>
      <c r="GG99" s="70"/>
      <c r="GH99" s="70"/>
      <c r="GI99" s="70"/>
      <c r="GJ99" s="70"/>
      <c r="GK99" s="70"/>
      <c r="GL99" s="70"/>
      <c r="GM99" s="70"/>
      <c r="GN99" s="70"/>
      <c r="GO99" s="70"/>
      <c r="GP99" s="70"/>
      <c r="GQ99" s="70"/>
      <c r="GR99" s="70"/>
      <c r="GS99" s="70"/>
      <c r="GT99" s="70"/>
      <c r="GU99" s="70"/>
      <c r="GV99" s="70"/>
      <c r="GW99" s="70"/>
      <c r="GX99" s="70"/>
      <c r="GY99" s="70"/>
      <c r="GZ99" s="70"/>
      <c r="HA99" s="70"/>
      <c r="HB99" s="70"/>
      <c r="HC99" s="70"/>
      <c r="HD99" s="70"/>
      <c r="HE99" s="70"/>
      <c r="HF99" s="70"/>
      <c r="HG99" s="70"/>
      <c r="HH99" s="70"/>
      <c r="HI99" s="70"/>
      <c r="HJ99" s="70"/>
      <c r="HK99" s="70"/>
      <c r="HL99" s="70"/>
    </row>
    <row r="100" s="15" customFormat="1" spans="1:220">
      <c r="A100" s="26"/>
      <c r="B100" s="46" t="s">
        <v>193</v>
      </c>
      <c r="C100" s="50"/>
      <c r="D100" s="50" t="s">
        <v>194</v>
      </c>
      <c r="G100" s="53"/>
      <c r="H100" s="53"/>
      <c r="I100" s="53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/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  <c r="FR100" s="70"/>
      <c r="FS100" s="70"/>
      <c r="FT100" s="70"/>
      <c r="FU100" s="70"/>
      <c r="FV100" s="70"/>
      <c r="FW100" s="70"/>
      <c r="FX100" s="70"/>
      <c r="FY100" s="70"/>
      <c r="FZ100" s="70"/>
      <c r="GA100" s="70"/>
      <c r="GB100" s="70"/>
      <c r="GC100" s="70"/>
      <c r="GD100" s="70"/>
      <c r="GE100" s="70"/>
      <c r="GF100" s="70"/>
      <c r="GG100" s="70"/>
      <c r="GH100" s="70"/>
      <c r="GI100" s="70"/>
      <c r="GJ100" s="70"/>
      <c r="GK100" s="70"/>
      <c r="GL100" s="70"/>
      <c r="GM100" s="70"/>
      <c r="GN100" s="70"/>
      <c r="GO100" s="70"/>
      <c r="GP100" s="70"/>
      <c r="GQ100" s="70"/>
      <c r="GR100" s="70"/>
      <c r="GS100" s="70"/>
      <c r="GT100" s="70"/>
      <c r="GU100" s="70"/>
      <c r="GV100" s="70"/>
      <c r="GW100" s="70"/>
      <c r="GX100" s="70"/>
      <c r="GY100" s="70"/>
      <c r="GZ100" s="70"/>
      <c r="HA100" s="70"/>
      <c r="HB100" s="70"/>
      <c r="HC100" s="70"/>
      <c r="HD100" s="70"/>
      <c r="HE100" s="70"/>
      <c r="HF100" s="70"/>
      <c r="HG100" s="70"/>
      <c r="HH100" s="70"/>
      <c r="HI100" s="70"/>
      <c r="HJ100" s="70"/>
      <c r="HK100" s="70"/>
      <c r="HL100" s="70"/>
    </row>
    <row r="101" s="15" customFormat="1" spans="1:220">
      <c r="A101" s="26"/>
      <c r="B101" s="46" t="s">
        <v>195</v>
      </c>
      <c r="C101" s="50"/>
      <c r="D101" s="50" t="s">
        <v>196</v>
      </c>
      <c r="G101" s="53"/>
      <c r="H101" s="53"/>
      <c r="I101" s="53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/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  <c r="FR101" s="70"/>
      <c r="FS101" s="70"/>
      <c r="FT101" s="70"/>
      <c r="FU101" s="70"/>
      <c r="FV101" s="70"/>
      <c r="FW101" s="70"/>
      <c r="FX101" s="70"/>
      <c r="FY101" s="70"/>
      <c r="FZ101" s="70"/>
      <c r="GA101" s="70"/>
      <c r="GB101" s="70"/>
      <c r="GC101" s="70"/>
      <c r="GD101" s="70"/>
      <c r="GE101" s="70"/>
      <c r="GF101" s="70"/>
      <c r="GG101" s="70"/>
      <c r="GH101" s="70"/>
      <c r="GI101" s="70"/>
      <c r="GJ101" s="70"/>
      <c r="GK101" s="70"/>
      <c r="GL101" s="70"/>
      <c r="GM101" s="70"/>
      <c r="GN101" s="70"/>
      <c r="GO101" s="70"/>
      <c r="GP101" s="70"/>
      <c r="GQ101" s="70"/>
      <c r="GR101" s="70"/>
      <c r="GS101" s="70"/>
      <c r="GT101" s="70"/>
      <c r="GU101" s="70"/>
      <c r="GV101" s="70"/>
      <c r="GW101" s="70"/>
      <c r="GX101" s="70"/>
      <c r="GY101" s="70"/>
      <c r="GZ101" s="70"/>
      <c r="HA101" s="70"/>
      <c r="HB101" s="70"/>
      <c r="HC101" s="70"/>
      <c r="HD101" s="70"/>
      <c r="HE101" s="70"/>
      <c r="HF101" s="70"/>
      <c r="HG101" s="70"/>
      <c r="HH101" s="70"/>
      <c r="HI101" s="70"/>
      <c r="HJ101" s="70"/>
      <c r="HK101" s="70"/>
      <c r="HL101" s="70"/>
    </row>
    <row r="102" s="15" customFormat="1" spans="1:220">
      <c r="A102" s="26"/>
      <c r="B102" s="46" t="s">
        <v>197</v>
      </c>
      <c r="C102" s="50"/>
      <c r="D102" s="50" t="s">
        <v>198</v>
      </c>
      <c r="G102" s="53"/>
      <c r="H102" s="53"/>
      <c r="I102" s="53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/>
      <c r="DV102" s="70"/>
      <c r="DW102" s="70"/>
      <c r="DX102" s="70"/>
      <c r="DY102" s="70"/>
      <c r="DZ102" s="70"/>
      <c r="EA102" s="70"/>
      <c r="EB102" s="70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70"/>
      <c r="EW102" s="70"/>
      <c r="EX102" s="70"/>
      <c r="EY102" s="70"/>
      <c r="EZ102" s="70"/>
      <c r="FA102" s="70"/>
      <c r="FB102" s="70"/>
      <c r="FC102" s="70"/>
      <c r="FD102" s="70"/>
      <c r="FE102" s="70"/>
      <c r="FF102" s="70"/>
      <c r="FG102" s="70"/>
      <c r="FH102" s="70"/>
      <c r="FI102" s="70"/>
      <c r="FJ102" s="70"/>
      <c r="FK102" s="70"/>
      <c r="FL102" s="70"/>
      <c r="FM102" s="70"/>
      <c r="FN102" s="70"/>
      <c r="FO102" s="70"/>
      <c r="FP102" s="70"/>
      <c r="FQ102" s="70"/>
      <c r="FR102" s="70"/>
      <c r="FS102" s="70"/>
      <c r="FT102" s="70"/>
      <c r="FU102" s="70"/>
      <c r="FV102" s="70"/>
      <c r="FW102" s="70"/>
      <c r="FX102" s="70"/>
      <c r="FY102" s="70"/>
      <c r="FZ102" s="70"/>
      <c r="GA102" s="70"/>
      <c r="GB102" s="70"/>
      <c r="GC102" s="70"/>
      <c r="GD102" s="70"/>
      <c r="GE102" s="70"/>
      <c r="GF102" s="70"/>
      <c r="GG102" s="70"/>
      <c r="GH102" s="70"/>
      <c r="GI102" s="70"/>
      <c r="GJ102" s="70"/>
      <c r="GK102" s="70"/>
      <c r="GL102" s="70"/>
      <c r="GM102" s="70"/>
      <c r="GN102" s="70"/>
      <c r="GO102" s="70"/>
      <c r="GP102" s="70"/>
      <c r="GQ102" s="70"/>
      <c r="GR102" s="70"/>
      <c r="GS102" s="70"/>
      <c r="GT102" s="70"/>
      <c r="GU102" s="70"/>
      <c r="GV102" s="70"/>
      <c r="GW102" s="70"/>
      <c r="GX102" s="70"/>
      <c r="GY102" s="70"/>
      <c r="GZ102" s="70"/>
      <c r="HA102" s="70"/>
      <c r="HB102" s="70"/>
      <c r="HC102" s="70"/>
      <c r="HD102" s="70"/>
      <c r="HE102" s="70"/>
      <c r="HF102" s="70"/>
      <c r="HG102" s="70"/>
      <c r="HH102" s="70"/>
      <c r="HI102" s="70"/>
      <c r="HJ102" s="70"/>
      <c r="HK102" s="70"/>
      <c r="HL102" s="70"/>
    </row>
    <row r="103" s="15" customFormat="1" spans="1:220">
      <c r="A103" s="26"/>
      <c r="B103" s="46" t="s">
        <v>199</v>
      </c>
      <c r="C103" s="50"/>
      <c r="D103" s="15" t="s">
        <v>200</v>
      </c>
      <c r="G103" s="53"/>
      <c r="H103" s="53"/>
      <c r="I103" s="53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  <c r="DS103" s="70"/>
      <c r="DT103" s="70"/>
      <c r="DU103" s="70"/>
      <c r="DV103" s="70"/>
      <c r="DW103" s="70"/>
      <c r="DX103" s="70"/>
      <c r="DY103" s="70"/>
      <c r="DZ103" s="70"/>
      <c r="EA103" s="70"/>
      <c r="EB103" s="70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70"/>
      <c r="ER103" s="70"/>
      <c r="ES103" s="70"/>
      <c r="ET103" s="70"/>
      <c r="EU103" s="70"/>
      <c r="EV103" s="70"/>
      <c r="EW103" s="70"/>
      <c r="EX103" s="70"/>
      <c r="EY103" s="70"/>
      <c r="EZ103" s="70"/>
      <c r="FA103" s="70"/>
      <c r="FB103" s="70"/>
      <c r="FC103" s="70"/>
      <c r="FD103" s="70"/>
      <c r="FE103" s="70"/>
      <c r="FF103" s="70"/>
      <c r="FG103" s="70"/>
      <c r="FH103" s="70"/>
      <c r="FI103" s="70"/>
      <c r="FJ103" s="70"/>
      <c r="FK103" s="70"/>
      <c r="FL103" s="70"/>
      <c r="FM103" s="70"/>
      <c r="FN103" s="70"/>
      <c r="FO103" s="70"/>
      <c r="FP103" s="70"/>
      <c r="FQ103" s="70"/>
      <c r="FR103" s="70"/>
      <c r="FS103" s="70"/>
      <c r="FT103" s="70"/>
      <c r="FU103" s="70"/>
      <c r="FV103" s="70"/>
      <c r="FW103" s="70"/>
      <c r="FX103" s="70"/>
      <c r="FY103" s="70"/>
      <c r="FZ103" s="70"/>
      <c r="GA103" s="70"/>
      <c r="GB103" s="70"/>
      <c r="GC103" s="70"/>
      <c r="GD103" s="70"/>
      <c r="GE103" s="70"/>
      <c r="GF103" s="70"/>
      <c r="GG103" s="70"/>
      <c r="GH103" s="70"/>
      <c r="GI103" s="70"/>
      <c r="GJ103" s="70"/>
      <c r="GK103" s="70"/>
      <c r="GL103" s="70"/>
      <c r="GM103" s="70"/>
      <c r="GN103" s="70"/>
      <c r="GO103" s="70"/>
      <c r="GP103" s="70"/>
      <c r="GQ103" s="70"/>
      <c r="GR103" s="70"/>
      <c r="GS103" s="70"/>
      <c r="GT103" s="70"/>
      <c r="GU103" s="70"/>
      <c r="GV103" s="70"/>
      <c r="GW103" s="70"/>
      <c r="GX103" s="70"/>
      <c r="GY103" s="70"/>
      <c r="GZ103" s="70"/>
      <c r="HA103" s="70"/>
      <c r="HB103" s="70"/>
      <c r="HC103" s="70"/>
      <c r="HD103" s="70"/>
      <c r="HE103" s="70"/>
      <c r="HF103" s="70"/>
      <c r="HG103" s="70"/>
      <c r="HH103" s="70"/>
      <c r="HI103" s="70"/>
      <c r="HJ103" s="70"/>
      <c r="HK103" s="70"/>
      <c r="HL103" s="70"/>
    </row>
    <row r="104" s="15" customFormat="1" spans="1:220">
      <c r="A104" s="26"/>
      <c r="B104" s="46" t="s">
        <v>201</v>
      </c>
      <c r="C104" s="50" t="s">
        <v>202</v>
      </c>
      <c r="D104" s="50" t="s">
        <v>203</v>
      </c>
      <c r="G104" s="53"/>
      <c r="H104" s="53"/>
      <c r="I104" s="53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/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/>
      <c r="HJ104" s="70"/>
      <c r="HK104" s="70"/>
      <c r="HL104" s="70"/>
    </row>
    <row r="105" s="15" customFormat="1" spans="1:220">
      <c r="A105" s="26"/>
      <c r="B105" s="46" t="s">
        <v>204</v>
      </c>
      <c r="C105" s="50"/>
      <c r="D105" s="50" t="s">
        <v>205</v>
      </c>
      <c r="G105" s="53"/>
      <c r="H105" s="53"/>
      <c r="I105" s="53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/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/>
      <c r="HJ105" s="70"/>
      <c r="HK105" s="70"/>
      <c r="HL105" s="70"/>
    </row>
    <row r="106" s="15" customFormat="1" spans="1:220">
      <c r="A106" s="26"/>
      <c r="B106" s="46" t="s">
        <v>206</v>
      </c>
      <c r="C106" s="50"/>
      <c r="D106" s="50" t="s">
        <v>207</v>
      </c>
      <c r="G106" s="53"/>
      <c r="H106" s="53"/>
      <c r="I106" s="53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  <c r="DB106" s="70"/>
      <c r="DC106" s="70"/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  <c r="DS106" s="70"/>
      <c r="DT106" s="70"/>
      <c r="DU106" s="70"/>
      <c r="DV106" s="70"/>
      <c r="DW106" s="70"/>
      <c r="DX106" s="70"/>
      <c r="DY106" s="70"/>
      <c r="DZ106" s="70"/>
      <c r="EA106" s="70"/>
      <c r="EB106" s="70"/>
      <c r="EC106" s="70"/>
      <c r="ED106" s="70"/>
      <c r="EE106" s="70"/>
      <c r="EF106" s="70"/>
      <c r="EG106" s="70"/>
      <c r="EH106" s="70"/>
      <c r="EI106" s="70"/>
      <c r="EJ106" s="70"/>
      <c r="EK106" s="70"/>
      <c r="EL106" s="70"/>
      <c r="EM106" s="70"/>
      <c r="EN106" s="70"/>
      <c r="EO106" s="70"/>
      <c r="EP106" s="70"/>
      <c r="EQ106" s="70"/>
      <c r="ER106" s="70"/>
      <c r="ES106" s="70"/>
      <c r="ET106" s="70"/>
      <c r="EU106" s="70"/>
      <c r="EV106" s="70"/>
      <c r="EW106" s="70"/>
      <c r="EX106" s="70"/>
      <c r="EY106" s="70"/>
      <c r="EZ106" s="70"/>
      <c r="FA106" s="70"/>
      <c r="FB106" s="70"/>
      <c r="FC106" s="70"/>
      <c r="FD106" s="70"/>
      <c r="FE106" s="70"/>
      <c r="FF106" s="70"/>
      <c r="FG106" s="70"/>
      <c r="FH106" s="70"/>
      <c r="FI106" s="70"/>
      <c r="FJ106" s="70"/>
      <c r="FK106" s="70"/>
      <c r="FL106" s="70"/>
      <c r="FM106" s="70"/>
      <c r="FN106" s="70"/>
      <c r="FO106" s="70"/>
      <c r="FP106" s="70"/>
      <c r="FQ106" s="70"/>
      <c r="FR106" s="70"/>
      <c r="FS106" s="70"/>
      <c r="FT106" s="70"/>
      <c r="FU106" s="70"/>
      <c r="FV106" s="70"/>
      <c r="FW106" s="70"/>
      <c r="FX106" s="70"/>
      <c r="FY106" s="70"/>
      <c r="FZ106" s="70"/>
      <c r="GA106" s="70"/>
      <c r="GB106" s="70"/>
      <c r="GC106" s="70"/>
      <c r="GD106" s="70"/>
      <c r="GE106" s="70"/>
      <c r="GF106" s="70"/>
      <c r="GG106" s="70"/>
      <c r="GH106" s="70"/>
      <c r="GI106" s="70"/>
      <c r="GJ106" s="70"/>
      <c r="GK106" s="70"/>
      <c r="GL106" s="70"/>
      <c r="GM106" s="70"/>
      <c r="GN106" s="70"/>
      <c r="GO106" s="70"/>
      <c r="GP106" s="70"/>
      <c r="GQ106" s="70"/>
      <c r="GR106" s="70"/>
      <c r="GS106" s="70"/>
      <c r="GT106" s="70"/>
      <c r="GU106" s="70"/>
      <c r="GV106" s="70"/>
      <c r="GW106" s="70"/>
      <c r="GX106" s="70"/>
      <c r="GY106" s="70"/>
      <c r="GZ106" s="70"/>
      <c r="HA106" s="70"/>
      <c r="HB106" s="70"/>
      <c r="HC106" s="70"/>
      <c r="HD106" s="70"/>
      <c r="HE106" s="70"/>
      <c r="HF106" s="70"/>
      <c r="HG106" s="70"/>
      <c r="HH106" s="70"/>
      <c r="HI106" s="70"/>
      <c r="HJ106" s="70"/>
      <c r="HK106" s="70"/>
      <c r="HL106" s="70"/>
    </row>
    <row r="107" s="15" customFormat="1" spans="1:220">
      <c r="A107" s="26"/>
      <c r="B107" s="46" t="s">
        <v>208</v>
      </c>
      <c r="C107" s="50" t="s">
        <v>209</v>
      </c>
      <c r="D107" s="50" t="s">
        <v>210</v>
      </c>
      <c r="G107" s="53"/>
      <c r="H107" s="53"/>
      <c r="I107" s="53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  <c r="DS107" s="70"/>
      <c r="DT107" s="70"/>
      <c r="DU107" s="70"/>
      <c r="DV107" s="70"/>
      <c r="DW107" s="70"/>
      <c r="DX107" s="70"/>
      <c r="DY107" s="70"/>
      <c r="DZ107" s="70"/>
      <c r="EA107" s="70"/>
      <c r="EB107" s="70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70"/>
      <c r="ER107" s="70"/>
      <c r="ES107" s="70"/>
      <c r="ET107" s="70"/>
      <c r="EU107" s="70"/>
      <c r="EV107" s="70"/>
      <c r="EW107" s="70"/>
      <c r="EX107" s="70"/>
      <c r="EY107" s="70"/>
      <c r="EZ107" s="70"/>
      <c r="FA107" s="70"/>
      <c r="FB107" s="70"/>
      <c r="FC107" s="70"/>
      <c r="FD107" s="70"/>
      <c r="FE107" s="70"/>
      <c r="FF107" s="70"/>
      <c r="FG107" s="70"/>
      <c r="FH107" s="70"/>
      <c r="FI107" s="70"/>
      <c r="FJ107" s="70"/>
      <c r="FK107" s="70"/>
      <c r="FL107" s="70"/>
      <c r="FM107" s="70"/>
      <c r="FN107" s="70"/>
      <c r="FO107" s="70"/>
      <c r="FP107" s="70"/>
      <c r="FQ107" s="70"/>
      <c r="FR107" s="70"/>
      <c r="FS107" s="70"/>
      <c r="FT107" s="70"/>
      <c r="FU107" s="70"/>
      <c r="FV107" s="70"/>
      <c r="FW107" s="70"/>
      <c r="FX107" s="70"/>
      <c r="FY107" s="70"/>
      <c r="FZ107" s="70"/>
      <c r="GA107" s="70"/>
      <c r="GB107" s="70"/>
      <c r="GC107" s="70"/>
      <c r="GD107" s="70"/>
      <c r="GE107" s="70"/>
      <c r="GF107" s="70"/>
      <c r="GG107" s="70"/>
      <c r="GH107" s="70"/>
      <c r="GI107" s="70"/>
      <c r="GJ107" s="70"/>
      <c r="GK107" s="70"/>
      <c r="GL107" s="70"/>
      <c r="GM107" s="70"/>
      <c r="GN107" s="70"/>
      <c r="GO107" s="70"/>
      <c r="GP107" s="70"/>
      <c r="GQ107" s="70"/>
      <c r="GR107" s="70"/>
      <c r="GS107" s="70"/>
      <c r="GT107" s="70"/>
      <c r="GU107" s="70"/>
      <c r="GV107" s="70"/>
      <c r="GW107" s="70"/>
      <c r="GX107" s="70"/>
      <c r="GY107" s="70"/>
      <c r="GZ107" s="70"/>
      <c r="HA107" s="70"/>
      <c r="HB107" s="70"/>
      <c r="HC107" s="70"/>
      <c r="HD107" s="70"/>
      <c r="HE107" s="70"/>
      <c r="HF107" s="70"/>
      <c r="HG107" s="70"/>
      <c r="HH107" s="70"/>
      <c r="HI107" s="70"/>
      <c r="HJ107" s="70"/>
      <c r="HK107" s="70"/>
      <c r="HL107" s="70"/>
    </row>
    <row r="108" s="15" customFormat="1" spans="1:220">
      <c r="A108" s="26"/>
      <c r="B108" s="46" t="s">
        <v>211</v>
      </c>
      <c r="C108" s="50"/>
      <c r="D108" s="50" t="s">
        <v>212</v>
      </c>
      <c r="G108" s="53"/>
      <c r="H108" s="53"/>
      <c r="I108" s="53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  <c r="DS108" s="70"/>
      <c r="DT108" s="70"/>
      <c r="DU108" s="70"/>
      <c r="DV108" s="70"/>
      <c r="DW108" s="70"/>
      <c r="DX108" s="70"/>
      <c r="DY108" s="70"/>
      <c r="DZ108" s="70"/>
      <c r="EA108" s="70"/>
      <c r="EB108" s="70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70"/>
      <c r="ER108" s="70"/>
      <c r="ES108" s="70"/>
      <c r="ET108" s="70"/>
      <c r="EU108" s="70"/>
      <c r="EV108" s="70"/>
      <c r="EW108" s="70"/>
      <c r="EX108" s="70"/>
      <c r="EY108" s="70"/>
      <c r="EZ108" s="70"/>
      <c r="FA108" s="70"/>
      <c r="FB108" s="70"/>
      <c r="FC108" s="70"/>
      <c r="FD108" s="70"/>
      <c r="FE108" s="70"/>
      <c r="FF108" s="70"/>
      <c r="FG108" s="70"/>
      <c r="FH108" s="70"/>
      <c r="FI108" s="70"/>
      <c r="FJ108" s="70"/>
      <c r="FK108" s="70"/>
      <c r="FL108" s="70"/>
      <c r="FM108" s="70"/>
      <c r="FN108" s="70"/>
      <c r="FO108" s="70"/>
      <c r="FP108" s="70"/>
      <c r="FQ108" s="70"/>
      <c r="FR108" s="70"/>
      <c r="FS108" s="70"/>
      <c r="FT108" s="70"/>
      <c r="FU108" s="70"/>
      <c r="FV108" s="70"/>
      <c r="FW108" s="70"/>
      <c r="FX108" s="70"/>
      <c r="FY108" s="70"/>
      <c r="FZ108" s="70"/>
      <c r="GA108" s="70"/>
      <c r="GB108" s="70"/>
      <c r="GC108" s="70"/>
      <c r="GD108" s="70"/>
      <c r="GE108" s="70"/>
      <c r="GF108" s="70"/>
      <c r="GG108" s="70"/>
      <c r="GH108" s="70"/>
      <c r="GI108" s="70"/>
      <c r="GJ108" s="70"/>
      <c r="GK108" s="70"/>
      <c r="GL108" s="70"/>
      <c r="GM108" s="70"/>
      <c r="GN108" s="70"/>
      <c r="GO108" s="70"/>
      <c r="GP108" s="70"/>
      <c r="GQ108" s="70"/>
      <c r="GR108" s="70"/>
      <c r="GS108" s="70"/>
      <c r="GT108" s="70"/>
      <c r="GU108" s="70"/>
      <c r="GV108" s="70"/>
      <c r="GW108" s="70"/>
      <c r="GX108" s="70"/>
      <c r="GY108" s="70"/>
      <c r="GZ108" s="70"/>
      <c r="HA108" s="70"/>
      <c r="HB108" s="70"/>
      <c r="HC108" s="70"/>
      <c r="HD108" s="70"/>
      <c r="HE108" s="70"/>
      <c r="HF108" s="70"/>
      <c r="HG108" s="70"/>
      <c r="HH108" s="70"/>
      <c r="HI108" s="70"/>
      <c r="HJ108" s="70"/>
      <c r="HK108" s="70"/>
      <c r="HL108" s="70"/>
    </row>
    <row r="109" s="15" customFormat="1" spans="1:220">
      <c r="A109" s="26"/>
      <c r="B109" s="46" t="s">
        <v>213</v>
      </c>
      <c r="C109" s="50"/>
      <c r="D109" s="50" t="s">
        <v>214</v>
      </c>
      <c r="G109" s="53"/>
      <c r="H109" s="53"/>
      <c r="I109" s="53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  <c r="FU109" s="70"/>
      <c r="FV109" s="70"/>
      <c r="FW109" s="70"/>
      <c r="FX109" s="70"/>
      <c r="FY109" s="70"/>
      <c r="FZ109" s="70"/>
      <c r="GA109" s="70"/>
      <c r="GB109" s="70"/>
      <c r="GC109" s="70"/>
      <c r="GD109" s="70"/>
      <c r="GE109" s="70"/>
      <c r="GF109" s="70"/>
      <c r="GG109" s="70"/>
      <c r="GH109" s="70"/>
      <c r="GI109" s="70"/>
      <c r="GJ109" s="70"/>
      <c r="GK109" s="70"/>
      <c r="GL109" s="70"/>
      <c r="GM109" s="70"/>
      <c r="GN109" s="70"/>
      <c r="GO109" s="70"/>
      <c r="GP109" s="70"/>
      <c r="GQ109" s="70"/>
      <c r="GR109" s="70"/>
      <c r="GS109" s="70"/>
      <c r="GT109" s="70"/>
      <c r="GU109" s="70"/>
      <c r="GV109" s="70"/>
      <c r="GW109" s="70"/>
      <c r="GX109" s="70"/>
      <c r="GY109" s="70"/>
      <c r="GZ109" s="70"/>
      <c r="HA109" s="70"/>
      <c r="HB109" s="70"/>
      <c r="HC109" s="70"/>
      <c r="HD109" s="70"/>
      <c r="HE109" s="70"/>
      <c r="HF109" s="70"/>
      <c r="HG109" s="70"/>
      <c r="HH109" s="70"/>
      <c r="HI109" s="70"/>
      <c r="HJ109" s="70"/>
      <c r="HK109" s="70"/>
      <c r="HL109" s="70"/>
    </row>
    <row r="110" s="15" customFormat="1" spans="1:220">
      <c r="A110" s="26"/>
      <c r="B110" s="46" t="s">
        <v>215</v>
      </c>
      <c r="C110" s="50"/>
      <c r="D110" s="50" t="s">
        <v>216</v>
      </c>
      <c r="G110" s="53"/>
      <c r="H110" s="53"/>
      <c r="I110" s="53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/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</row>
    <row r="111" s="15" customFormat="1" spans="1:220">
      <c r="A111" s="26"/>
      <c r="B111" s="46" t="s">
        <v>217</v>
      </c>
      <c r="C111" s="50"/>
      <c r="D111" s="50" t="s">
        <v>218</v>
      </c>
      <c r="G111" s="53"/>
      <c r="H111" s="53"/>
      <c r="I111" s="53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/>
      <c r="DV111" s="70"/>
      <c r="DW111" s="70"/>
      <c r="DX111" s="70"/>
      <c r="DY111" s="70"/>
      <c r="DZ111" s="70"/>
      <c r="EA111" s="70"/>
      <c r="EB111" s="70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/>
      <c r="FA111" s="70"/>
      <c r="FB111" s="70"/>
      <c r="FC111" s="70"/>
      <c r="FD111" s="70"/>
      <c r="FE111" s="70"/>
      <c r="FF111" s="70"/>
      <c r="FG111" s="70"/>
      <c r="FH111" s="70"/>
      <c r="FI111" s="70"/>
      <c r="FJ111" s="70"/>
      <c r="FK111" s="70"/>
      <c r="FL111" s="70"/>
      <c r="FM111" s="70"/>
      <c r="FN111" s="70"/>
      <c r="FO111" s="70"/>
      <c r="FP111" s="70"/>
      <c r="FQ111" s="70"/>
      <c r="FR111" s="70"/>
      <c r="FS111" s="70"/>
      <c r="FT111" s="70"/>
      <c r="FU111" s="70"/>
      <c r="FV111" s="70"/>
      <c r="FW111" s="70"/>
      <c r="FX111" s="70"/>
      <c r="FY111" s="70"/>
      <c r="FZ111" s="70"/>
      <c r="GA111" s="70"/>
      <c r="GB111" s="70"/>
      <c r="GC111" s="70"/>
      <c r="GD111" s="70"/>
      <c r="GE111" s="70"/>
      <c r="GF111" s="70"/>
      <c r="GG111" s="70"/>
      <c r="GH111" s="70"/>
      <c r="GI111" s="70"/>
      <c r="GJ111" s="70"/>
      <c r="GK111" s="70"/>
      <c r="GL111" s="70"/>
      <c r="GM111" s="70"/>
      <c r="GN111" s="70"/>
      <c r="GO111" s="70"/>
      <c r="GP111" s="70"/>
      <c r="GQ111" s="70"/>
      <c r="GR111" s="70"/>
      <c r="GS111" s="70"/>
      <c r="GT111" s="70"/>
      <c r="GU111" s="70"/>
      <c r="GV111" s="70"/>
      <c r="GW111" s="70"/>
      <c r="GX111" s="70"/>
      <c r="GY111" s="70"/>
      <c r="GZ111" s="70"/>
      <c r="HA111" s="70"/>
      <c r="HB111" s="70"/>
      <c r="HC111" s="70"/>
      <c r="HD111" s="70"/>
      <c r="HE111" s="70"/>
      <c r="HF111" s="70"/>
      <c r="HG111" s="70"/>
      <c r="HH111" s="70"/>
      <c r="HI111" s="70"/>
      <c r="HJ111" s="70"/>
      <c r="HK111" s="70"/>
      <c r="HL111" s="70"/>
    </row>
    <row r="112" s="15" customFormat="1" spans="1:220">
      <c r="A112" s="26"/>
      <c r="B112" s="46" t="s">
        <v>219</v>
      </c>
      <c r="C112" s="50"/>
      <c r="D112" s="15" t="s">
        <v>220</v>
      </c>
      <c r="G112" s="53"/>
      <c r="H112" s="53"/>
      <c r="I112" s="53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70"/>
      <c r="CP112" s="70"/>
      <c r="CQ112" s="70"/>
      <c r="CR112" s="70"/>
      <c r="CS112" s="70"/>
      <c r="CT112" s="70"/>
      <c r="CU112" s="70"/>
      <c r="CV112" s="70"/>
      <c r="CW112" s="70"/>
      <c r="CX112" s="70"/>
      <c r="CY112" s="70"/>
      <c r="CZ112" s="70"/>
      <c r="DA112" s="70"/>
      <c r="DB112" s="70"/>
      <c r="DC112" s="70"/>
      <c r="DD112" s="70"/>
      <c r="DE112" s="70"/>
      <c r="DF112" s="70"/>
      <c r="DG112" s="70"/>
      <c r="DH112" s="70"/>
      <c r="DI112" s="70"/>
      <c r="DJ112" s="70"/>
      <c r="DK112" s="70"/>
      <c r="DL112" s="70"/>
      <c r="DM112" s="70"/>
      <c r="DN112" s="70"/>
      <c r="DO112" s="70"/>
      <c r="DP112" s="70"/>
      <c r="DQ112" s="70"/>
      <c r="DR112" s="70"/>
      <c r="DS112" s="70"/>
      <c r="DT112" s="70"/>
      <c r="DU112" s="70"/>
      <c r="DV112" s="70"/>
      <c r="DW112" s="70"/>
      <c r="DX112" s="70"/>
      <c r="DY112" s="70"/>
      <c r="DZ112" s="70"/>
      <c r="EA112" s="70"/>
      <c r="EB112" s="70"/>
      <c r="EC112" s="70"/>
      <c r="ED112" s="70"/>
      <c r="EE112" s="70"/>
      <c r="EF112" s="70"/>
      <c r="EG112" s="70"/>
      <c r="EH112" s="70"/>
      <c r="EI112" s="70"/>
      <c r="EJ112" s="70"/>
      <c r="EK112" s="70"/>
      <c r="EL112" s="70"/>
      <c r="EM112" s="70"/>
      <c r="EN112" s="70"/>
      <c r="EO112" s="70"/>
      <c r="EP112" s="70"/>
      <c r="EQ112" s="70"/>
      <c r="ER112" s="70"/>
      <c r="ES112" s="70"/>
      <c r="ET112" s="70"/>
      <c r="EU112" s="70"/>
      <c r="EV112" s="70"/>
      <c r="EW112" s="70"/>
      <c r="EX112" s="70"/>
      <c r="EY112" s="70"/>
      <c r="EZ112" s="70"/>
      <c r="FA112" s="70"/>
      <c r="FB112" s="70"/>
      <c r="FC112" s="70"/>
      <c r="FD112" s="70"/>
      <c r="FE112" s="70"/>
      <c r="FF112" s="70"/>
      <c r="FG112" s="70"/>
      <c r="FH112" s="70"/>
      <c r="FI112" s="70"/>
      <c r="FJ112" s="70"/>
      <c r="FK112" s="70"/>
      <c r="FL112" s="70"/>
      <c r="FM112" s="70"/>
      <c r="FN112" s="70"/>
      <c r="FO112" s="70"/>
      <c r="FP112" s="70"/>
      <c r="FQ112" s="70"/>
      <c r="FR112" s="70"/>
      <c r="FS112" s="70"/>
      <c r="FT112" s="70"/>
      <c r="FU112" s="70"/>
      <c r="FV112" s="70"/>
      <c r="FW112" s="70"/>
      <c r="FX112" s="70"/>
      <c r="FY112" s="70"/>
      <c r="FZ112" s="70"/>
      <c r="GA112" s="70"/>
      <c r="GB112" s="70"/>
      <c r="GC112" s="70"/>
      <c r="GD112" s="70"/>
      <c r="GE112" s="70"/>
      <c r="GF112" s="70"/>
      <c r="GG112" s="70"/>
      <c r="GH112" s="70"/>
      <c r="GI112" s="70"/>
      <c r="GJ112" s="70"/>
      <c r="GK112" s="70"/>
      <c r="GL112" s="70"/>
      <c r="GM112" s="70"/>
      <c r="GN112" s="70"/>
      <c r="GO112" s="70"/>
      <c r="GP112" s="70"/>
      <c r="GQ112" s="70"/>
      <c r="GR112" s="70"/>
      <c r="GS112" s="70"/>
      <c r="GT112" s="70"/>
      <c r="GU112" s="70"/>
      <c r="GV112" s="70"/>
      <c r="GW112" s="70"/>
      <c r="GX112" s="70"/>
      <c r="GY112" s="70"/>
      <c r="GZ112" s="70"/>
      <c r="HA112" s="70"/>
      <c r="HB112" s="70"/>
      <c r="HC112" s="70"/>
      <c r="HD112" s="70"/>
      <c r="HE112" s="70"/>
      <c r="HF112" s="70"/>
      <c r="HG112" s="70"/>
      <c r="HH112" s="70"/>
      <c r="HI112" s="70"/>
      <c r="HJ112" s="70"/>
      <c r="HK112" s="70"/>
      <c r="HL112" s="70"/>
    </row>
    <row r="113" s="15" customFormat="1" spans="1:220">
      <c r="A113" s="26"/>
      <c r="B113" s="46" t="s">
        <v>221</v>
      </c>
      <c r="C113" s="50" t="s">
        <v>222</v>
      </c>
      <c r="D113" s="50" t="s">
        <v>223</v>
      </c>
      <c r="G113" s="53"/>
      <c r="H113" s="53"/>
      <c r="I113" s="53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  <c r="FU113" s="70"/>
      <c r="FV113" s="70"/>
      <c r="FW113" s="70"/>
      <c r="FX113" s="70"/>
      <c r="FY113" s="70"/>
      <c r="FZ113" s="70"/>
      <c r="GA113" s="70"/>
      <c r="GB113" s="70"/>
      <c r="GC113" s="70"/>
      <c r="GD113" s="70"/>
      <c r="GE113" s="70"/>
      <c r="GF113" s="70"/>
      <c r="GG113" s="70"/>
      <c r="GH113" s="70"/>
      <c r="GI113" s="70"/>
      <c r="GJ113" s="70"/>
      <c r="GK113" s="70"/>
      <c r="GL113" s="70"/>
      <c r="GM113" s="70"/>
      <c r="GN113" s="70"/>
      <c r="GO113" s="70"/>
      <c r="GP113" s="70"/>
      <c r="GQ113" s="70"/>
      <c r="GR113" s="70"/>
      <c r="GS113" s="70"/>
      <c r="GT113" s="70"/>
      <c r="GU113" s="70"/>
      <c r="GV113" s="70"/>
      <c r="GW113" s="70"/>
      <c r="GX113" s="70"/>
      <c r="GY113" s="70"/>
      <c r="GZ113" s="70"/>
      <c r="HA113" s="70"/>
      <c r="HB113" s="70"/>
      <c r="HC113" s="70"/>
      <c r="HD113" s="70"/>
      <c r="HE113" s="70"/>
      <c r="HF113" s="70"/>
      <c r="HG113" s="70"/>
      <c r="HH113" s="70"/>
      <c r="HI113" s="70"/>
      <c r="HJ113" s="70"/>
      <c r="HK113" s="70"/>
      <c r="HL113" s="70"/>
    </row>
    <row r="114" s="15" customFormat="1" spans="1:220">
      <c r="A114" s="26"/>
      <c r="B114" s="46" t="s">
        <v>224</v>
      </c>
      <c r="C114" s="50"/>
      <c r="D114" s="50" t="s">
        <v>225</v>
      </c>
      <c r="G114" s="53"/>
      <c r="H114" s="53"/>
      <c r="I114" s="53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  <c r="FU114" s="70"/>
      <c r="FV114" s="70"/>
      <c r="FW114" s="70"/>
      <c r="FX114" s="70"/>
      <c r="FY114" s="70"/>
      <c r="FZ114" s="70"/>
      <c r="GA114" s="70"/>
      <c r="GB114" s="70"/>
      <c r="GC114" s="70"/>
      <c r="GD114" s="70"/>
      <c r="GE114" s="70"/>
      <c r="GF114" s="70"/>
      <c r="GG114" s="70"/>
      <c r="GH114" s="70"/>
      <c r="GI114" s="70"/>
      <c r="GJ114" s="70"/>
      <c r="GK114" s="70"/>
      <c r="GL114" s="70"/>
      <c r="GM114" s="70"/>
      <c r="GN114" s="70"/>
      <c r="GO114" s="70"/>
      <c r="GP114" s="70"/>
      <c r="GQ114" s="70"/>
      <c r="GR114" s="70"/>
      <c r="GS114" s="70"/>
      <c r="GT114" s="70"/>
      <c r="GU114" s="70"/>
      <c r="GV114" s="70"/>
      <c r="GW114" s="70"/>
      <c r="GX114" s="70"/>
      <c r="GY114" s="70"/>
      <c r="GZ114" s="70"/>
      <c r="HA114" s="70"/>
      <c r="HB114" s="70"/>
      <c r="HC114" s="70"/>
      <c r="HD114" s="70"/>
      <c r="HE114" s="70"/>
      <c r="HF114" s="70"/>
      <c r="HG114" s="70"/>
      <c r="HH114" s="70"/>
      <c r="HI114" s="70"/>
      <c r="HJ114" s="70"/>
      <c r="HK114" s="70"/>
      <c r="HL114" s="70"/>
    </row>
    <row r="115" s="15" customFormat="1" spans="1:220">
      <c r="A115" s="26"/>
      <c r="B115" s="46" t="s">
        <v>226</v>
      </c>
      <c r="C115" s="50"/>
      <c r="D115" s="50" t="s">
        <v>227</v>
      </c>
      <c r="G115" s="53"/>
      <c r="H115" s="53"/>
      <c r="I115" s="53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G115" s="70"/>
      <c r="CH115" s="70"/>
      <c r="CI115" s="70"/>
      <c r="CJ115" s="70"/>
      <c r="CK115" s="70"/>
      <c r="CL115" s="70"/>
      <c r="CM115" s="70"/>
      <c r="CN115" s="70"/>
      <c r="CO115" s="70"/>
      <c r="CP115" s="70"/>
      <c r="CQ115" s="70"/>
      <c r="CR115" s="70"/>
      <c r="CS115" s="70"/>
      <c r="CT115" s="70"/>
      <c r="CU115" s="70"/>
      <c r="CV115" s="70"/>
      <c r="CW115" s="70"/>
      <c r="CX115" s="70"/>
      <c r="CY115" s="70"/>
      <c r="CZ115" s="70"/>
      <c r="DA115" s="70"/>
      <c r="DB115" s="70"/>
      <c r="DC115" s="70"/>
      <c r="DD115" s="70"/>
      <c r="DE115" s="70"/>
      <c r="DF115" s="70"/>
      <c r="DG115" s="70"/>
      <c r="DH115" s="70"/>
      <c r="DI115" s="70"/>
      <c r="DJ115" s="70"/>
      <c r="DK115" s="70"/>
      <c r="DL115" s="70"/>
      <c r="DM115" s="70"/>
      <c r="DN115" s="70"/>
      <c r="DO115" s="70"/>
      <c r="DP115" s="70"/>
      <c r="DQ115" s="70"/>
      <c r="DR115" s="70"/>
      <c r="DS115" s="70"/>
      <c r="DT115" s="70"/>
      <c r="DU115" s="70"/>
      <c r="DV115" s="70"/>
      <c r="DW115" s="70"/>
      <c r="DX115" s="70"/>
      <c r="DY115" s="70"/>
      <c r="DZ115" s="70"/>
      <c r="EA115" s="70"/>
      <c r="EB115" s="70"/>
      <c r="EC115" s="70"/>
      <c r="ED115" s="70"/>
      <c r="EE115" s="70"/>
      <c r="EF115" s="70"/>
      <c r="EG115" s="70"/>
      <c r="EH115" s="70"/>
      <c r="EI115" s="70"/>
      <c r="EJ115" s="70"/>
      <c r="EK115" s="70"/>
      <c r="EL115" s="70"/>
      <c r="EM115" s="70"/>
      <c r="EN115" s="70"/>
      <c r="EO115" s="70"/>
      <c r="EP115" s="70"/>
      <c r="EQ115" s="70"/>
      <c r="ER115" s="70"/>
      <c r="ES115" s="70"/>
      <c r="ET115" s="70"/>
      <c r="EU115" s="70"/>
      <c r="EV115" s="70"/>
      <c r="EW115" s="70"/>
      <c r="EX115" s="70"/>
      <c r="EY115" s="70"/>
      <c r="EZ115" s="70"/>
      <c r="FA115" s="70"/>
      <c r="FB115" s="70"/>
      <c r="FC115" s="70"/>
      <c r="FD115" s="70"/>
      <c r="FE115" s="70"/>
      <c r="FF115" s="70"/>
      <c r="FG115" s="70"/>
      <c r="FH115" s="70"/>
      <c r="FI115" s="70"/>
      <c r="FJ115" s="70"/>
      <c r="FK115" s="70"/>
      <c r="FL115" s="70"/>
      <c r="FM115" s="70"/>
      <c r="FN115" s="70"/>
      <c r="FO115" s="70"/>
      <c r="FP115" s="70"/>
      <c r="FQ115" s="70"/>
      <c r="FR115" s="70"/>
      <c r="FS115" s="70"/>
      <c r="FT115" s="70"/>
      <c r="FU115" s="70"/>
      <c r="FV115" s="70"/>
      <c r="FW115" s="70"/>
      <c r="FX115" s="70"/>
      <c r="FY115" s="70"/>
      <c r="FZ115" s="70"/>
      <c r="GA115" s="70"/>
      <c r="GB115" s="70"/>
      <c r="GC115" s="70"/>
      <c r="GD115" s="70"/>
      <c r="GE115" s="70"/>
      <c r="GF115" s="70"/>
      <c r="GG115" s="70"/>
      <c r="GH115" s="70"/>
      <c r="GI115" s="70"/>
      <c r="GJ115" s="70"/>
      <c r="GK115" s="70"/>
      <c r="GL115" s="70"/>
      <c r="GM115" s="70"/>
      <c r="GN115" s="70"/>
      <c r="GO115" s="70"/>
      <c r="GP115" s="70"/>
      <c r="GQ115" s="70"/>
      <c r="GR115" s="70"/>
      <c r="GS115" s="70"/>
      <c r="GT115" s="70"/>
      <c r="GU115" s="70"/>
      <c r="GV115" s="70"/>
      <c r="GW115" s="70"/>
      <c r="GX115" s="70"/>
      <c r="GY115" s="70"/>
      <c r="GZ115" s="70"/>
      <c r="HA115" s="70"/>
      <c r="HB115" s="70"/>
      <c r="HC115" s="70"/>
      <c r="HD115" s="70"/>
      <c r="HE115" s="70"/>
      <c r="HF115" s="70"/>
      <c r="HG115" s="70"/>
      <c r="HH115" s="70"/>
      <c r="HI115" s="70"/>
      <c r="HJ115" s="70"/>
      <c r="HK115" s="70"/>
      <c r="HL115" s="70"/>
    </row>
    <row r="116" s="15" customFormat="1" spans="1:220">
      <c r="A116" s="26"/>
      <c r="B116" s="46" t="s">
        <v>228</v>
      </c>
      <c r="C116" s="50"/>
      <c r="D116" s="15" t="s">
        <v>229</v>
      </c>
      <c r="G116" s="53"/>
      <c r="H116" s="53"/>
      <c r="I116" s="53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  <c r="FU116" s="70"/>
      <c r="FV116" s="70"/>
      <c r="FW116" s="70"/>
      <c r="FX116" s="70"/>
      <c r="FY116" s="70"/>
      <c r="FZ116" s="70"/>
      <c r="GA116" s="70"/>
      <c r="GB116" s="70"/>
      <c r="GC116" s="70"/>
      <c r="GD116" s="70"/>
      <c r="GE116" s="70"/>
      <c r="GF116" s="70"/>
      <c r="GG116" s="70"/>
      <c r="GH116" s="70"/>
      <c r="GI116" s="70"/>
      <c r="GJ116" s="70"/>
      <c r="GK116" s="70"/>
      <c r="GL116" s="70"/>
      <c r="GM116" s="70"/>
      <c r="GN116" s="70"/>
      <c r="GO116" s="70"/>
      <c r="GP116" s="70"/>
      <c r="GQ116" s="70"/>
      <c r="GR116" s="70"/>
      <c r="GS116" s="70"/>
      <c r="GT116" s="70"/>
      <c r="GU116" s="70"/>
      <c r="GV116" s="70"/>
      <c r="GW116" s="70"/>
      <c r="GX116" s="70"/>
      <c r="GY116" s="70"/>
      <c r="GZ116" s="70"/>
      <c r="HA116" s="70"/>
      <c r="HB116" s="70"/>
      <c r="HC116" s="70"/>
      <c r="HD116" s="70"/>
      <c r="HE116" s="70"/>
      <c r="HF116" s="70"/>
      <c r="HG116" s="70"/>
      <c r="HH116" s="70"/>
      <c r="HI116" s="70"/>
      <c r="HJ116" s="70"/>
      <c r="HK116" s="70"/>
      <c r="HL116" s="70"/>
    </row>
    <row r="117" s="15" customFormat="1" spans="1:220">
      <c r="A117" s="26"/>
      <c r="B117" s="46" t="s">
        <v>230</v>
      </c>
      <c r="C117" s="50"/>
      <c r="D117" s="50" t="s">
        <v>231</v>
      </c>
      <c r="G117" s="53"/>
      <c r="H117" s="53"/>
      <c r="I117" s="53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T117" s="70"/>
      <c r="CU117" s="70"/>
      <c r="CV117" s="70"/>
      <c r="CW117" s="70"/>
      <c r="CX117" s="70"/>
      <c r="CY117" s="70"/>
      <c r="CZ117" s="70"/>
      <c r="DA117" s="70"/>
      <c r="DB117" s="70"/>
      <c r="DC117" s="70"/>
      <c r="DD117" s="70"/>
      <c r="DE117" s="70"/>
      <c r="DF117" s="70"/>
      <c r="DG117" s="70"/>
      <c r="DH117" s="70"/>
      <c r="DI117" s="70"/>
      <c r="DJ117" s="70"/>
      <c r="DK117" s="70"/>
      <c r="DL117" s="70"/>
      <c r="DM117" s="70"/>
      <c r="DN117" s="70"/>
      <c r="DO117" s="70"/>
      <c r="DP117" s="70"/>
      <c r="DQ117" s="70"/>
      <c r="DR117" s="70"/>
      <c r="DS117" s="70"/>
      <c r="DT117" s="70"/>
      <c r="DU117" s="70"/>
      <c r="DV117" s="70"/>
      <c r="DW117" s="70"/>
      <c r="DX117" s="70"/>
      <c r="DY117" s="70"/>
      <c r="DZ117" s="70"/>
      <c r="EA117" s="70"/>
      <c r="EB117" s="70"/>
      <c r="EC117" s="70"/>
      <c r="ED117" s="70"/>
      <c r="EE117" s="70"/>
      <c r="EF117" s="70"/>
      <c r="EG117" s="70"/>
      <c r="EH117" s="70"/>
      <c r="EI117" s="70"/>
      <c r="EJ117" s="70"/>
      <c r="EK117" s="70"/>
      <c r="EL117" s="70"/>
      <c r="EM117" s="70"/>
      <c r="EN117" s="70"/>
      <c r="EO117" s="70"/>
      <c r="EP117" s="70"/>
      <c r="EQ117" s="70"/>
      <c r="ER117" s="70"/>
      <c r="ES117" s="70"/>
      <c r="ET117" s="70"/>
      <c r="EU117" s="70"/>
      <c r="EV117" s="70"/>
      <c r="EW117" s="70"/>
      <c r="EX117" s="70"/>
      <c r="EY117" s="70"/>
      <c r="EZ117" s="70"/>
      <c r="FA117" s="70"/>
      <c r="FB117" s="70"/>
      <c r="FC117" s="70"/>
      <c r="FD117" s="70"/>
      <c r="FE117" s="70"/>
      <c r="FF117" s="70"/>
      <c r="FG117" s="70"/>
      <c r="FH117" s="70"/>
      <c r="FI117" s="70"/>
      <c r="FJ117" s="70"/>
      <c r="FK117" s="70"/>
      <c r="FL117" s="70"/>
      <c r="FM117" s="70"/>
      <c r="FN117" s="70"/>
      <c r="FO117" s="70"/>
      <c r="FP117" s="70"/>
      <c r="FQ117" s="70"/>
      <c r="FR117" s="70"/>
      <c r="FS117" s="70"/>
      <c r="FT117" s="70"/>
      <c r="FU117" s="70"/>
      <c r="FV117" s="70"/>
      <c r="FW117" s="70"/>
      <c r="FX117" s="70"/>
      <c r="FY117" s="70"/>
      <c r="FZ117" s="70"/>
      <c r="GA117" s="70"/>
      <c r="GB117" s="70"/>
      <c r="GC117" s="70"/>
      <c r="GD117" s="70"/>
      <c r="GE117" s="70"/>
      <c r="GF117" s="70"/>
      <c r="GG117" s="70"/>
      <c r="GH117" s="70"/>
      <c r="GI117" s="70"/>
      <c r="GJ117" s="70"/>
      <c r="GK117" s="70"/>
      <c r="GL117" s="70"/>
      <c r="GM117" s="70"/>
      <c r="GN117" s="70"/>
      <c r="GO117" s="70"/>
      <c r="GP117" s="70"/>
      <c r="GQ117" s="70"/>
      <c r="GR117" s="70"/>
      <c r="GS117" s="70"/>
      <c r="GT117" s="70"/>
      <c r="GU117" s="70"/>
      <c r="GV117" s="70"/>
      <c r="GW117" s="70"/>
      <c r="GX117" s="70"/>
      <c r="GY117" s="70"/>
      <c r="GZ117" s="70"/>
      <c r="HA117" s="70"/>
      <c r="HB117" s="70"/>
      <c r="HC117" s="70"/>
      <c r="HD117" s="70"/>
      <c r="HE117" s="70"/>
      <c r="HF117" s="70"/>
      <c r="HG117" s="70"/>
      <c r="HH117" s="70"/>
      <c r="HI117" s="70"/>
      <c r="HJ117" s="70"/>
      <c r="HK117" s="70"/>
      <c r="HL117" s="70"/>
    </row>
    <row r="118" s="15" customFormat="1" spans="1:220">
      <c r="A118" s="26"/>
      <c r="B118" s="46" t="s">
        <v>232</v>
      </c>
      <c r="C118" s="50"/>
      <c r="D118" s="50" t="s">
        <v>233</v>
      </c>
      <c r="G118" s="53"/>
      <c r="H118" s="53"/>
      <c r="I118" s="53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T118" s="70"/>
      <c r="CU118" s="70"/>
      <c r="CV118" s="70"/>
      <c r="CW118" s="70"/>
      <c r="CX118" s="70"/>
      <c r="CY118" s="70"/>
      <c r="CZ118" s="70"/>
      <c r="DA118" s="70"/>
      <c r="DB118" s="70"/>
      <c r="DC118" s="70"/>
      <c r="DD118" s="70"/>
      <c r="DE118" s="70"/>
      <c r="DF118" s="70"/>
      <c r="DG118" s="70"/>
      <c r="DH118" s="70"/>
      <c r="DI118" s="70"/>
      <c r="DJ118" s="70"/>
      <c r="DK118" s="70"/>
      <c r="DL118" s="70"/>
      <c r="DM118" s="70"/>
      <c r="DN118" s="70"/>
      <c r="DO118" s="70"/>
      <c r="DP118" s="70"/>
      <c r="DQ118" s="70"/>
      <c r="DR118" s="70"/>
      <c r="DS118" s="70"/>
      <c r="DT118" s="70"/>
      <c r="DU118" s="70"/>
      <c r="DV118" s="70"/>
      <c r="DW118" s="70"/>
      <c r="DX118" s="70"/>
      <c r="DY118" s="70"/>
      <c r="DZ118" s="70"/>
      <c r="EA118" s="70"/>
      <c r="EB118" s="70"/>
      <c r="EC118" s="70"/>
      <c r="ED118" s="70"/>
      <c r="EE118" s="70"/>
      <c r="EF118" s="70"/>
      <c r="EG118" s="70"/>
      <c r="EH118" s="70"/>
      <c r="EI118" s="70"/>
      <c r="EJ118" s="70"/>
      <c r="EK118" s="70"/>
      <c r="EL118" s="70"/>
      <c r="EM118" s="70"/>
      <c r="EN118" s="70"/>
      <c r="EO118" s="70"/>
      <c r="EP118" s="70"/>
      <c r="EQ118" s="70"/>
      <c r="ER118" s="70"/>
      <c r="ES118" s="70"/>
      <c r="ET118" s="70"/>
      <c r="EU118" s="70"/>
      <c r="EV118" s="70"/>
      <c r="EW118" s="70"/>
      <c r="EX118" s="70"/>
      <c r="EY118" s="70"/>
      <c r="EZ118" s="70"/>
      <c r="FA118" s="70"/>
      <c r="FB118" s="70"/>
      <c r="FC118" s="70"/>
      <c r="FD118" s="70"/>
      <c r="FE118" s="70"/>
      <c r="FF118" s="70"/>
      <c r="FG118" s="70"/>
      <c r="FH118" s="70"/>
      <c r="FI118" s="70"/>
      <c r="FJ118" s="70"/>
      <c r="FK118" s="70"/>
      <c r="FL118" s="70"/>
      <c r="FM118" s="70"/>
      <c r="FN118" s="70"/>
      <c r="FO118" s="70"/>
      <c r="FP118" s="70"/>
      <c r="FQ118" s="70"/>
      <c r="FR118" s="70"/>
      <c r="FS118" s="70"/>
      <c r="FT118" s="70"/>
      <c r="FU118" s="70"/>
      <c r="FV118" s="70"/>
      <c r="FW118" s="70"/>
      <c r="FX118" s="70"/>
      <c r="FY118" s="70"/>
      <c r="FZ118" s="70"/>
      <c r="GA118" s="70"/>
      <c r="GB118" s="70"/>
      <c r="GC118" s="70"/>
      <c r="GD118" s="70"/>
      <c r="GE118" s="70"/>
      <c r="GF118" s="70"/>
      <c r="GG118" s="70"/>
      <c r="GH118" s="70"/>
      <c r="GI118" s="70"/>
      <c r="GJ118" s="70"/>
      <c r="GK118" s="70"/>
      <c r="GL118" s="70"/>
      <c r="GM118" s="70"/>
      <c r="GN118" s="70"/>
      <c r="GO118" s="70"/>
      <c r="GP118" s="70"/>
      <c r="GQ118" s="70"/>
      <c r="GR118" s="70"/>
      <c r="GS118" s="70"/>
      <c r="GT118" s="70"/>
      <c r="GU118" s="70"/>
      <c r="GV118" s="70"/>
      <c r="GW118" s="70"/>
      <c r="GX118" s="70"/>
      <c r="GY118" s="70"/>
      <c r="GZ118" s="70"/>
      <c r="HA118" s="70"/>
      <c r="HB118" s="70"/>
      <c r="HC118" s="70"/>
      <c r="HD118" s="70"/>
      <c r="HE118" s="70"/>
      <c r="HF118" s="70"/>
      <c r="HG118" s="70"/>
      <c r="HH118" s="70"/>
      <c r="HI118" s="70"/>
      <c r="HJ118" s="70"/>
      <c r="HK118" s="70"/>
      <c r="HL118" s="70"/>
    </row>
    <row r="119" s="15" customFormat="1" spans="1:220">
      <c r="A119" s="26"/>
      <c r="B119" s="46" t="s">
        <v>234</v>
      </c>
      <c r="C119" s="50"/>
      <c r="D119" s="50" t="s">
        <v>235</v>
      </c>
      <c r="G119" s="53"/>
      <c r="H119" s="53"/>
      <c r="I119" s="53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  <c r="BR119" s="70"/>
      <c r="BS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70"/>
      <c r="CM119" s="70"/>
      <c r="CN119" s="70"/>
      <c r="CO119" s="70"/>
      <c r="CP119" s="70"/>
      <c r="CQ119" s="70"/>
      <c r="CR119" s="70"/>
      <c r="CS119" s="70"/>
      <c r="CT119" s="70"/>
      <c r="CU119" s="70"/>
      <c r="CV119" s="70"/>
      <c r="CW119" s="70"/>
      <c r="CX119" s="70"/>
      <c r="CY119" s="70"/>
      <c r="CZ119" s="70"/>
      <c r="DA119" s="70"/>
      <c r="DB119" s="70"/>
      <c r="DC119" s="70"/>
      <c r="DD119" s="70"/>
      <c r="DE119" s="70"/>
      <c r="DF119" s="70"/>
      <c r="DG119" s="70"/>
      <c r="DH119" s="70"/>
      <c r="DI119" s="70"/>
      <c r="DJ119" s="70"/>
      <c r="DK119" s="70"/>
      <c r="DL119" s="70"/>
      <c r="DM119" s="70"/>
      <c r="DN119" s="70"/>
      <c r="DO119" s="70"/>
      <c r="DP119" s="70"/>
      <c r="DQ119" s="70"/>
      <c r="DR119" s="70"/>
      <c r="DS119" s="70"/>
      <c r="DT119" s="70"/>
      <c r="DU119" s="70"/>
      <c r="DV119" s="70"/>
      <c r="DW119" s="70"/>
      <c r="DX119" s="70"/>
      <c r="DY119" s="70"/>
      <c r="DZ119" s="70"/>
      <c r="EA119" s="70"/>
      <c r="EB119" s="70"/>
      <c r="EC119" s="70"/>
      <c r="ED119" s="70"/>
      <c r="EE119" s="70"/>
      <c r="EF119" s="70"/>
      <c r="EG119" s="70"/>
      <c r="EH119" s="70"/>
      <c r="EI119" s="70"/>
      <c r="EJ119" s="70"/>
      <c r="EK119" s="70"/>
      <c r="EL119" s="70"/>
      <c r="EM119" s="70"/>
      <c r="EN119" s="70"/>
      <c r="EO119" s="70"/>
      <c r="EP119" s="70"/>
      <c r="EQ119" s="70"/>
      <c r="ER119" s="70"/>
      <c r="ES119" s="70"/>
      <c r="ET119" s="70"/>
      <c r="EU119" s="70"/>
      <c r="EV119" s="70"/>
      <c r="EW119" s="70"/>
      <c r="EX119" s="70"/>
      <c r="EY119" s="70"/>
      <c r="EZ119" s="70"/>
      <c r="FA119" s="70"/>
      <c r="FB119" s="70"/>
      <c r="FC119" s="70"/>
      <c r="FD119" s="70"/>
      <c r="FE119" s="70"/>
      <c r="FF119" s="70"/>
      <c r="FG119" s="70"/>
      <c r="FH119" s="70"/>
      <c r="FI119" s="70"/>
      <c r="FJ119" s="70"/>
      <c r="FK119" s="70"/>
      <c r="FL119" s="70"/>
      <c r="FM119" s="70"/>
      <c r="FN119" s="70"/>
      <c r="FO119" s="70"/>
      <c r="FP119" s="70"/>
      <c r="FQ119" s="70"/>
      <c r="FR119" s="70"/>
      <c r="FS119" s="70"/>
      <c r="FT119" s="70"/>
      <c r="FU119" s="70"/>
      <c r="FV119" s="70"/>
      <c r="FW119" s="70"/>
      <c r="FX119" s="70"/>
      <c r="FY119" s="70"/>
      <c r="FZ119" s="70"/>
      <c r="GA119" s="70"/>
      <c r="GB119" s="70"/>
      <c r="GC119" s="70"/>
      <c r="GD119" s="70"/>
      <c r="GE119" s="70"/>
      <c r="GF119" s="70"/>
      <c r="GG119" s="70"/>
      <c r="GH119" s="70"/>
      <c r="GI119" s="70"/>
      <c r="GJ119" s="70"/>
      <c r="GK119" s="70"/>
      <c r="GL119" s="70"/>
      <c r="GM119" s="70"/>
      <c r="GN119" s="70"/>
      <c r="GO119" s="70"/>
      <c r="GP119" s="70"/>
      <c r="GQ119" s="70"/>
      <c r="GR119" s="70"/>
      <c r="GS119" s="70"/>
      <c r="GT119" s="70"/>
      <c r="GU119" s="70"/>
      <c r="GV119" s="70"/>
      <c r="GW119" s="70"/>
      <c r="GX119" s="70"/>
      <c r="GY119" s="70"/>
      <c r="GZ119" s="70"/>
      <c r="HA119" s="70"/>
      <c r="HB119" s="70"/>
      <c r="HC119" s="70"/>
      <c r="HD119" s="70"/>
      <c r="HE119" s="70"/>
      <c r="HF119" s="70"/>
      <c r="HG119" s="70"/>
      <c r="HH119" s="70"/>
      <c r="HI119" s="70"/>
      <c r="HJ119" s="70"/>
      <c r="HK119" s="70"/>
      <c r="HL119" s="70"/>
    </row>
    <row r="120" s="15" customFormat="1" spans="1:220">
      <c r="A120" s="26"/>
      <c r="B120" s="46" t="s">
        <v>236</v>
      </c>
      <c r="C120" s="50"/>
      <c r="D120" s="50" t="s">
        <v>237</v>
      </c>
      <c r="G120" s="53"/>
      <c r="H120" s="53"/>
      <c r="I120" s="53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  <c r="FU120" s="70"/>
      <c r="FV120" s="70"/>
      <c r="FW120" s="70"/>
      <c r="FX120" s="70"/>
      <c r="FY120" s="70"/>
      <c r="FZ120" s="70"/>
      <c r="GA120" s="70"/>
      <c r="GB120" s="70"/>
      <c r="GC120" s="70"/>
      <c r="GD120" s="70"/>
      <c r="GE120" s="70"/>
      <c r="GF120" s="70"/>
      <c r="GG120" s="70"/>
      <c r="GH120" s="70"/>
      <c r="GI120" s="70"/>
      <c r="GJ120" s="70"/>
      <c r="GK120" s="70"/>
      <c r="GL120" s="70"/>
      <c r="GM120" s="70"/>
      <c r="GN120" s="70"/>
      <c r="GO120" s="70"/>
      <c r="GP120" s="70"/>
      <c r="GQ120" s="70"/>
      <c r="GR120" s="70"/>
      <c r="GS120" s="70"/>
      <c r="GT120" s="70"/>
      <c r="GU120" s="70"/>
      <c r="GV120" s="70"/>
      <c r="GW120" s="70"/>
      <c r="GX120" s="70"/>
      <c r="GY120" s="70"/>
      <c r="GZ120" s="70"/>
      <c r="HA120" s="70"/>
      <c r="HB120" s="70"/>
      <c r="HC120" s="70"/>
      <c r="HD120" s="70"/>
      <c r="HE120" s="70"/>
      <c r="HF120" s="70"/>
      <c r="HG120" s="70"/>
      <c r="HH120" s="70"/>
      <c r="HI120" s="70"/>
      <c r="HJ120" s="70"/>
      <c r="HK120" s="70"/>
      <c r="HL120" s="70"/>
    </row>
    <row r="121" s="15" customFormat="1" spans="1:220">
      <c r="A121" s="26"/>
      <c r="B121" s="46" t="s">
        <v>238</v>
      </c>
      <c r="C121" s="50"/>
      <c r="D121" s="50" t="s">
        <v>239</v>
      </c>
      <c r="G121" s="53"/>
      <c r="H121" s="53"/>
      <c r="I121" s="53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0"/>
      <c r="FD121" s="70"/>
      <c r="FE121" s="70"/>
      <c r="FF121" s="70"/>
      <c r="FG121" s="70"/>
      <c r="FH121" s="70"/>
      <c r="FI121" s="70"/>
      <c r="FJ121" s="70"/>
      <c r="FK121" s="70"/>
      <c r="FL121" s="70"/>
      <c r="FM121" s="70"/>
      <c r="FN121" s="70"/>
      <c r="FO121" s="70"/>
      <c r="FP121" s="70"/>
      <c r="FQ121" s="70"/>
      <c r="FR121" s="70"/>
      <c r="FS121" s="70"/>
      <c r="FT121" s="70"/>
      <c r="FU121" s="70"/>
      <c r="FV121" s="70"/>
      <c r="FW121" s="70"/>
      <c r="FX121" s="70"/>
      <c r="FY121" s="70"/>
      <c r="FZ121" s="70"/>
      <c r="GA121" s="70"/>
      <c r="GB121" s="70"/>
      <c r="GC121" s="70"/>
      <c r="GD121" s="70"/>
      <c r="GE121" s="70"/>
      <c r="GF121" s="70"/>
      <c r="GG121" s="70"/>
      <c r="GH121" s="70"/>
      <c r="GI121" s="70"/>
      <c r="GJ121" s="70"/>
      <c r="GK121" s="70"/>
      <c r="GL121" s="70"/>
      <c r="GM121" s="70"/>
      <c r="GN121" s="70"/>
      <c r="GO121" s="70"/>
      <c r="GP121" s="70"/>
      <c r="GQ121" s="70"/>
      <c r="GR121" s="70"/>
      <c r="GS121" s="70"/>
      <c r="GT121" s="70"/>
      <c r="GU121" s="70"/>
      <c r="GV121" s="70"/>
      <c r="GW121" s="70"/>
      <c r="GX121" s="70"/>
      <c r="GY121" s="70"/>
      <c r="GZ121" s="70"/>
      <c r="HA121" s="70"/>
      <c r="HB121" s="70"/>
      <c r="HC121" s="70"/>
      <c r="HD121" s="70"/>
      <c r="HE121" s="70"/>
      <c r="HF121" s="70"/>
      <c r="HG121" s="70"/>
      <c r="HH121" s="70"/>
      <c r="HI121" s="70"/>
      <c r="HJ121" s="70"/>
      <c r="HK121" s="70"/>
      <c r="HL121" s="70"/>
    </row>
    <row r="122" s="15" customFormat="1" spans="1:220">
      <c r="A122" s="26"/>
      <c r="B122" s="46" t="s">
        <v>240</v>
      </c>
      <c r="C122" s="50"/>
      <c r="D122" s="50" t="s">
        <v>241</v>
      </c>
      <c r="G122" s="53"/>
      <c r="H122" s="53"/>
      <c r="I122" s="53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0"/>
      <c r="BS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G122" s="70"/>
      <c r="CH122" s="70"/>
      <c r="CI122" s="70"/>
      <c r="CJ122" s="70"/>
      <c r="CK122" s="70"/>
      <c r="CL122" s="70"/>
      <c r="CM122" s="70"/>
      <c r="CN122" s="70"/>
      <c r="CO122" s="70"/>
      <c r="CP122" s="70"/>
      <c r="CQ122" s="70"/>
      <c r="CR122" s="70"/>
      <c r="CS122" s="70"/>
      <c r="CT122" s="70"/>
      <c r="CU122" s="70"/>
      <c r="CV122" s="70"/>
      <c r="CW122" s="70"/>
      <c r="CX122" s="70"/>
      <c r="CY122" s="70"/>
      <c r="CZ122" s="70"/>
      <c r="DA122" s="70"/>
      <c r="DB122" s="70"/>
      <c r="DC122" s="70"/>
      <c r="DD122" s="70"/>
      <c r="DE122" s="70"/>
      <c r="DF122" s="70"/>
      <c r="DG122" s="70"/>
      <c r="DH122" s="70"/>
      <c r="DI122" s="70"/>
      <c r="DJ122" s="70"/>
      <c r="DK122" s="70"/>
      <c r="DL122" s="70"/>
      <c r="DM122" s="70"/>
      <c r="DN122" s="70"/>
      <c r="DO122" s="70"/>
      <c r="DP122" s="70"/>
      <c r="DQ122" s="70"/>
      <c r="DR122" s="70"/>
      <c r="DS122" s="70"/>
      <c r="DT122" s="70"/>
      <c r="DU122" s="70"/>
      <c r="DV122" s="70"/>
      <c r="DW122" s="70"/>
      <c r="DX122" s="70"/>
      <c r="DY122" s="70"/>
      <c r="DZ122" s="70"/>
      <c r="EA122" s="70"/>
      <c r="EB122" s="70"/>
      <c r="EC122" s="70"/>
      <c r="ED122" s="70"/>
      <c r="EE122" s="70"/>
      <c r="EF122" s="70"/>
      <c r="EG122" s="70"/>
      <c r="EH122" s="70"/>
      <c r="EI122" s="70"/>
      <c r="EJ122" s="70"/>
      <c r="EK122" s="70"/>
      <c r="EL122" s="70"/>
      <c r="EM122" s="70"/>
      <c r="EN122" s="70"/>
      <c r="EO122" s="70"/>
      <c r="EP122" s="70"/>
      <c r="EQ122" s="70"/>
      <c r="ER122" s="70"/>
      <c r="ES122" s="70"/>
      <c r="ET122" s="70"/>
      <c r="EU122" s="70"/>
      <c r="EV122" s="70"/>
      <c r="EW122" s="70"/>
      <c r="EX122" s="70"/>
      <c r="EY122" s="70"/>
      <c r="EZ122" s="70"/>
      <c r="FA122" s="70"/>
      <c r="FB122" s="70"/>
      <c r="FC122" s="70"/>
      <c r="FD122" s="70"/>
      <c r="FE122" s="70"/>
      <c r="FF122" s="70"/>
      <c r="FG122" s="70"/>
      <c r="FH122" s="70"/>
      <c r="FI122" s="70"/>
      <c r="FJ122" s="70"/>
      <c r="FK122" s="70"/>
      <c r="FL122" s="70"/>
      <c r="FM122" s="70"/>
      <c r="FN122" s="70"/>
      <c r="FO122" s="70"/>
      <c r="FP122" s="70"/>
      <c r="FQ122" s="70"/>
      <c r="FR122" s="70"/>
      <c r="FS122" s="70"/>
      <c r="FT122" s="70"/>
      <c r="FU122" s="70"/>
      <c r="FV122" s="70"/>
      <c r="FW122" s="70"/>
      <c r="FX122" s="70"/>
      <c r="FY122" s="70"/>
      <c r="FZ122" s="70"/>
      <c r="GA122" s="70"/>
      <c r="GB122" s="70"/>
      <c r="GC122" s="70"/>
      <c r="GD122" s="70"/>
      <c r="GE122" s="70"/>
      <c r="GF122" s="70"/>
      <c r="GG122" s="70"/>
      <c r="GH122" s="70"/>
      <c r="GI122" s="70"/>
      <c r="GJ122" s="70"/>
      <c r="GK122" s="70"/>
      <c r="GL122" s="70"/>
      <c r="GM122" s="70"/>
      <c r="GN122" s="70"/>
      <c r="GO122" s="70"/>
      <c r="GP122" s="70"/>
      <c r="GQ122" s="70"/>
      <c r="GR122" s="70"/>
      <c r="GS122" s="70"/>
      <c r="GT122" s="70"/>
      <c r="GU122" s="70"/>
      <c r="GV122" s="70"/>
      <c r="GW122" s="70"/>
      <c r="GX122" s="70"/>
      <c r="GY122" s="70"/>
      <c r="GZ122" s="70"/>
      <c r="HA122" s="70"/>
      <c r="HB122" s="70"/>
      <c r="HC122" s="70"/>
      <c r="HD122" s="70"/>
      <c r="HE122" s="70"/>
      <c r="HF122" s="70"/>
      <c r="HG122" s="70"/>
      <c r="HH122" s="70"/>
      <c r="HI122" s="70"/>
      <c r="HJ122" s="70"/>
      <c r="HK122" s="70"/>
      <c r="HL122" s="70"/>
    </row>
    <row r="123" s="15" customFormat="1" spans="1:220">
      <c r="A123" s="26"/>
      <c r="B123" s="46" t="s">
        <v>242</v>
      </c>
      <c r="C123" s="50"/>
      <c r="D123" s="50" t="s">
        <v>243</v>
      </c>
      <c r="G123" s="53"/>
      <c r="H123" s="53"/>
      <c r="I123" s="53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T123" s="70"/>
      <c r="CU123" s="70"/>
      <c r="CV123" s="70"/>
      <c r="CW123" s="70"/>
      <c r="CX123" s="70"/>
      <c r="CY123" s="70"/>
      <c r="CZ123" s="70"/>
      <c r="DA123" s="70"/>
      <c r="DB123" s="70"/>
      <c r="DC123" s="70"/>
      <c r="DD123" s="70"/>
      <c r="DE123" s="70"/>
      <c r="DF123" s="70"/>
      <c r="DG123" s="70"/>
      <c r="DH123" s="70"/>
      <c r="DI123" s="70"/>
      <c r="DJ123" s="70"/>
      <c r="DK123" s="70"/>
      <c r="DL123" s="70"/>
      <c r="DM123" s="70"/>
      <c r="DN123" s="70"/>
      <c r="DO123" s="70"/>
      <c r="DP123" s="70"/>
      <c r="DQ123" s="70"/>
      <c r="DR123" s="70"/>
      <c r="DS123" s="70"/>
      <c r="DT123" s="70"/>
      <c r="DU123" s="70"/>
      <c r="DV123" s="70"/>
      <c r="DW123" s="70"/>
      <c r="DX123" s="70"/>
      <c r="DY123" s="70"/>
      <c r="DZ123" s="70"/>
      <c r="EA123" s="70"/>
      <c r="EB123" s="70"/>
      <c r="EC123" s="70"/>
      <c r="ED123" s="70"/>
      <c r="EE123" s="70"/>
      <c r="EF123" s="70"/>
      <c r="EG123" s="70"/>
      <c r="EH123" s="70"/>
      <c r="EI123" s="70"/>
      <c r="EJ123" s="70"/>
      <c r="EK123" s="70"/>
      <c r="EL123" s="70"/>
      <c r="EM123" s="70"/>
      <c r="EN123" s="70"/>
      <c r="EO123" s="70"/>
      <c r="EP123" s="70"/>
      <c r="EQ123" s="70"/>
      <c r="ER123" s="70"/>
      <c r="ES123" s="70"/>
      <c r="ET123" s="70"/>
      <c r="EU123" s="70"/>
      <c r="EV123" s="70"/>
      <c r="EW123" s="70"/>
      <c r="EX123" s="70"/>
      <c r="EY123" s="70"/>
      <c r="EZ123" s="70"/>
      <c r="FA123" s="70"/>
      <c r="FB123" s="70"/>
      <c r="FC123" s="70"/>
      <c r="FD123" s="70"/>
      <c r="FE123" s="70"/>
      <c r="FF123" s="70"/>
      <c r="FG123" s="70"/>
      <c r="FH123" s="70"/>
      <c r="FI123" s="70"/>
      <c r="FJ123" s="70"/>
      <c r="FK123" s="70"/>
      <c r="FL123" s="70"/>
      <c r="FM123" s="70"/>
      <c r="FN123" s="70"/>
      <c r="FO123" s="70"/>
      <c r="FP123" s="70"/>
      <c r="FQ123" s="70"/>
      <c r="FR123" s="70"/>
      <c r="FS123" s="70"/>
      <c r="FT123" s="70"/>
      <c r="FU123" s="70"/>
      <c r="FV123" s="70"/>
      <c r="FW123" s="70"/>
      <c r="FX123" s="70"/>
      <c r="FY123" s="70"/>
      <c r="FZ123" s="70"/>
      <c r="GA123" s="70"/>
      <c r="GB123" s="70"/>
      <c r="GC123" s="70"/>
      <c r="GD123" s="70"/>
      <c r="GE123" s="70"/>
      <c r="GF123" s="70"/>
      <c r="GG123" s="70"/>
      <c r="GH123" s="70"/>
      <c r="GI123" s="70"/>
      <c r="GJ123" s="70"/>
      <c r="GK123" s="70"/>
      <c r="GL123" s="70"/>
      <c r="GM123" s="70"/>
      <c r="GN123" s="70"/>
      <c r="GO123" s="70"/>
      <c r="GP123" s="70"/>
      <c r="GQ123" s="70"/>
      <c r="GR123" s="70"/>
      <c r="GS123" s="70"/>
      <c r="GT123" s="70"/>
      <c r="GU123" s="70"/>
      <c r="GV123" s="70"/>
      <c r="GW123" s="70"/>
      <c r="GX123" s="70"/>
      <c r="GY123" s="70"/>
      <c r="GZ123" s="70"/>
      <c r="HA123" s="70"/>
      <c r="HB123" s="70"/>
      <c r="HC123" s="70"/>
      <c r="HD123" s="70"/>
      <c r="HE123" s="70"/>
      <c r="HF123" s="70"/>
      <c r="HG123" s="70"/>
      <c r="HH123" s="70"/>
      <c r="HI123" s="70"/>
      <c r="HJ123" s="70"/>
      <c r="HK123" s="70"/>
      <c r="HL123" s="70"/>
    </row>
    <row r="124" s="15" customFormat="1" ht="33" spans="1:220">
      <c r="A124" s="26"/>
      <c r="B124" s="46" t="s">
        <v>244</v>
      </c>
      <c r="C124" s="50"/>
      <c r="D124" s="15" t="s">
        <v>245</v>
      </c>
      <c r="G124" s="53"/>
      <c r="H124" s="53"/>
      <c r="I124" s="53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T124" s="70"/>
      <c r="CU124" s="70"/>
      <c r="CV124" s="70"/>
      <c r="CW124" s="70"/>
      <c r="CX124" s="70"/>
      <c r="CY124" s="70"/>
      <c r="CZ124" s="70"/>
      <c r="DA124" s="70"/>
      <c r="DB124" s="70"/>
      <c r="DC124" s="70"/>
      <c r="DD124" s="70"/>
      <c r="DE124" s="70"/>
      <c r="DF124" s="70"/>
      <c r="DG124" s="70"/>
      <c r="DH124" s="70"/>
      <c r="DI124" s="70"/>
      <c r="DJ124" s="70"/>
      <c r="DK124" s="70"/>
      <c r="DL124" s="70"/>
      <c r="DM124" s="70"/>
      <c r="DN124" s="70"/>
      <c r="DO124" s="70"/>
      <c r="DP124" s="70"/>
      <c r="DQ124" s="70"/>
      <c r="DR124" s="70"/>
      <c r="DS124" s="70"/>
      <c r="DT124" s="70"/>
      <c r="DU124" s="70"/>
      <c r="DV124" s="70"/>
      <c r="DW124" s="70"/>
      <c r="DX124" s="70"/>
      <c r="DY124" s="70"/>
      <c r="DZ124" s="70"/>
      <c r="EA124" s="70"/>
      <c r="EB124" s="70"/>
      <c r="EC124" s="70"/>
      <c r="ED124" s="70"/>
      <c r="EE124" s="70"/>
      <c r="EF124" s="70"/>
      <c r="EG124" s="70"/>
      <c r="EH124" s="70"/>
      <c r="EI124" s="70"/>
      <c r="EJ124" s="70"/>
      <c r="EK124" s="70"/>
      <c r="EL124" s="70"/>
      <c r="EM124" s="70"/>
      <c r="EN124" s="70"/>
      <c r="EO124" s="70"/>
      <c r="EP124" s="70"/>
      <c r="EQ124" s="70"/>
      <c r="ER124" s="70"/>
      <c r="ES124" s="70"/>
      <c r="ET124" s="70"/>
      <c r="EU124" s="70"/>
      <c r="EV124" s="70"/>
      <c r="EW124" s="70"/>
      <c r="EX124" s="70"/>
      <c r="EY124" s="70"/>
      <c r="EZ124" s="70"/>
      <c r="FA124" s="70"/>
      <c r="FB124" s="70"/>
      <c r="FC124" s="70"/>
      <c r="FD124" s="70"/>
      <c r="FE124" s="70"/>
      <c r="FF124" s="70"/>
      <c r="FG124" s="70"/>
      <c r="FH124" s="70"/>
      <c r="FI124" s="70"/>
      <c r="FJ124" s="70"/>
      <c r="FK124" s="70"/>
      <c r="FL124" s="70"/>
      <c r="FM124" s="70"/>
      <c r="FN124" s="70"/>
      <c r="FO124" s="70"/>
      <c r="FP124" s="70"/>
      <c r="FQ124" s="70"/>
      <c r="FR124" s="70"/>
      <c r="FS124" s="70"/>
      <c r="FT124" s="70"/>
      <c r="FU124" s="70"/>
      <c r="FV124" s="70"/>
      <c r="FW124" s="70"/>
      <c r="FX124" s="70"/>
      <c r="FY124" s="70"/>
      <c r="FZ124" s="70"/>
      <c r="GA124" s="70"/>
      <c r="GB124" s="70"/>
      <c r="GC124" s="70"/>
      <c r="GD124" s="70"/>
      <c r="GE124" s="70"/>
      <c r="GF124" s="70"/>
      <c r="GG124" s="70"/>
      <c r="GH124" s="70"/>
      <c r="GI124" s="70"/>
      <c r="GJ124" s="70"/>
      <c r="GK124" s="70"/>
      <c r="GL124" s="70"/>
      <c r="GM124" s="70"/>
      <c r="GN124" s="70"/>
      <c r="GO124" s="70"/>
      <c r="GP124" s="70"/>
      <c r="GQ124" s="70"/>
      <c r="GR124" s="70"/>
      <c r="GS124" s="70"/>
      <c r="GT124" s="70"/>
      <c r="GU124" s="70"/>
      <c r="GV124" s="70"/>
      <c r="GW124" s="70"/>
      <c r="GX124" s="70"/>
      <c r="GY124" s="70"/>
      <c r="GZ124" s="70"/>
      <c r="HA124" s="70"/>
      <c r="HB124" s="70"/>
      <c r="HC124" s="70"/>
      <c r="HD124" s="70"/>
      <c r="HE124" s="70"/>
      <c r="HF124" s="70"/>
      <c r="HG124" s="70"/>
      <c r="HH124" s="70"/>
      <c r="HI124" s="70"/>
      <c r="HJ124" s="70"/>
      <c r="HK124" s="70"/>
      <c r="HL124" s="70"/>
    </row>
    <row r="125" s="15" customFormat="1" ht="17" customHeight="1" spans="1:220">
      <c r="A125" s="26"/>
      <c r="B125" s="46" t="s">
        <v>246</v>
      </c>
      <c r="C125" s="50" t="s">
        <v>247</v>
      </c>
      <c r="D125" s="50" t="s">
        <v>248</v>
      </c>
      <c r="G125" s="53"/>
      <c r="H125" s="53"/>
      <c r="I125" s="53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  <c r="FU125" s="70"/>
      <c r="FV125" s="70"/>
      <c r="FW125" s="70"/>
      <c r="FX125" s="70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70"/>
      <c r="GX125" s="70"/>
      <c r="GY125" s="70"/>
      <c r="GZ125" s="70"/>
      <c r="HA125" s="70"/>
      <c r="HB125" s="70"/>
      <c r="HC125" s="70"/>
      <c r="HD125" s="70"/>
      <c r="HE125" s="70"/>
      <c r="HF125" s="70"/>
      <c r="HG125" s="70"/>
      <c r="HH125" s="70"/>
      <c r="HI125" s="70"/>
      <c r="HJ125" s="70"/>
      <c r="HK125" s="70"/>
      <c r="HL125" s="70"/>
    </row>
    <row r="126" spans="1:9">
      <c r="A126" s="26"/>
      <c r="B126" s="46" t="s">
        <v>249</v>
      </c>
      <c r="C126" s="50"/>
      <c r="D126" s="50" t="s">
        <v>250</v>
      </c>
      <c r="G126" s="57"/>
      <c r="H126" s="57"/>
      <c r="I126" s="57"/>
    </row>
    <row r="127" spans="1:10">
      <c r="A127" s="26"/>
      <c r="B127" s="46" t="s">
        <v>251</v>
      </c>
      <c r="C127" s="50"/>
      <c r="D127" s="50" t="s">
        <v>252</v>
      </c>
      <c r="G127" s="57"/>
      <c r="H127" s="57"/>
      <c r="I127" s="57"/>
      <c r="J127" s="13"/>
    </row>
    <row r="128" spans="1:9">
      <c r="A128" s="26"/>
      <c r="B128" s="46" t="s">
        <v>253</v>
      </c>
      <c r="C128" s="50"/>
      <c r="D128" s="50" t="s">
        <v>254</v>
      </c>
      <c r="G128" s="57"/>
      <c r="H128" s="57"/>
      <c r="I128" s="57"/>
    </row>
    <row r="129" spans="1:9">
      <c r="A129" s="26"/>
      <c r="B129" s="46" t="s">
        <v>255</v>
      </c>
      <c r="C129" s="50" t="s">
        <v>256</v>
      </c>
      <c r="D129" s="50" t="s">
        <v>257</v>
      </c>
      <c r="G129" s="57"/>
      <c r="H129" s="57"/>
      <c r="I129" s="57"/>
    </row>
    <row r="130" spans="1:10">
      <c r="A130" s="26"/>
      <c r="B130" s="46" t="s">
        <v>258</v>
      </c>
      <c r="C130" s="50"/>
      <c r="D130" s="50" t="s">
        <v>259</v>
      </c>
      <c r="G130" s="57"/>
      <c r="H130" s="57"/>
      <c r="I130" s="57"/>
      <c r="J130" s="13"/>
    </row>
    <row r="131" spans="1:9">
      <c r="A131" s="26"/>
      <c r="B131" s="46" t="s">
        <v>260</v>
      </c>
      <c r="C131" s="50"/>
      <c r="D131" s="50" t="s">
        <v>261</v>
      </c>
      <c r="G131" s="57"/>
      <c r="H131" s="57"/>
      <c r="I131" s="57"/>
    </row>
    <row r="132" spans="1:9">
      <c r="A132" s="26"/>
      <c r="B132" s="46" t="s">
        <v>262</v>
      </c>
      <c r="C132" s="50"/>
      <c r="D132" s="13" t="s">
        <v>263</v>
      </c>
      <c r="G132" s="57"/>
      <c r="H132" s="57"/>
      <c r="I132" s="57"/>
    </row>
    <row r="133" spans="1:9">
      <c r="A133" s="26"/>
      <c r="B133" s="46" t="s">
        <v>264</v>
      </c>
      <c r="C133" s="50"/>
      <c r="D133" s="13" t="s">
        <v>265</v>
      </c>
      <c r="G133" s="57"/>
      <c r="H133" s="57"/>
      <c r="I133" s="57"/>
    </row>
    <row r="134" spans="1:9">
      <c r="A134" s="26"/>
      <c r="B134" s="46" t="s">
        <v>266</v>
      </c>
      <c r="C134" s="50"/>
      <c r="D134" s="13" t="s">
        <v>267</v>
      </c>
      <c r="G134" s="57"/>
      <c r="H134" s="57"/>
      <c r="I134" s="57"/>
    </row>
    <row r="135" spans="1:9">
      <c r="A135" s="26"/>
      <c r="B135" s="46" t="s">
        <v>268</v>
      </c>
      <c r="C135" s="50"/>
      <c r="D135" s="13" t="s">
        <v>269</v>
      </c>
      <c r="G135" s="57"/>
      <c r="H135" s="57"/>
      <c r="I135" s="57"/>
    </row>
    <row r="136" ht="17" customHeight="1" spans="1:9">
      <c r="A136" s="26"/>
      <c r="B136" s="46" t="s">
        <v>270</v>
      </c>
      <c r="C136" s="50"/>
      <c r="D136" s="50" t="s">
        <v>271</v>
      </c>
      <c r="G136" s="57"/>
      <c r="H136" s="57"/>
      <c r="I136" s="57"/>
    </row>
    <row r="137" ht="17" customHeight="1" spans="1:9">
      <c r="A137" s="26"/>
      <c r="B137" s="46" t="s">
        <v>272</v>
      </c>
      <c r="C137" s="50"/>
      <c r="D137" s="50" t="s">
        <v>273</v>
      </c>
      <c r="G137" s="57"/>
      <c r="H137" s="57"/>
      <c r="I137" s="57"/>
    </row>
    <row r="138" spans="1:10">
      <c r="A138" s="26"/>
      <c r="B138" s="46" t="s">
        <v>274</v>
      </c>
      <c r="C138" s="50"/>
      <c r="D138" s="13" t="s">
        <v>275</v>
      </c>
      <c r="G138" s="57"/>
      <c r="H138" s="57"/>
      <c r="I138" s="57"/>
      <c r="J138" s="13"/>
    </row>
    <row r="139" spans="1:9">
      <c r="A139" s="26"/>
      <c r="B139" s="46" t="s">
        <v>276</v>
      </c>
      <c r="C139" s="50" t="s">
        <v>171</v>
      </c>
      <c r="D139" s="50" t="s">
        <v>277</v>
      </c>
      <c r="G139" s="57"/>
      <c r="H139" s="57"/>
      <c r="I139" s="57"/>
    </row>
    <row r="140" spans="1:9">
      <c r="A140" s="26"/>
      <c r="B140" s="46" t="s">
        <v>278</v>
      </c>
      <c r="C140" s="50"/>
      <c r="D140" s="50" t="s">
        <v>279</v>
      </c>
      <c r="G140" s="57"/>
      <c r="H140" s="57"/>
      <c r="I140" s="57"/>
    </row>
    <row r="141" spans="1:10">
      <c r="A141" s="26"/>
      <c r="B141" s="46" t="s">
        <v>280</v>
      </c>
      <c r="C141" s="50"/>
      <c r="D141" s="50" t="s">
        <v>281</v>
      </c>
      <c r="G141" s="57"/>
      <c r="H141" s="57"/>
      <c r="I141" s="57"/>
      <c r="J141" s="13"/>
    </row>
    <row r="142" ht="33" spans="1:9">
      <c r="A142" s="26"/>
      <c r="B142" s="46" t="s">
        <v>282</v>
      </c>
      <c r="C142" s="50"/>
      <c r="D142" s="50" t="s">
        <v>283</v>
      </c>
      <c r="G142" s="57"/>
      <c r="H142" s="57"/>
      <c r="I142" s="57"/>
    </row>
    <row r="143" spans="1:9">
      <c r="A143" s="26"/>
      <c r="B143" s="46" t="s">
        <v>284</v>
      </c>
      <c r="C143" s="50" t="s">
        <v>285</v>
      </c>
      <c r="D143" s="50" t="s">
        <v>286</v>
      </c>
      <c r="G143" s="57"/>
      <c r="H143" s="57"/>
      <c r="I143" s="57"/>
    </row>
    <row r="144" spans="1:10">
      <c r="A144" s="26"/>
      <c r="B144" s="46" t="s">
        <v>287</v>
      </c>
      <c r="C144" s="50"/>
      <c r="D144" s="50" t="s">
        <v>288</v>
      </c>
      <c r="G144" s="57"/>
      <c r="H144" s="57"/>
      <c r="I144" s="57"/>
      <c r="J144" s="13"/>
    </row>
    <row r="145" spans="1:9">
      <c r="A145" s="26"/>
      <c r="B145" s="46" t="s">
        <v>289</v>
      </c>
      <c r="C145" s="50"/>
      <c r="D145" s="50" t="s">
        <v>290</v>
      </c>
      <c r="G145" s="57"/>
      <c r="H145" s="57"/>
      <c r="I145" s="57"/>
    </row>
    <row r="146" spans="1:9">
      <c r="A146" s="26"/>
      <c r="B146" s="46" t="s">
        <v>291</v>
      </c>
      <c r="C146" s="50"/>
      <c r="D146" s="50" t="s">
        <v>292</v>
      </c>
      <c r="G146" s="57"/>
      <c r="H146" s="57"/>
      <c r="I146" s="57"/>
    </row>
    <row r="147" spans="1:9">
      <c r="A147" s="26"/>
      <c r="B147" s="46" t="s">
        <v>293</v>
      </c>
      <c r="C147" s="50"/>
      <c r="D147" s="50" t="s">
        <v>294</v>
      </c>
      <c r="G147" s="57"/>
      <c r="H147" s="57"/>
      <c r="I147" s="57"/>
    </row>
    <row r="148" ht="33" spans="1:9">
      <c r="A148" s="26"/>
      <c r="B148" s="46" t="s">
        <v>295</v>
      </c>
      <c r="C148" s="50"/>
      <c r="D148" s="50" t="s">
        <v>296</v>
      </c>
      <c r="G148" s="57"/>
      <c r="H148" s="57"/>
      <c r="I148" s="57"/>
    </row>
    <row r="149" spans="1:9">
      <c r="A149" s="26"/>
      <c r="B149" s="46" t="s">
        <v>297</v>
      </c>
      <c r="C149" s="50" t="s">
        <v>298</v>
      </c>
      <c r="D149" s="50" t="s">
        <v>299</v>
      </c>
      <c r="G149" s="57"/>
      <c r="H149" s="57"/>
      <c r="I149" s="57"/>
    </row>
    <row r="150" spans="1:9">
      <c r="A150" s="26"/>
      <c r="B150" s="46" t="s">
        <v>300</v>
      </c>
      <c r="C150" s="50"/>
      <c r="D150" s="50" t="s">
        <v>301</v>
      </c>
      <c r="G150" s="57"/>
      <c r="H150" s="57"/>
      <c r="I150" s="57"/>
    </row>
    <row r="151" spans="1:9">
      <c r="A151" s="26"/>
      <c r="B151" s="46" t="s">
        <v>302</v>
      </c>
      <c r="C151" s="50"/>
      <c r="D151" s="50" t="s">
        <v>303</v>
      </c>
      <c r="G151" s="57"/>
      <c r="H151" s="57"/>
      <c r="I151" s="57"/>
    </row>
    <row r="152" spans="1:9">
      <c r="A152" s="26"/>
      <c r="B152" s="46" t="s">
        <v>304</v>
      </c>
      <c r="C152" s="50"/>
      <c r="D152" s="50" t="s">
        <v>305</v>
      </c>
      <c r="G152" s="57"/>
      <c r="H152" s="57"/>
      <c r="I152" s="57"/>
    </row>
    <row r="153" spans="1:9">
      <c r="A153" s="26"/>
      <c r="B153" s="46" t="s">
        <v>306</v>
      </c>
      <c r="C153" s="50"/>
      <c r="D153" s="50" t="s">
        <v>307</v>
      </c>
      <c r="G153" s="57"/>
      <c r="H153" s="57"/>
      <c r="I153" s="57"/>
    </row>
    <row r="154" spans="1:9">
      <c r="A154" s="26"/>
      <c r="B154" s="46" t="s">
        <v>308</v>
      </c>
      <c r="C154" s="50"/>
      <c r="D154" s="50" t="s">
        <v>309</v>
      </c>
      <c r="G154" s="57"/>
      <c r="H154" s="57"/>
      <c r="I154" s="57"/>
    </row>
    <row r="155" spans="1:9">
      <c r="A155" s="26"/>
      <c r="B155" s="46" t="s">
        <v>310</v>
      </c>
      <c r="C155" s="50"/>
      <c r="D155" s="13" t="s">
        <v>311</v>
      </c>
      <c r="G155" s="57"/>
      <c r="H155" s="57"/>
      <c r="I155" s="57"/>
    </row>
    <row r="156" spans="1:9">
      <c r="A156" s="26"/>
      <c r="B156" s="46" t="s">
        <v>312</v>
      </c>
      <c r="C156" s="50" t="s">
        <v>313</v>
      </c>
      <c r="D156" s="50" t="s">
        <v>299</v>
      </c>
      <c r="G156" s="57"/>
      <c r="H156" s="57"/>
      <c r="I156" s="57"/>
    </row>
    <row r="157" spans="1:9">
      <c r="A157" s="26"/>
      <c r="B157" s="46" t="s">
        <v>314</v>
      </c>
      <c r="C157" s="50"/>
      <c r="D157" s="50" t="s">
        <v>315</v>
      </c>
      <c r="G157" s="57"/>
      <c r="H157" s="57"/>
      <c r="I157" s="57"/>
    </row>
    <row r="158" spans="1:9">
      <c r="A158" s="26"/>
      <c r="B158" s="46" t="s">
        <v>316</v>
      </c>
      <c r="C158" s="50"/>
      <c r="D158" s="50" t="s">
        <v>317</v>
      </c>
      <c r="G158" s="57"/>
      <c r="H158" s="57"/>
      <c r="I158" s="57"/>
    </row>
    <row r="159" spans="1:9">
      <c r="A159" s="26"/>
      <c r="B159" s="46" t="s">
        <v>318</v>
      </c>
      <c r="C159" s="50"/>
      <c r="D159" s="50" t="s">
        <v>319</v>
      </c>
      <c r="G159" s="57"/>
      <c r="H159" s="57"/>
      <c r="I159" s="57"/>
    </row>
    <row r="160" spans="1:9">
      <c r="A160" s="26"/>
      <c r="B160" s="46" t="s">
        <v>320</v>
      </c>
      <c r="C160" s="50"/>
      <c r="D160" s="50" t="s">
        <v>321</v>
      </c>
      <c r="G160" s="57"/>
      <c r="H160" s="57"/>
      <c r="I160" s="57"/>
    </row>
    <row r="161" spans="1:9">
      <c r="A161" s="26"/>
      <c r="B161" s="46" t="s">
        <v>322</v>
      </c>
      <c r="C161" s="50"/>
      <c r="D161" s="50" t="s">
        <v>323</v>
      </c>
      <c r="G161" s="57"/>
      <c r="H161" s="57"/>
      <c r="I161" s="57"/>
    </row>
    <row r="162" spans="1:9">
      <c r="A162" s="26"/>
      <c r="B162" s="46" t="s">
        <v>324</v>
      </c>
      <c r="C162" s="50"/>
      <c r="D162" s="13" t="s">
        <v>311</v>
      </c>
      <c r="G162" s="57"/>
      <c r="H162" s="57"/>
      <c r="I162" s="57"/>
    </row>
    <row r="163" spans="1:9">
      <c r="A163" s="26"/>
      <c r="B163" s="46" t="s">
        <v>325</v>
      </c>
      <c r="C163" s="50" t="s">
        <v>326</v>
      </c>
      <c r="D163" s="50" t="s">
        <v>299</v>
      </c>
      <c r="G163" s="57"/>
      <c r="H163" s="57"/>
      <c r="I163" s="57"/>
    </row>
    <row r="164" spans="1:9">
      <c r="A164" s="26"/>
      <c r="B164" s="46" t="s">
        <v>327</v>
      </c>
      <c r="C164" s="50"/>
      <c r="D164" s="50" t="s">
        <v>328</v>
      </c>
      <c r="G164" s="57"/>
      <c r="H164" s="57"/>
      <c r="I164" s="57"/>
    </row>
    <row r="165" spans="1:9">
      <c r="A165" s="26"/>
      <c r="B165" s="46" t="s">
        <v>329</v>
      </c>
      <c r="C165" s="50"/>
      <c r="D165" s="50" t="s">
        <v>330</v>
      </c>
      <c r="G165" s="57"/>
      <c r="H165" s="57"/>
      <c r="I165" s="57"/>
    </row>
    <row r="166" spans="1:9">
      <c r="A166" s="26"/>
      <c r="B166" s="46" t="s">
        <v>331</v>
      </c>
      <c r="C166" s="50"/>
      <c r="D166" s="13" t="s">
        <v>332</v>
      </c>
      <c r="G166" s="57"/>
      <c r="H166" s="57"/>
      <c r="I166" s="57"/>
    </row>
    <row r="167" spans="1:9">
      <c r="A167" s="26"/>
      <c r="B167" s="46" t="s">
        <v>333</v>
      </c>
      <c r="C167" s="50"/>
      <c r="D167" s="50" t="s">
        <v>307</v>
      </c>
      <c r="G167" s="57"/>
      <c r="H167" s="57"/>
      <c r="I167" s="57"/>
    </row>
    <row r="168" spans="1:9">
      <c r="A168" s="26"/>
      <c r="B168" s="46" t="s">
        <v>334</v>
      </c>
      <c r="C168" s="50"/>
      <c r="D168" s="50" t="s">
        <v>309</v>
      </c>
      <c r="G168" s="57"/>
      <c r="H168" s="57"/>
      <c r="I168" s="57"/>
    </row>
    <row r="169" spans="1:9">
      <c r="A169" s="26"/>
      <c r="B169" s="46" t="s">
        <v>335</v>
      </c>
      <c r="C169" s="50"/>
      <c r="D169" s="13" t="s">
        <v>311</v>
      </c>
      <c r="G169" s="57"/>
      <c r="H169" s="57"/>
      <c r="I169" s="57"/>
    </row>
    <row r="170" spans="1:9">
      <c r="A170" s="26"/>
      <c r="B170" s="46" t="s">
        <v>336</v>
      </c>
      <c r="C170" s="50" t="s">
        <v>337</v>
      </c>
      <c r="D170" s="50" t="s">
        <v>299</v>
      </c>
      <c r="G170" s="57"/>
      <c r="H170" s="57"/>
      <c r="I170" s="57"/>
    </row>
    <row r="171" spans="1:9">
      <c r="A171" s="26"/>
      <c r="B171" s="46" t="s">
        <v>338</v>
      </c>
      <c r="C171" s="50"/>
      <c r="D171" s="50" t="s">
        <v>301</v>
      </c>
      <c r="G171" s="57"/>
      <c r="H171" s="57"/>
      <c r="I171" s="57"/>
    </row>
    <row r="172" spans="1:9">
      <c r="A172" s="26"/>
      <c r="B172" s="46" t="s">
        <v>339</v>
      </c>
      <c r="C172" s="50"/>
      <c r="D172" s="50" t="s">
        <v>340</v>
      </c>
      <c r="G172" s="57"/>
      <c r="H172" s="57"/>
      <c r="I172" s="57"/>
    </row>
    <row r="173" spans="1:9">
      <c r="A173" s="26"/>
      <c r="B173" s="46" t="s">
        <v>341</v>
      </c>
      <c r="C173" s="50"/>
      <c r="D173" s="13" t="s">
        <v>342</v>
      </c>
      <c r="G173" s="57"/>
      <c r="H173" s="57"/>
      <c r="I173" s="57"/>
    </row>
    <row r="174" spans="1:9">
      <c r="A174" s="26"/>
      <c r="B174" s="46" t="s">
        <v>343</v>
      </c>
      <c r="C174" s="50"/>
      <c r="D174" s="50" t="s">
        <v>344</v>
      </c>
      <c r="G174" s="57"/>
      <c r="H174" s="57"/>
      <c r="I174" s="57"/>
    </row>
    <row r="175" spans="1:9">
      <c r="A175" s="26"/>
      <c r="B175" s="46" t="s">
        <v>345</v>
      </c>
      <c r="C175" s="50"/>
      <c r="D175" s="50" t="s">
        <v>346</v>
      </c>
      <c r="G175" s="57"/>
      <c r="H175" s="57"/>
      <c r="I175" s="57"/>
    </row>
    <row r="176" spans="1:9">
      <c r="A176" s="26"/>
      <c r="B176" s="46" t="s">
        <v>347</v>
      </c>
      <c r="C176" s="50"/>
      <c r="D176" s="13" t="s">
        <v>311</v>
      </c>
      <c r="G176" s="57"/>
      <c r="H176" s="57"/>
      <c r="I176" s="57"/>
    </row>
    <row r="177" spans="1:9">
      <c r="A177" s="26"/>
      <c r="B177" s="46" t="s">
        <v>348</v>
      </c>
      <c r="C177" s="50" t="s">
        <v>349</v>
      </c>
      <c r="D177" s="50" t="s">
        <v>299</v>
      </c>
      <c r="G177" s="57"/>
      <c r="H177" s="57"/>
      <c r="I177" s="57"/>
    </row>
    <row r="178" spans="1:9">
      <c r="A178" s="26"/>
      <c r="B178" s="46" t="s">
        <v>350</v>
      </c>
      <c r="C178" s="50"/>
      <c r="D178" s="50" t="s">
        <v>315</v>
      </c>
      <c r="G178" s="57"/>
      <c r="H178" s="57"/>
      <c r="I178" s="57"/>
    </row>
    <row r="179" spans="1:9">
      <c r="A179" s="26"/>
      <c r="B179" s="46" t="s">
        <v>351</v>
      </c>
      <c r="C179" s="50"/>
      <c r="D179" s="50" t="s">
        <v>340</v>
      </c>
      <c r="G179" s="57"/>
      <c r="H179" s="57"/>
      <c r="I179" s="57"/>
    </row>
    <row r="180" spans="1:9">
      <c r="A180" s="26"/>
      <c r="B180" s="46" t="s">
        <v>352</v>
      </c>
      <c r="C180" s="50"/>
      <c r="D180" s="13" t="s">
        <v>353</v>
      </c>
      <c r="G180" s="57"/>
      <c r="H180" s="57"/>
      <c r="I180" s="57"/>
    </row>
    <row r="181" spans="1:9">
      <c r="A181" s="26"/>
      <c r="B181" s="46" t="s">
        <v>354</v>
      </c>
      <c r="C181" s="50"/>
      <c r="D181" s="50" t="s">
        <v>355</v>
      </c>
      <c r="G181" s="57"/>
      <c r="H181" s="57"/>
      <c r="I181" s="57"/>
    </row>
    <row r="182" spans="1:9">
      <c r="A182" s="26"/>
      <c r="B182" s="46" t="s">
        <v>356</v>
      </c>
      <c r="C182" s="50"/>
      <c r="D182" s="50" t="s">
        <v>357</v>
      </c>
      <c r="G182" s="57"/>
      <c r="H182" s="57"/>
      <c r="I182" s="57"/>
    </row>
    <row r="183" spans="1:9">
      <c r="A183" s="26"/>
      <c r="B183" s="46" t="s">
        <v>358</v>
      </c>
      <c r="C183" s="50"/>
      <c r="D183" s="13" t="s">
        <v>311</v>
      </c>
      <c r="G183" s="57"/>
      <c r="H183" s="57"/>
      <c r="I183" s="57"/>
    </row>
    <row r="184" spans="1:9">
      <c r="A184" s="26"/>
      <c r="B184" s="46" t="s">
        <v>359</v>
      </c>
      <c r="C184" s="50" t="s">
        <v>360</v>
      </c>
      <c r="D184" s="50" t="s">
        <v>299</v>
      </c>
      <c r="G184" s="57"/>
      <c r="H184" s="57"/>
      <c r="I184" s="57"/>
    </row>
    <row r="185" spans="1:9">
      <c r="A185" s="26"/>
      <c r="B185" s="46" t="s">
        <v>361</v>
      </c>
      <c r="C185" s="50"/>
      <c r="D185" s="50" t="s">
        <v>328</v>
      </c>
      <c r="G185" s="57"/>
      <c r="H185" s="57"/>
      <c r="I185" s="57"/>
    </row>
    <row r="186" spans="1:9">
      <c r="A186" s="26"/>
      <c r="B186" s="46" t="s">
        <v>362</v>
      </c>
      <c r="C186" s="50"/>
      <c r="D186" s="50" t="s">
        <v>363</v>
      </c>
      <c r="G186" s="57"/>
      <c r="H186" s="57"/>
      <c r="I186" s="57"/>
    </row>
    <row r="187" spans="1:9">
      <c r="A187" s="26"/>
      <c r="B187" s="46" t="s">
        <v>364</v>
      </c>
      <c r="C187" s="50"/>
      <c r="D187" s="13" t="s">
        <v>365</v>
      </c>
      <c r="G187" s="57"/>
      <c r="H187" s="57"/>
      <c r="I187" s="57"/>
    </row>
    <row r="188" spans="1:9">
      <c r="A188" s="26"/>
      <c r="B188" s="46" t="s">
        <v>366</v>
      </c>
      <c r="C188" s="50"/>
      <c r="D188" s="50" t="s">
        <v>355</v>
      </c>
      <c r="G188" s="57"/>
      <c r="H188" s="57"/>
      <c r="I188" s="57"/>
    </row>
    <row r="189" spans="1:9">
      <c r="A189" s="26"/>
      <c r="B189" s="46" t="s">
        <v>367</v>
      </c>
      <c r="C189" s="50"/>
      <c r="D189" s="50" t="s">
        <v>357</v>
      </c>
      <c r="G189" s="57"/>
      <c r="H189" s="57"/>
      <c r="I189" s="57"/>
    </row>
    <row r="190" spans="1:9">
      <c r="A190" s="26"/>
      <c r="B190" s="46" t="s">
        <v>368</v>
      </c>
      <c r="C190" s="50"/>
      <c r="D190" s="13" t="s">
        <v>311</v>
      </c>
      <c r="G190" s="57"/>
      <c r="H190" s="57"/>
      <c r="I190" s="57"/>
    </row>
    <row r="191" spans="1:9">
      <c r="A191" s="26"/>
      <c r="B191" s="46" t="s">
        <v>369</v>
      </c>
      <c r="C191" s="50" t="s">
        <v>370</v>
      </c>
      <c r="D191" s="50" t="s">
        <v>299</v>
      </c>
      <c r="G191" s="57"/>
      <c r="H191" s="57"/>
      <c r="I191" s="57"/>
    </row>
    <row r="192" spans="1:9">
      <c r="A192" s="26"/>
      <c r="B192" s="46" t="s">
        <v>371</v>
      </c>
      <c r="C192" s="50"/>
      <c r="D192" s="50" t="s">
        <v>315</v>
      </c>
      <c r="G192" s="57"/>
      <c r="H192" s="57"/>
      <c r="I192" s="57"/>
    </row>
    <row r="193" spans="1:9">
      <c r="A193" s="26"/>
      <c r="B193" s="46" t="s">
        <v>372</v>
      </c>
      <c r="C193" s="50"/>
      <c r="D193" s="50" t="s">
        <v>373</v>
      </c>
      <c r="G193" s="57"/>
      <c r="H193" s="57"/>
      <c r="I193" s="57"/>
    </row>
    <row r="194" spans="1:9">
      <c r="A194" s="26"/>
      <c r="B194" s="46" t="s">
        <v>374</v>
      </c>
      <c r="C194" s="50"/>
      <c r="D194" s="13" t="s">
        <v>375</v>
      </c>
      <c r="G194" s="57"/>
      <c r="H194" s="57"/>
      <c r="I194" s="57"/>
    </row>
    <row r="195" spans="1:9">
      <c r="A195" s="26"/>
      <c r="B195" s="46" t="s">
        <v>376</v>
      </c>
      <c r="C195" s="50"/>
      <c r="D195" s="50" t="s">
        <v>377</v>
      </c>
      <c r="G195" s="57"/>
      <c r="H195" s="57"/>
      <c r="I195" s="57"/>
    </row>
    <row r="196" spans="1:9">
      <c r="A196" s="26"/>
      <c r="B196" s="46" t="s">
        <v>378</v>
      </c>
      <c r="C196" s="50"/>
      <c r="D196" s="13" t="s">
        <v>379</v>
      </c>
      <c r="G196" s="57"/>
      <c r="H196" s="57"/>
      <c r="I196" s="57"/>
    </row>
    <row r="197" spans="1:9">
      <c r="A197" s="26"/>
      <c r="B197" s="46" t="s">
        <v>380</v>
      </c>
      <c r="C197" s="50" t="s">
        <v>381</v>
      </c>
      <c r="D197" s="50" t="s">
        <v>299</v>
      </c>
      <c r="G197" s="57"/>
      <c r="H197" s="57"/>
      <c r="I197" s="57"/>
    </row>
    <row r="198" spans="1:9">
      <c r="A198" s="26"/>
      <c r="B198" s="46" t="s">
        <v>382</v>
      </c>
      <c r="C198" s="50"/>
      <c r="D198" s="50" t="s">
        <v>301</v>
      </c>
      <c r="G198" s="57"/>
      <c r="H198" s="57"/>
      <c r="I198" s="57"/>
    </row>
    <row r="199" spans="1:9">
      <c r="A199" s="26"/>
      <c r="B199" s="46" t="s">
        <v>383</v>
      </c>
      <c r="C199" s="50"/>
      <c r="D199" s="50" t="s">
        <v>384</v>
      </c>
      <c r="G199" s="57"/>
      <c r="H199" s="57"/>
      <c r="I199" s="57"/>
    </row>
    <row r="200" spans="1:9">
      <c r="A200" s="26"/>
      <c r="B200" s="46" t="s">
        <v>385</v>
      </c>
      <c r="C200" s="50"/>
      <c r="D200" s="50" t="s">
        <v>386</v>
      </c>
      <c r="G200" s="57"/>
      <c r="H200" s="57"/>
      <c r="I200" s="57"/>
    </row>
    <row r="201" spans="1:9">
      <c r="A201" s="26"/>
      <c r="B201" s="46" t="s">
        <v>387</v>
      </c>
      <c r="C201" s="50"/>
      <c r="D201" s="50" t="s">
        <v>388</v>
      </c>
      <c r="G201" s="57"/>
      <c r="H201" s="57"/>
      <c r="I201" s="57"/>
    </row>
    <row r="202" spans="1:9">
      <c r="A202" s="26"/>
      <c r="B202" s="46" t="s">
        <v>389</v>
      </c>
      <c r="C202" s="50"/>
      <c r="D202" s="13" t="s">
        <v>311</v>
      </c>
      <c r="G202" s="57"/>
      <c r="H202" s="57"/>
      <c r="I202" s="57"/>
    </row>
    <row r="203" spans="1:9">
      <c r="A203" s="26"/>
      <c r="B203" s="46" t="s">
        <v>390</v>
      </c>
      <c r="C203" s="50" t="s">
        <v>391</v>
      </c>
      <c r="D203" s="50" t="s">
        <v>392</v>
      </c>
      <c r="G203" s="57"/>
      <c r="H203" s="57"/>
      <c r="I203" s="57"/>
    </row>
    <row r="204" spans="1:9">
      <c r="A204" s="26"/>
      <c r="B204" s="46" t="s">
        <v>393</v>
      </c>
      <c r="C204" s="50"/>
      <c r="D204" s="50" t="s">
        <v>301</v>
      </c>
      <c r="G204" s="57"/>
      <c r="H204" s="57"/>
      <c r="I204" s="57"/>
    </row>
    <row r="205" spans="1:9">
      <c r="A205" s="26"/>
      <c r="B205" s="46" t="s">
        <v>394</v>
      </c>
      <c r="C205" s="50"/>
      <c r="D205" s="50" t="s">
        <v>363</v>
      </c>
      <c r="G205" s="57"/>
      <c r="H205" s="57"/>
      <c r="I205" s="57"/>
    </row>
    <row r="206" spans="1:9">
      <c r="A206" s="26"/>
      <c r="B206" s="46" t="s">
        <v>395</v>
      </c>
      <c r="C206" s="50"/>
      <c r="D206" s="50" t="s">
        <v>355</v>
      </c>
      <c r="G206" s="57"/>
      <c r="H206" s="57"/>
      <c r="I206" s="57"/>
    </row>
    <row r="207" spans="1:9">
      <c r="A207" s="26"/>
      <c r="B207" s="46" t="s">
        <v>396</v>
      </c>
      <c r="C207" s="50" t="s">
        <v>397</v>
      </c>
      <c r="D207" s="50" t="s">
        <v>398</v>
      </c>
      <c r="G207" s="57"/>
      <c r="H207" s="57"/>
      <c r="I207" s="57"/>
    </row>
    <row r="208" spans="1:9">
      <c r="A208" s="26"/>
      <c r="B208" s="46" t="s">
        <v>399</v>
      </c>
      <c r="C208" s="50"/>
      <c r="D208" s="50" t="s">
        <v>328</v>
      </c>
      <c r="G208" s="57"/>
      <c r="H208" s="57"/>
      <c r="I208" s="57"/>
    </row>
    <row r="209" spans="1:9">
      <c r="A209" s="26"/>
      <c r="B209" s="46" t="s">
        <v>400</v>
      </c>
      <c r="C209" s="50"/>
      <c r="D209" s="50" t="s">
        <v>384</v>
      </c>
      <c r="G209" s="57"/>
      <c r="H209" s="57"/>
      <c r="I209" s="57"/>
    </row>
    <row r="210" spans="1:9">
      <c r="A210" s="26"/>
      <c r="B210" s="46" t="s">
        <v>401</v>
      </c>
      <c r="C210" s="50"/>
      <c r="D210" s="50" t="s">
        <v>344</v>
      </c>
      <c r="G210" s="57"/>
      <c r="H210" s="57"/>
      <c r="I210" s="57"/>
    </row>
    <row r="211" ht="33" spans="1:9">
      <c r="A211" s="26"/>
      <c r="B211" s="46" t="s">
        <v>402</v>
      </c>
      <c r="C211" s="50" t="s">
        <v>403</v>
      </c>
      <c r="D211" s="50" t="s">
        <v>404</v>
      </c>
      <c r="G211" s="57"/>
      <c r="H211" s="57"/>
      <c r="I211" s="57"/>
    </row>
    <row r="212" spans="1:9">
      <c r="A212" s="26"/>
      <c r="B212" s="46" t="s">
        <v>405</v>
      </c>
      <c r="C212" s="50"/>
      <c r="D212" s="50" t="s">
        <v>328</v>
      </c>
      <c r="G212" s="57"/>
      <c r="H212" s="57"/>
      <c r="I212" s="57"/>
    </row>
    <row r="213" spans="1:9">
      <c r="A213" s="26"/>
      <c r="B213" s="46" t="s">
        <v>406</v>
      </c>
      <c r="C213" s="50"/>
      <c r="D213" s="50" t="s">
        <v>384</v>
      </c>
      <c r="G213" s="57"/>
      <c r="H213" s="57"/>
      <c r="I213" s="57"/>
    </row>
    <row r="214" spans="1:9">
      <c r="A214" s="26"/>
      <c r="B214" s="46" t="s">
        <v>407</v>
      </c>
      <c r="C214" s="50"/>
      <c r="D214" s="50" t="s">
        <v>344</v>
      </c>
      <c r="G214" s="57"/>
      <c r="H214" s="57"/>
      <c r="I214" s="57"/>
    </row>
    <row r="215" spans="1:9">
      <c r="A215" s="26"/>
      <c r="B215" s="46" t="s">
        <v>408</v>
      </c>
      <c r="C215" s="50" t="s">
        <v>409</v>
      </c>
      <c r="D215" s="50" t="s">
        <v>299</v>
      </c>
      <c r="G215" s="57"/>
      <c r="H215" s="57"/>
      <c r="I215" s="57"/>
    </row>
    <row r="216" spans="1:9">
      <c r="A216" s="26"/>
      <c r="B216" s="46" t="s">
        <v>410</v>
      </c>
      <c r="C216" s="50"/>
      <c r="D216" s="50" t="s">
        <v>328</v>
      </c>
      <c r="G216" s="57"/>
      <c r="H216" s="57"/>
      <c r="I216" s="57"/>
    </row>
    <row r="217" spans="1:9">
      <c r="A217" s="26"/>
      <c r="B217" s="46" t="s">
        <v>411</v>
      </c>
      <c r="C217" s="50"/>
      <c r="D217" s="50" t="s">
        <v>412</v>
      </c>
      <c r="G217" s="57"/>
      <c r="H217" s="57"/>
      <c r="I217" s="57"/>
    </row>
    <row r="218" spans="1:9">
      <c r="A218" s="26"/>
      <c r="B218" s="46" t="s">
        <v>413</v>
      </c>
      <c r="C218" s="50"/>
      <c r="D218" s="13" t="s">
        <v>414</v>
      </c>
      <c r="G218" s="57"/>
      <c r="H218" s="57"/>
      <c r="I218" s="57"/>
    </row>
    <row r="219" spans="1:9">
      <c r="A219" s="26"/>
      <c r="B219" s="46" t="s">
        <v>415</v>
      </c>
      <c r="C219" s="50"/>
      <c r="D219" s="50" t="s">
        <v>416</v>
      </c>
      <c r="G219" s="57"/>
      <c r="H219" s="57"/>
      <c r="I219" s="57"/>
    </row>
    <row r="220" spans="1:9">
      <c r="A220" s="26"/>
      <c r="B220" s="46" t="s">
        <v>417</v>
      </c>
      <c r="C220" s="50" t="s">
        <v>418</v>
      </c>
      <c r="D220" s="50" t="s">
        <v>299</v>
      </c>
      <c r="G220" s="57"/>
      <c r="H220" s="57"/>
      <c r="I220" s="57"/>
    </row>
    <row r="221" spans="1:9">
      <c r="A221" s="26"/>
      <c r="B221" s="46" t="s">
        <v>419</v>
      </c>
      <c r="C221" s="50"/>
      <c r="D221" s="50" t="s">
        <v>328</v>
      </c>
      <c r="G221" s="57"/>
      <c r="H221" s="57"/>
      <c r="I221" s="57"/>
    </row>
    <row r="222" spans="1:9">
      <c r="A222" s="26"/>
      <c r="B222" s="46" t="s">
        <v>420</v>
      </c>
      <c r="C222" s="50"/>
      <c r="D222" s="50" t="s">
        <v>421</v>
      </c>
      <c r="G222" s="57"/>
      <c r="H222" s="57"/>
      <c r="I222" s="57"/>
    </row>
    <row r="223" spans="1:9">
      <c r="A223" s="26"/>
      <c r="B223" s="46" t="s">
        <v>422</v>
      </c>
      <c r="C223" s="50"/>
      <c r="D223" s="13" t="s">
        <v>423</v>
      </c>
      <c r="G223" s="57"/>
      <c r="H223" s="57"/>
      <c r="I223" s="57"/>
    </row>
    <row r="224" spans="1:9">
      <c r="A224" s="26"/>
      <c r="B224" s="46" t="s">
        <v>424</v>
      </c>
      <c r="C224" s="50" t="s">
        <v>425</v>
      </c>
      <c r="D224" s="50" t="s">
        <v>426</v>
      </c>
      <c r="G224" s="57"/>
      <c r="H224" s="57"/>
      <c r="I224" s="57"/>
    </row>
    <row r="225" spans="1:9">
      <c r="A225" s="26"/>
      <c r="B225" s="46" t="s">
        <v>427</v>
      </c>
      <c r="C225" s="50"/>
      <c r="D225" s="50" t="s">
        <v>301</v>
      </c>
      <c r="G225" s="57"/>
      <c r="H225" s="57"/>
      <c r="I225" s="57"/>
    </row>
    <row r="226" spans="1:9">
      <c r="A226" s="26"/>
      <c r="B226" s="46" t="s">
        <v>428</v>
      </c>
      <c r="C226" s="50"/>
      <c r="D226" s="50" t="s">
        <v>384</v>
      </c>
      <c r="G226" s="57"/>
      <c r="H226" s="57"/>
      <c r="I226" s="57"/>
    </row>
    <row r="227" spans="1:9">
      <c r="A227" s="26"/>
      <c r="B227" s="46" t="s">
        <v>429</v>
      </c>
      <c r="C227" s="50"/>
      <c r="D227" s="13" t="s">
        <v>355</v>
      </c>
      <c r="G227" s="57"/>
      <c r="H227" s="57"/>
      <c r="I227" s="57"/>
    </row>
    <row r="228" spans="1:9">
      <c r="A228" s="26"/>
      <c r="B228" s="46" t="s">
        <v>430</v>
      </c>
      <c r="C228" s="50" t="s">
        <v>431</v>
      </c>
      <c r="D228" s="50" t="s">
        <v>432</v>
      </c>
      <c r="G228" s="57"/>
      <c r="H228" s="57"/>
      <c r="I228" s="57"/>
    </row>
    <row r="229" spans="1:9">
      <c r="A229" s="26"/>
      <c r="B229" s="46" t="s">
        <v>433</v>
      </c>
      <c r="C229" s="50"/>
      <c r="D229" s="50" t="s">
        <v>328</v>
      </c>
      <c r="G229" s="57"/>
      <c r="H229" s="57"/>
      <c r="I229" s="57"/>
    </row>
    <row r="230" spans="1:9">
      <c r="A230" s="26"/>
      <c r="B230" s="46" t="s">
        <v>434</v>
      </c>
      <c r="C230" s="50"/>
      <c r="D230" s="50" t="s">
        <v>384</v>
      </c>
      <c r="G230" s="57"/>
      <c r="H230" s="57"/>
      <c r="I230" s="57"/>
    </row>
    <row r="231" s="20" customFormat="1" spans="1:220">
      <c r="A231" s="74" t="s">
        <v>435</v>
      </c>
      <c r="B231" s="75"/>
      <c r="C231" s="75"/>
      <c r="D231" s="75"/>
      <c r="E231" s="75"/>
      <c r="F231" s="75"/>
      <c r="G231" s="75"/>
      <c r="H231" s="75"/>
      <c r="I231" s="75"/>
      <c r="J231" s="79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80"/>
      <c r="CL231" s="80"/>
      <c r="CM231" s="80"/>
      <c r="CN231" s="80"/>
      <c r="CO231" s="80"/>
      <c r="CP231" s="80"/>
      <c r="CQ231" s="80"/>
      <c r="CR231" s="80"/>
      <c r="CS231" s="80"/>
      <c r="CT231" s="80"/>
      <c r="CU231" s="80"/>
      <c r="CV231" s="80"/>
      <c r="CW231" s="80"/>
      <c r="CX231" s="80"/>
      <c r="CY231" s="80"/>
      <c r="CZ231" s="80"/>
      <c r="DA231" s="80"/>
      <c r="DB231" s="80"/>
      <c r="DC231" s="80"/>
      <c r="DD231" s="80"/>
      <c r="DE231" s="80"/>
      <c r="DF231" s="80"/>
      <c r="DG231" s="80"/>
      <c r="DH231" s="80"/>
      <c r="DI231" s="80"/>
      <c r="DJ231" s="80"/>
      <c r="DK231" s="80"/>
      <c r="DL231" s="80"/>
      <c r="DM231" s="80"/>
      <c r="DN231" s="80"/>
      <c r="DO231" s="80"/>
      <c r="DP231" s="80"/>
      <c r="DQ231" s="80"/>
      <c r="DR231" s="80"/>
      <c r="DS231" s="80"/>
      <c r="DT231" s="80"/>
      <c r="DU231" s="80"/>
      <c r="DV231" s="80"/>
      <c r="DW231" s="80"/>
      <c r="DX231" s="80"/>
      <c r="DY231" s="80"/>
      <c r="DZ231" s="80"/>
      <c r="EA231" s="80"/>
      <c r="EB231" s="80"/>
      <c r="EC231" s="80"/>
      <c r="ED231" s="80"/>
      <c r="EE231" s="80"/>
      <c r="EF231" s="80"/>
      <c r="EG231" s="80"/>
      <c r="EH231" s="80"/>
      <c r="EI231" s="80"/>
      <c r="EJ231" s="80"/>
      <c r="EK231" s="80"/>
      <c r="EL231" s="80"/>
      <c r="EM231" s="80"/>
      <c r="EN231" s="80"/>
      <c r="EO231" s="80"/>
      <c r="EP231" s="80"/>
      <c r="EQ231" s="80"/>
      <c r="ER231" s="80"/>
      <c r="ES231" s="80"/>
      <c r="ET231" s="80"/>
      <c r="EU231" s="80"/>
      <c r="EV231" s="80"/>
      <c r="EW231" s="80"/>
      <c r="EX231" s="80"/>
      <c r="EY231" s="80"/>
      <c r="EZ231" s="80"/>
      <c r="FA231" s="80"/>
      <c r="FB231" s="80"/>
      <c r="FC231" s="80"/>
      <c r="FD231" s="80"/>
      <c r="FE231" s="80"/>
      <c r="FF231" s="80"/>
      <c r="FG231" s="80"/>
      <c r="FH231" s="80"/>
      <c r="FI231" s="80"/>
      <c r="FJ231" s="80"/>
      <c r="FK231" s="80"/>
      <c r="FL231" s="80"/>
      <c r="FM231" s="80"/>
      <c r="FN231" s="80"/>
      <c r="FO231" s="80"/>
      <c r="FP231" s="80"/>
      <c r="FQ231" s="80"/>
      <c r="FR231" s="80"/>
      <c r="FS231" s="80"/>
      <c r="FT231" s="80"/>
      <c r="FU231" s="80"/>
      <c r="FV231" s="80"/>
      <c r="FW231" s="80"/>
      <c r="FX231" s="80"/>
      <c r="FY231" s="80"/>
      <c r="FZ231" s="80"/>
      <c r="GA231" s="80"/>
      <c r="GB231" s="80"/>
      <c r="GC231" s="80"/>
      <c r="GD231" s="80"/>
      <c r="GE231" s="80"/>
      <c r="GF231" s="80"/>
      <c r="GG231" s="80"/>
      <c r="GH231" s="80"/>
      <c r="GI231" s="80"/>
      <c r="GJ231" s="80"/>
      <c r="GK231" s="80"/>
      <c r="GL231" s="80"/>
      <c r="GM231" s="80"/>
      <c r="GN231" s="80"/>
      <c r="GO231" s="80"/>
      <c r="GP231" s="80"/>
      <c r="GQ231" s="80"/>
      <c r="GR231" s="80"/>
      <c r="GS231" s="80"/>
      <c r="GT231" s="80"/>
      <c r="GU231" s="80"/>
      <c r="GV231" s="80"/>
      <c r="GW231" s="80"/>
      <c r="GX231" s="80"/>
      <c r="GY231" s="80"/>
      <c r="GZ231" s="80"/>
      <c r="HA231" s="80"/>
      <c r="HB231" s="80"/>
      <c r="HC231" s="80"/>
      <c r="HD231" s="80"/>
      <c r="HE231" s="80"/>
      <c r="HF231" s="80"/>
      <c r="HG231" s="80"/>
      <c r="HH231" s="80"/>
      <c r="HI231" s="80"/>
      <c r="HJ231" s="80"/>
      <c r="HK231" s="80"/>
      <c r="HL231" s="80"/>
    </row>
    <row r="232" ht="13.5" customHeight="1" spans="1:10">
      <c r="A232" s="76" t="s">
        <v>30</v>
      </c>
      <c r="B232" s="77" t="s">
        <v>31</v>
      </c>
      <c r="C232" s="43" t="s">
        <v>32</v>
      </c>
      <c r="D232" s="28" t="s">
        <v>33</v>
      </c>
      <c r="E232" s="77" t="s">
        <v>34</v>
      </c>
      <c r="F232" s="77" t="s">
        <v>35</v>
      </c>
      <c r="G232" s="77" t="s">
        <v>36</v>
      </c>
      <c r="H232" s="77"/>
      <c r="I232" s="77"/>
      <c r="J232" s="69" t="s">
        <v>6</v>
      </c>
    </row>
    <row r="233" spans="1:10">
      <c r="A233" s="78"/>
      <c r="B233" s="46" t="s">
        <v>436</v>
      </c>
      <c r="C233" s="50" t="s">
        <v>437</v>
      </c>
      <c r="D233" s="50" t="s">
        <v>438</v>
      </c>
      <c r="G233" s="57"/>
      <c r="H233" s="57"/>
      <c r="I233" s="57"/>
      <c r="J233" s="13"/>
    </row>
    <row r="234" spans="1:9">
      <c r="A234" s="78"/>
      <c r="B234" s="46" t="s">
        <v>439</v>
      </c>
      <c r="C234" s="50"/>
      <c r="D234" s="50" t="s">
        <v>440</v>
      </c>
      <c r="G234" s="57"/>
      <c r="H234" s="57"/>
      <c r="I234" s="57"/>
    </row>
    <row r="235" spans="1:9">
      <c r="A235" s="78"/>
      <c r="B235" s="46" t="s">
        <v>441</v>
      </c>
      <c r="C235" s="50"/>
      <c r="D235" s="50" t="s">
        <v>442</v>
      </c>
      <c r="G235" s="57"/>
      <c r="H235" s="57"/>
      <c r="I235" s="57"/>
    </row>
    <row r="236" spans="1:10">
      <c r="A236" s="78"/>
      <c r="B236" s="46" t="s">
        <v>443</v>
      </c>
      <c r="C236" s="50"/>
      <c r="D236" s="50" t="s">
        <v>444</v>
      </c>
      <c r="G236" s="57"/>
      <c r="H236" s="57"/>
      <c r="I236" s="57"/>
      <c r="J236" s="13"/>
    </row>
    <row r="237" spans="1:9">
      <c r="A237" s="78"/>
      <c r="B237" s="46" t="s">
        <v>445</v>
      </c>
      <c r="C237" s="50"/>
      <c r="D237" s="50" t="s">
        <v>446</v>
      </c>
      <c r="G237" s="57"/>
      <c r="H237" s="57"/>
      <c r="I237" s="57"/>
    </row>
    <row r="238" spans="1:10">
      <c r="A238" s="22"/>
      <c r="B238" s="22"/>
      <c r="C238" s="22"/>
      <c r="D238" s="22"/>
      <c r="E238" s="22"/>
      <c r="F238" s="22"/>
      <c r="G238" s="22"/>
      <c r="H238" s="22"/>
      <c r="I238" s="22"/>
      <c r="J238" s="70"/>
    </row>
    <row r="239" spans="1:10">
      <c r="A239" s="22"/>
      <c r="B239" s="22"/>
      <c r="C239" s="22"/>
      <c r="D239" s="22"/>
      <c r="E239" s="22"/>
      <c r="F239" s="22"/>
      <c r="G239" s="22"/>
      <c r="H239" s="22"/>
      <c r="I239" s="22"/>
      <c r="J239" s="70"/>
    </row>
    <row r="240" spans="1:10">
      <c r="A240" s="22"/>
      <c r="B240" s="22"/>
      <c r="C240" s="22"/>
      <c r="D240" s="22"/>
      <c r="E240" s="22"/>
      <c r="F240" s="22"/>
      <c r="G240" s="22"/>
      <c r="H240" s="22"/>
      <c r="I240" s="22"/>
      <c r="J240" s="70"/>
    </row>
    <row r="241" spans="1:10">
      <c r="A241" s="22"/>
      <c r="B241" s="22"/>
      <c r="C241" s="22"/>
      <c r="D241" s="22"/>
      <c r="E241" s="22"/>
      <c r="F241" s="22"/>
      <c r="G241" s="22"/>
      <c r="H241" s="22"/>
      <c r="I241" s="22"/>
      <c r="J241" s="70"/>
    </row>
    <row r="242" spans="1:10">
      <c r="A242" s="22"/>
      <c r="B242" s="22"/>
      <c r="C242" s="22"/>
      <c r="D242" s="22"/>
      <c r="E242" s="22"/>
      <c r="F242" s="22"/>
      <c r="G242" s="22"/>
      <c r="H242" s="22"/>
      <c r="I242" s="22"/>
      <c r="J242" s="70"/>
    </row>
    <row r="243" spans="1:10">
      <c r="A243" s="22"/>
      <c r="B243" s="22"/>
      <c r="C243" s="22"/>
      <c r="D243" s="22"/>
      <c r="E243" s="22"/>
      <c r="F243" s="22"/>
      <c r="G243" s="22"/>
      <c r="H243" s="22"/>
      <c r="I243" s="22"/>
      <c r="J243" s="70"/>
    </row>
    <row r="244" spans="1:10">
      <c r="A244" s="22"/>
      <c r="B244" s="22"/>
      <c r="C244" s="22"/>
      <c r="D244" s="22"/>
      <c r="E244" s="22"/>
      <c r="F244" s="22"/>
      <c r="G244" s="22"/>
      <c r="H244" s="22"/>
      <c r="I244" s="22"/>
      <c r="J244" s="70"/>
    </row>
    <row r="245" spans="1:10">
      <c r="A245" s="22"/>
      <c r="B245" s="22"/>
      <c r="C245" s="22"/>
      <c r="D245" s="22"/>
      <c r="E245" s="22"/>
      <c r="F245" s="22"/>
      <c r="G245" s="22"/>
      <c r="H245" s="22"/>
      <c r="I245" s="22"/>
      <c r="J245" s="70"/>
    </row>
    <row r="246" spans="1:10">
      <c r="A246" s="22"/>
      <c r="B246" s="22"/>
      <c r="C246" s="22"/>
      <c r="D246" s="22"/>
      <c r="E246" s="22"/>
      <c r="F246" s="22"/>
      <c r="G246" s="22"/>
      <c r="H246" s="22"/>
      <c r="I246" s="22"/>
      <c r="J246" s="70"/>
    </row>
    <row r="247" spans="1:10">
      <c r="A247" s="22"/>
      <c r="B247" s="22"/>
      <c r="C247" s="22"/>
      <c r="D247" s="22"/>
      <c r="E247" s="22"/>
      <c r="F247" s="22"/>
      <c r="G247" s="22"/>
      <c r="H247" s="22"/>
      <c r="I247" s="22"/>
      <c r="J247" s="70"/>
    </row>
    <row r="248" spans="1:10">
      <c r="A248" s="22"/>
      <c r="B248" s="22"/>
      <c r="C248" s="22"/>
      <c r="D248" s="22"/>
      <c r="E248" s="22"/>
      <c r="F248" s="22"/>
      <c r="G248" s="22"/>
      <c r="H248" s="22"/>
      <c r="I248" s="22"/>
      <c r="J248" s="70"/>
    </row>
    <row r="249" spans="1:10">
      <c r="A249" s="22"/>
      <c r="B249" s="22"/>
      <c r="C249" s="22"/>
      <c r="D249" s="22"/>
      <c r="E249" s="22"/>
      <c r="F249" s="22"/>
      <c r="G249" s="22"/>
      <c r="H249" s="22"/>
      <c r="I249" s="22"/>
      <c r="J249" s="70"/>
    </row>
    <row r="250" spans="1:10">
      <c r="A250" s="22"/>
      <c r="B250" s="22"/>
      <c r="C250" s="22"/>
      <c r="D250" s="22"/>
      <c r="E250" s="22"/>
      <c r="F250" s="22"/>
      <c r="G250" s="22"/>
      <c r="H250" s="22"/>
      <c r="I250" s="22"/>
      <c r="J250" s="70"/>
    </row>
    <row r="251" spans="1:10">
      <c r="A251" s="22"/>
      <c r="B251" s="22"/>
      <c r="C251" s="22"/>
      <c r="D251" s="22"/>
      <c r="E251" s="22"/>
      <c r="F251" s="22"/>
      <c r="G251" s="22"/>
      <c r="H251" s="22"/>
      <c r="I251" s="22"/>
      <c r="J251" s="70"/>
    </row>
    <row r="252" spans="1:10">
      <c r="A252" s="22"/>
      <c r="B252" s="22"/>
      <c r="C252" s="22"/>
      <c r="D252" s="22"/>
      <c r="E252" s="22"/>
      <c r="F252" s="22"/>
      <c r="G252" s="22"/>
      <c r="H252" s="22"/>
      <c r="I252" s="22"/>
      <c r="J252" s="70"/>
    </row>
    <row r="253" spans="1:10">
      <c r="A253" s="22"/>
      <c r="B253" s="22"/>
      <c r="C253" s="22"/>
      <c r="D253" s="22"/>
      <c r="E253" s="22"/>
      <c r="F253" s="22"/>
      <c r="G253" s="22"/>
      <c r="H253" s="22"/>
      <c r="I253" s="22"/>
      <c r="J253" s="70"/>
    </row>
    <row r="254" spans="1:10">
      <c r="A254" s="22"/>
      <c r="B254" s="22"/>
      <c r="C254" s="22"/>
      <c r="D254" s="22"/>
      <c r="E254" s="22"/>
      <c r="F254" s="22"/>
      <c r="G254" s="22"/>
      <c r="H254" s="22"/>
      <c r="I254" s="22"/>
      <c r="J254" s="70"/>
    </row>
    <row r="255" spans="1:10">
      <c r="A255" s="22"/>
      <c r="B255" s="22"/>
      <c r="C255" s="22"/>
      <c r="D255" s="22"/>
      <c r="E255" s="22"/>
      <c r="F255" s="22"/>
      <c r="G255" s="22"/>
      <c r="H255" s="22"/>
      <c r="I255" s="22"/>
      <c r="J255" s="70"/>
    </row>
    <row r="256" spans="1:10">
      <c r="A256" s="22"/>
      <c r="B256" s="22"/>
      <c r="C256" s="22"/>
      <c r="D256" s="22"/>
      <c r="E256" s="22"/>
      <c r="F256" s="22"/>
      <c r="G256" s="22"/>
      <c r="H256" s="22"/>
      <c r="I256" s="22"/>
      <c r="J256" s="70"/>
    </row>
    <row r="257" spans="1:10">
      <c r="A257" s="22"/>
      <c r="B257" s="22"/>
      <c r="C257" s="22"/>
      <c r="D257" s="22"/>
      <c r="E257" s="22"/>
      <c r="F257" s="22"/>
      <c r="G257" s="22"/>
      <c r="H257" s="22"/>
      <c r="I257" s="22"/>
      <c r="J257" s="70"/>
    </row>
    <row r="258" spans="1:10">
      <c r="A258" s="22"/>
      <c r="B258" s="22"/>
      <c r="C258" s="22"/>
      <c r="D258" s="22"/>
      <c r="E258" s="22"/>
      <c r="F258" s="22"/>
      <c r="G258" s="22"/>
      <c r="H258" s="22"/>
      <c r="I258" s="22"/>
      <c r="J258" s="70"/>
    </row>
    <row r="259" spans="1:10">
      <c r="A259" s="22"/>
      <c r="B259" s="22"/>
      <c r="C259" s="22"/>
      <c r="D259" s="22"/>
      <c r="E259" s="22"/>
      <c r="F259" s="22"/>
      <c r="G259" s="22"/>
      <c r="H259" s="22"/>
      <c r="I259" s="22"/>
      <c r="J259" s="70"/>
    </row>
    <row r="260" spans="1:10">
      <c r="A260" s="22"/>
      <c r="B260" s="22"/>
      <c r="C260" s="22"/>
      <c r="D260" s="22"/>
      <c r="E260" s="22"/>
      <c r="F260" s="22"/>
      <c r="G260" s="22"/>
      <c r="H260" s="22"/>
      <c r="I260" s="22"/>
      <c r="J260" s="70"/>
    </row>
    <row r="261" spans="1:10">
      <c r="A261" s="22"/>
      <c r="B261" s="22"/>
      <c r="C261" s="22"/>
      <c r="D261" s="22"/>
      <c r="E261" s="22"/>
      <c r="F261" s="22"/>
      <c r="G261" s="22"/>
      <c r="H261" s="22"/>
      <c r="I261" s="22"/>
      <c r="J261" s="70"/>
    </row>
    <row r="262" spans="1:10">
      <c r="A262" s="22"/>
      <c r="B262" s="22"/>
      <c r="C262" s="22"/>
      <c r="D262" s="22"/>
      <c r="E262" s="22"/>
      <c r="F262" s="22"/>
      <c r="G262" s="22"/>
      <c r="H262" s="22"/>
      <c r="I262" s="22"/>
      <c r="J262" s="70"/>
    </row>
    <row r="263" spans="1:10">
      <c r="A263" s="22"/>
      <c r="B263" s="22"/>
      <c r="C263" s="22"/>
      <c r="D263" s="22"/>
      <c r="E263" s="22"/>
      <c r="F263" s="22"/>
      <c r="G263" s="22"/>
      <c r="H263" s="22"/>
      <c r="I263" s="22"/>
      <c r="J263" s="70"/>
    </row>
    <row r="264" spans="1:10">
      <c r="A264" s="22"/>
      <c r="B264" s="22"/>
      <c r="C264" s="22"/>
      <c r="D264" s="22"/>
      <c r="E264" s="22"/>
      <c r="F264" s="22"/>
      <c r="G264" s="22"/>
      <c r="H264" s="22"/>
      <c r="I264" s="22"/>
      <c r="J264" s="70"/>
    </row>
    <row r="265" spans="1:10">
      <c r="A265" s="22"/>
      <c r="B265" s="22"/>
      <c r="C265" s="22"/>
      <c r="D265" s="22"/>
      <c r="E265" s="22"/>
      <c r="F265" s="22"/>
      <c r="G265" s="22"/>
      <c r="H265" s="22"/>
      <c r="I265" s="22"/>
      <c r="J265" s="70"/>
    </row>
    <row r="266" spans="1:10">
      <c r="A266" s="22"/>
      <c r="B266" s="22"/>
      <c r="C266" s="22"/>
      <c r="D266" s="22"/>
      <c r="E266" s="22"/>
      <c r="F266" s="22"/>
      <c r="G266" s="22"/>
      <c r="H266" s="22"/>
      <c r="I266" s="22"/>
      <c r="J266" s="70"/>
    </row>
    <row r="267" spans="1:10">
      <c r="A267" s="22"/>
      <c r="B267" s="22"/>
      <c r="C267" s="22"/>
      <c r="D267" s="22"/>
      <c r="E267" s="22"/>
      <c r="F267" s="22"/>
      <c r="G267" s="22"/>
      <c r="H267" s="22"/>
      <c r="I267" s="22"/>
      <c r="J267" s="70"/>
    </row>
    <row r="268" spans="1:10">
      <c r="A268" s="22"/>
      <c r="B268" s="22"/>
      <c r="C268" s="22"/>
      <c r="D268" s="22"/>
      <c r="E268" s="22"/>
      <c r="F268" s="22"/>
      <c r="G268" s="22"/>
      <c r="H268" s="22"/>
      <c r="I268" s="22"/>
      <c r="J268" s="70"/>
    </row>
    <row r="269" spans="1:10">
      <c r="A269" s="22"/>
      <c r="B269" s="22"/>
      <c r="C269" s="22"/>
      <c r="D269" s="22"/>
      <c r="E269" s="22"/>
      <c r="F269" s="22"/>
      <c r="G269" s="22"/>
      <c r="H269" s="22"/>
      <c r="I269" s="22"/>
      <c r="J269" s="70"/>
    </row>
    <row r="270" spans="1:10">
      <c r="A270" s="22"/>
      <c r="B270" s="22"/>
      <c r="C270" s="22"/>
      <c r="D270" s="22"/>
      <c r="E270" s="22"/>
      <c r="F270" s="22"/>
      <c r="G270" s="22"/>
      <c r="H270" s="22"/>
      <c r="I270" s="22"/>
      <c r="J270" s="70"/>
    </row>
    <row r="271" spans="1:10">
      <c r="A271" s="22"/>
      <c r="B271" s="22"/>
      <c r="C271" s="22"/>
      <c r="D271" s="22"/>
      <c r="E271" s="22"/>
      <c r="F271" s="22"/>
      <c r="G271" s="22"/>
      <c r="H271" s="22"/>
      <c r="I271" s="22"/>
      <c r="J271" s="70"/>
    </row>
    <row r="272" spans="1:10">
      <c r="A272" s="22"/>
      <c r="B272" s="22"/>
      <c r="C272" s="22"/>
      <c r="D272" s="22"/>
      <c r="E272" s="22"/>
      <c r="F272" s="22"/>
      <c r="G272" s="22"/>
      <c r="H272" s="22"/>
      <c r="I272" s="22"/>
      <c r="J272" s="70"/>
    </row>
    <row r="273" spans="1:10">
      <c r="A273" s="22"/>
      <c r="B273" s="22"/>
      <c r="C273" s="22"/>
      <c r="D273" s="22"/>
      <c r="E273" s="22"/>
      <c r="F273" s="22"/>
      <c r="G273" s="22"/>
      <c r="H273" s="22"/>
      <c r="I273" s="22"/>
      <c r="J273" s="70"/>
    </row>
    <row r="274" spans="1:10">
      <c r="A274" s="22"/>
      <c r="B274" s="22"/>
      <c r="C274" s="22"/>
      <c r="D274" s="22"/>
      <c r="E274" s="22"/>
      <c r="F274" s="22"/>
      <c r="G274" s="22"/>
      <c r="H274" s="22"/>
      <c r="I274" s="22"/>
      <c r="J274" s="70"/>
    </row>
    <row r="275" spans="1:10">
      <c r="A275" s="22"/>
      <c r="B275" s="22"/>
      <c r="C275" s="22"/>
      <c r="D275" s="22"/>
      <c r="E275" s="22"/>
      <c r="F275" s="22"/>
      <c r="G275" s="22"/>
      <c r="H275" s="22"/>
      <c r="I275" s="22"/>
      <c r="J275" s="70"/>
    </row>
    <row r="276" spans="1:10">
      <c r="A276" s="22"/>
      <c r="B276" s="22"/>
      <c r="C276" s="22"/>
      <c r="D276" s="22"/>
      <c r="E276" s="22"/>
      <c r="F276" s="22"/>
      <c r="G276" s="22"/>
      <c r="H276" s="22"/>
      <c r="I276" s="22"/>
      <c r="J276" s="70"/>
    </row>
    <row r="277" spans="1:10">
      <c r="A277" s="22"/>
      <c r="B277" s="22"/>
      <c r="C277" s="22"/>
      <c r="D277" s="22"/>
      <c r="E277" s="22"/>
      <c r="F277" s="22"/>
      <c r="G277" s="22"/>
      <c r="H277" s="22"/>
      <c r="I277" s="22"/>
      <c r="J277" s="70"/>
    </row>
    <row r="278" spans="1:10">
      <c r="A278" s="22"/>
      <c r="B278" s="22"/>
      <c r="C278" s="22"/>
      <c r="D278" s="22"/>
      <c r="E278" s="22"/>
      <c r="F278" s="22"/>
      <c r="G278" s="22"/>
      <c r="H278" s="22"/>
      <c r="I278" s="22"/>
      <c r="J278" s="70"/>
    </row>
    <row r="279" spans="1:10">
      <c r="A279" s="22"/>
      <c r="B279" s="22"/>
      <c r="C279" s="22"/>
      <c r="D279" s="22"/>
      <c r="E279" s="22"/>
      <c r="F279" s="22"/>
      <c r="G279" s="22"/>
      <c r="H279" s="22"/>
      <c r="I279" s="22"/>
      <c r="J279" s="70"/>
    </row>
    <row r="280" spans="1:10">
      <c r="A280" s="22"/>
      <c r="B280" s="22"/>
      <c r="C280" s="22"/>
      <c r="D280" s="22"/>
      <c r="E280" s="22"/>
      <c r="F280" s="22"/>
      <c r="G280" s="22"/>
      <c r="H280" s="22"/>
      <c r="I280" s="22"/>
      <c r="J280" s="70"/>
    </row>
    <row r="281" spans="1:10">
      <c r="A281" s="22"/>
      <c r="B281" s="22"/>
      <c r="C281" s="22"/>
      <c r="D281" s="22"/>
      <c r="E281" s="22"/>
      <c r="F281" s="22"/>
      <c r="G281" s="22"/>
      <c r="H281" s="22"/>
      <c r="I281" s="22"/>
      <c r="J281" s="70"/>
    </row>
    <row r="282" spans="1:10">
      <c r="A282" s="22"/>
      <c r="B282" s="22"/>
      <c r="C282" s="22"/>
      <c r="D282" s="22"/>
      <c r="E282" s="22"/>
      <c r="F282" s="22"/>
      <c r="G282" s="22"/>
      <c r="H282" s="22"/>
      <c r="I282" s="22"/>
      <c r="J282" s="70"/>
    </row>
    <row r="283" spans="1:10">
      <c r="A283" s="22"/>
      <c r="B283" s="22"/>
      <c r="C283" s="22"/>
      <c r="D283" s="22"/>
      <c r="E283" s="22"/>
      <c r="F283" s="22"/>
      <c r="G283" s="22"/>
      <c r="H283" s="22"/>
      <c r="I283" s="22"/>
      <c r="J283" s="70"/>
    </row>
    <row r="284" spans="1:10">
      <c r="A284" s="22"/>
      <c r="B284" s="22"/>
      <c r="C284" s="22"/>
      <c r="D284" s="22"/>
      <c r="E284" s="22"/>
      <c r="F284" s="22"/>
      <c r="G284" s="22"/>
      <c r="H284" s="22"/>
      <c r="I284" s="22"/>
      <c r="J284" s="70"/>
    </row>
    <row r="285" spans="1:10">
      <c r="A285" s="22"/>
      <c r="B285" s="22"/>
      <c r="C285" s="22"/>
      <c r="D285" s="22"/>
      <c r="E285" s="22"/>
      <c r="F285" s="22"/>
      <c r="G285" s="22"/>
      <c r="H285" s="22"/>
      <c r="I285" s="22"/>
      <c r="J285" s="70"/>
    </row>
    <row r="286" spans="1:10">
      <c r="A286" s="22"/>
      <c r="B286" s="22"/>
      <c r="C286" s="22"/>
      <c r="D286" s="22"/>
      <c r="E286" s="22"/>
      <c r="F286" s="22"/>
      <c r="G286" s="22"/>
      <c r="H286" s="22"/>
      <c r="I286" s="22"/>
      <c r="J286" s="70"/>
    </row>
    <row r="287" spans="1:10">
      <c r="A287" s="22"/>
      <c r="B287" s="22"/>
      <c r="C287" s="22"/>
      <c r="D287" s="22"/>
      <c r="E287" s="22"/>
      <c r="F287" s="22"/>
      <c r="G287" s="22"/>
      <c r="H287" s="22"/>
      <c r="I287" s="22"/>
      <c r="J287" s="70"/>
    </row>
    <row r="288" spans="1:10">
      <c r="A288" s="22"/>
      <c r="B288" s="22"/>
      <c r="C288" s="22"/>
      <c r="D288" s="22"/>
      <c r="E288" s="22"/>
      <c r="F288" s="22"/>
      <c r="G288" s="22"/>
      <c r="H288" s="22"/>
      <c r="I288" s="22"/>
      <c r="J288" s="70"/>
    </row>
    <row r="289" spans="1:10">
      <c r="A289" s="22"/>
      <c r="B289" s="22"/>
      <c r="C289" s="22"/>
      <c r="D289" s="22"/>
      <c r="E289" s="22"/>
      <c r="F289" s="22"/>
      <c r="G289" s="22"/>
      <c r="H289" s="22"/>
      <c r="I289" s="22"/>
      <c r="J289" s="70"/>
    </row>
    <row r="290" spans="1:10">
      <c r="A290" s="22"/>
      <c r="B290" s="22"/>
      <c r="C290" s="22"/>
      <c r="D290" s="22"/>
      <c r="E290" s="22"/>
      <c r="F290" s="22"/>
      <c r="G290" s="22"/>
      <c r="H290" s="22"/>
      <c r="I290" s="22"/>
      <c r="J290" s="70"/>
    </row>
    <row r="291" spans="1:10">
      <c r="A291" s="22"/>
      <c r="B291" s="22"/>
      <c r="C291" s="22"/>
      <c r="D291" s="22"/>
      <c r="E291" s="22"/>
      <c r="F291" s="22"/>
      <c r="G291" s="22"/>
      <c r="H291" s="22"/>
      <c r="I291" s="22"/>
      <c r="J291" s="70"/>
    </row>
    <row r="292" spans="1:10">
      <c r="A292" s="22"/>
      <c r="B292" s="22"/>
      <c r="C292" s="22"/>
      <c r="D292" s="22"/>
      <c r="E292" s="22"/>
      <c r="F292" s="22"/>
      <c r="G292" s="22"/>
      <c r="H292" s="22"/>
      <c r="I292" s="22"/>
      <c r="J292" s="70"/>
    </row>
    <row r="293" spans="1:10">
      <c r="A293" s="22"/>
      <c r="B293" s="22"/>
      <c r="C293" s="22"/>
      <c r="D293" s="22"/>
      <c r="E293" s="22"/>
      <c r="F293" s="22"/>
      <c r="G293" s="22"/>
      <c r="H293" s="22"/>
      <c r="I293" s="22"/>
      <c r="J293" s="70"/>
    </row>
    <row r="294" spans="1:10">
      <c r="A294" s="22"/>
      <c r="B294" s="22"/>
      <c r="C294" s="22"/>
      <c r="D294" s="22"/>
      <c r="E294" s="22"/>
      <c r="F294" s="22"/>
      <c r="G294" s="22"/>
      <c r="H294" s="22"/>
      <c r="I294" s="22"/>
      <c r="J294" s="70"/>
    </row>
    <row r="295" spans="1:10">
      <c r="A295" s="22"/>
      <c r="B295" s="22"/>
      <c r="C295" s="22"/>
      <c r="D295" s="22"/>
      <c r="E295" s="22"/>
      <c r="F295" s="22"/>
      <c r="G295" s="22"/>
      <c r="H295" s="22"/>
      <c r="I295" s="22"/>
      <c r="J295" s="70"/>
    </row>
    <row r="296" spans="1:10">
      <c r="A296" s="22"/>
      <c r="B296" s="22"/>
      <c r="C296" s="22"/>
      <c r="D296" s="22"/>
      <c r="E296" s="22"/>
      <c r="F296" s="22"/>
      <c r="G296" s="22"/>
      <c r="H296" s="22"/>
      <c r="I296" s="22"/>
      <c r="J296" s="70"/>
    </row>
    <row r="297" spans="1:10">
      <c r="A297" s="22"/>
      <c r="B297" s="22"/>
      <c r="C297" s="22"/>
      <c r="D297" s="22"/>
      <c r="E297" s="22"/>
      <c r="F297" s="22"/>
      <c r="G297" s="22"/>
      <c r="H297" s="22"/>
      <c r="I297" s="22"/>
      <c r="J297" s="70"/>
    </row>
    <row r="298" spans="1:10">
      <c r="A298" s="22"/>
      <c r="B298" s="22"/>
      <c r="C298" s="22"/>
      <c r="D298" s="22"/>
      <c r="E298" s="22"/>
      <c r="F298" s="22"/>
      <c r="G298" s="22"/>
      <c r="H298" s="22"/>
      <c r="I298" s="22"/>
      <c r="J298" s="70"/>
    </row>
    <row r="299" spans="1:10">
      <c r="A299" s="22"/>
      <c r="B299" s="22"/>
      <c r="C299" s="22"/>
      <c r="D299" s="22"/>
      <c r="E299" s="22"/>
      <c r="F299" s="22"/>
      <c r="G299" s="22"/>
      <c r="H299" s="22"/>
      <c r="I299" s="22"/>
      <c r="J299" s="70"/>
    </row>
    <row r="300" spans="1:10">
      <c r="A300" s="22"/>
      <c r="B300" s="22"/>
      <c r="C300" s="22"/>
      <c r="D300" s="22"/>
      <c r="E300" s="22"/>
      <c r="F300" s="22"/>
      <c r="G300" s="22"/>
      <c r="H300" s="22"/>
      <c r="I300" s="22"/>
      <c r="J300" s="70"/>
    </row>
    <row r="301" spans="1:10">
      <c r="A301" s="22"/>
      <c r="B301" s="22"/>
      <c r="C301" s="22"/>
      <c r="D301" s="22"/>
      <c r="E301" s="22"/>
      <c r="F301" s="22"/>
      <c r="G301" s="22"/>
      <c r="H301" s="22"/>
      <c r="I301" s="22"/>
      <c r="J301" s="70"/>
    </row>
    <row r="302" spans="1:10">
      <c r="A302" s="22"/>
      <c r="B302" s="22"/>
      <c r="C302" s="22"/>
      <c r="D302" s="22"/>
      <c r="E302" s="22"/>
      <c r="F302" s="22"/>
      <c r="G302" s="22"/>
      <c r="H302" s="22"/>
      <c r="I302" s="22"/>
      <c r="J302" s="70"/>
    </row>
    <row r="303" spans="1:10">
      <c r="A303" s="22"/>
      <c r="B303" s="22"/>
      <c r="C303" s="22"/>
      <c r="D303" s="22"/>
      <c r="E303" s="22"/>
      <c r="F303" s="22"/>
      <c r="G303" s="22"/>
      <c r="H303" s="22"/>
      <c r="I303" s="22"/>
      <c r="J303" s="70"/>
    </row>
    <row r="304" spans="1:10">
      <c r="A304" s="22"/>
      <c r="B304" s="22"/>
      <c r="C304" s="22"/>
      <c r="D304" s="22"/>
      <c r="E304" s="22"/>
      <c r="F304" s="22"/>
      <c r="G304" s="22"/>
      <c r="H304" s="22"/>
      <c r="I304" s="22"/>
      <c r="J304" s="70"/>
    </row>
    <row r="305" spans="1:10">
      <c r="A305" s="22"/>
      <c r="B305" s="22"/>
      <c r="C305" s="22"/>
      <c r="D305" s="22"/>
      <c r="E305" s="22"/>
      <c r="F305" s="22"/>
      <c r="G305" s="22"/>
      <c r="H305" s="22"/>
      <c r="I305" s="22"/>
      <c r="J305" s="70"/>
    </row>
    <row r="306" spans="1:10">
      <c r="A306" s="22"/>
      <c r="B306" s="22"/>
      <c r="C306" s="22"/>
      <c r="D306" s="22"/>
      <c r="E306" s="22"/>
      <c r="F306" s="22"/>
      <c r="G306" s="22"/>
      <c r="H306" s="22"/>
      <c r="I306" s="22"/>
      <c r="J306" s="70"/>
    </row>
    <row r="307" spans="1:10">
      <c r="A307" s="22"/>
      <c r="B307" s="22"/>
      <c r="C307" s="22"/>
      <c r="D307" s="22"/>
      <c r="E307" s="22"/>
      <c r="F307" s="22"/>
      <c r="G307" s="22"/>
      <c r="H307" s="22"/>
      <c r="I307" s="22"/>
      <c r="J307" s="70"/>
    </row>
    <row r="308" spans="1:10">
      <c r="A308" s="22"/>
      <c r="B308" s="22"/>
      <c r="C308" s="22"/>
      <c r="D308" s="22"/>
      <c r="E308" s="22"/>
      <c r="F308" s="22"/>
      <c r="G308" s="22"/>
      <c r="H308" s="22"/>
      <c r="I308" s="22"/>
      <c r="J308" s="70"/>
    </row>
    <row r="309" spans="1:10">
      <c r="A309" s="22"/>
      <c r="B309" s="22"/>
      <c r="C309" s="22"/>
      <c r="D309" s="22"/>
      <c r="E309" s="22"/>
      <c r="F309" s="22"/>
      <c r="G309" s="22"/>
      <c r="H309" s="22"/>
      <c r="I309" s="22"/>
      <c r="J309" s="70"/>
    </row>
    <row r="310" spans="1:10">
      <c r="A310" s="22"/>
      <c r="B310" s="22"/>
      <c r="C310" s="22"/>
      <c r="D310" s="22"/>
      <c r="E310" s="22"/>
      <c r="F310" s="22"/>
      <c r="G310" s="22"/>
      <c r="H310" s="22"/>
      <c r="I310" s="22"/>
      <c r="J310" s="70"/>
    </row>
    <row r="311" spans="1:10">
      <c r="A311" s="22"/>
      <c r="B311" s="22"/>
      <c r="C311" s="22"/>
      <c r="D311" s="22"/>
      <c r="E311" s="22"/>
      <c r="F311" s="22"/>
      <c r="G311" s="22"/>
      <c r="H311" s="22"/>
      <c r="I311" s="22"/>
      <c r="J311" s="70"/>
    </row>
    <row r="312" spans="1:10">
      <c r="A312" s="22"/>
      <c r="B312" s="22"/>
      <c r="C312" s="22"/>
      <c r="D312" s="22"/>
      <c r="E312" s="22"/>
      <c r="F312" s="22"/>
      <c r="G312" s="22"/>
      <c r="H312" s="22"/>
      <c r="I312" s="22"/>
      <c r="J312" s="70"/>
    </row>
    <row r="313" spans="1:10">
      <c r="A313" s="22"/>
      <c r="B313" s="22"/>
      <c r="C313" s="22"/>
      <c r="D313" s="22"/>
      <c r="E313" s="22"/>
      <c r="F313" s="22"/>
      <c r="G313" s="22"/>
      <c r="H313" s="22"/>
      <c r="I313" s="22"/>
      <c r="J313" s="70"/>
    </row>
    <row r="314" spans="1:10">
      <c r="A314" s="22"/>
      <c r="B314" s="22"/>
      <c r="C314" s="22"/>
      <c r="D314" s="22"/>
      <c r="E314" s="22"/>
      <c r="F314" s="22"/>
      <c r="G314" s="22"/>
      <c r="H314" s="22"/>
      <c r="I314" s="22"/>
      <c r="J314" s="70"/>
    </row>
    <row r="315" spans="1:10">
      <c r="A315" s="22"/>
      <c r="B315" s="22"/>
      <c r="C315" s="22"/>
      <c r="D315" s="22"/>
      <c r="E315" s="22"/>
      <c r="F315" s="22"/>
      <c r="G315" s="22"/>
      <c r="H315" s="22"/>
      <c r="I315" s="22"/>
      <c r="J315" s="70"/>
    </row>
    <row r="316" spans="1:10">
      <c r="A316" s="22"/>
      <c r="B316" s="22"/>
      <c r="C316" s="22"/>
      <c r="D316" s="22"/>
      <c r="E316" s="22"/>
      <c r="F316" s="22"/>
      <c r="G316" s="22"/>
      <c r="H316" s="22"/>
      <c r="I316" s="22"/>
      <c r="J316" s="70"/>
    </row>
    <row r="317" spans="1:10">
      <c r="A317" s="22"/>
      <c r="B317" s="22"/>
      <c r="C317" s="22"/>
      <c r="D317" s="22"/>
      <c r="E317" s="22"/>
      <c r="F317" s="22"/>
      <c r="G317" s="22"/>
      <c r="H317" s="22"/>
      <c r="I317" s="22"/>
      <c r="J317" s="70"/>
    </row>
    <row r="318" spans="1:10">
      <c r="A318" s="22"/>
      <c r="B318" s="22"/>
      <c r="C318" s="22"/>
      <c r="D318" s="22"/>
      <c r="E318" s="22"/>
      <c r="F318" s="22"/>
      <c r="G318" s="22"/>
      <c r="H318" s="22"/>
      <c r="I318" s="22"/>
      <c r="J318" s="70"/>
    </row>
    <row r="319" spans="1:10">
      <c r="A319" s="22"/>
      <c r="B319" s="22"/>
      <c r="C319" s="22"/>
      <c r="D319" s="22"/>
      <c r="E319" s="22"/>
      <c r="F319" s="22"/>
      <c r="G319" s="22"/>
      <c r="H319" s="22"/>
      <c r="I319" s="22"/>
      <c r="J319" s="70"/>
    </row>
    <row r="320" spans="1:10">
      <c r="A320" s="22"/>
      <c r="B320" s="22"/>
      <c r="C320" s="22"/>
      <c r="D320" s="22"/>
      <c r="E320" s="22"/>
      <c r="F320" s="22"/>
      <c r="G320" s="22"/>
      <c r="H320" s="22"/>
      <c r="I320" s="22"/>
      <c r="J320" s="70"/>
    </row>
    <row r="321" spans="1:10">
      <c r="A321" s="22"/>
      <c r="B321" s="22"/>
      <c r="C321" s="22"/>
      <c r="D321" s="22"/>
      <c r="E321" s="22"/>
      <c r="F321" s="22"/>
      <c r="G321" s="22"/>
      <c r="H321" s="22"/>
      <c r="I321" s="22"/>
      <c r="J321" s="70"/>
    </row>
    <row r="322" spans="1:10">
      <c r="A322" s="22"/>
      <c r="B322" s="22"/>
      <c r="C322" s="22"/>
      <c r="D322" s="22"/>
      <c r="E322" s="22"/>
      <c r="F322" s="22"/>
      <c r="G322" s="22"/>
      <c r="H322" s="22"/>
      <c r="I322" s="22"/>
      <c r="J322" s="70"/>
    </row>
    <row r="323" spans="1:10">
      <c r="A323" s="22"/>
      <c r="B323" s="22"/>
      <c r="C323" s="22"/>
      <c r="D323" s="22"/>
      <c r="E323" s="22"/>
      <c r="F323" s="22"/>
      <c r="G323" s="22"/>
      <c r="H323" s="22"/>
      <c r="I323" s="22"/>
      <c r="J323" s="70"/>
    </row>
    <row r="324" spans="1:10">
      <c r="A324" s="22"/>
      <c r="B324" s="22"/>
      <c r="C324" s="22"/>
      <c r="D324" s="22"/>
      <c r="E324" s="22"/>
      <c r="F324" s="22"/>
      <c r="G324" s="22"/>
      <c r="H324" s="22"/>
      <c r="I324" s="22"/>
      <c r="J324" s="70"/>
    </row>
    <row r="325" spans="1:10">
      <c r="A325" s="22"/>
      <c r="B325" s="22"/>
      <c r="C325" s="22"/>
      <c r="D325" s="22"/>
      <c r="E325" s="22"/>
      <c r="F325" s="22"/>
      <c r="G325" s="22"/>
      <c r="H325" s="22"/>
      <c r="I325" s="22"/>
      <c r="J325" s="70"/>
    </row>
    <row r="326" spans="1:10">
      <c r="A326" s="22"/>
      <c r="B326" s="22"/>
      <c r="C326" s="22"/>
      <c r="D326" s="22"/>
      <c r="E326" s="22"/>
      <c r="F326" s="22"/>
      <c r="G326" s="22"/>
      <c r="H326" s="22"/>
      <c r="I326" s="22"/>
      <c r="J326" s="70"/>
    </row>
    <row r="327" spans="1:10">
      <c r="A327" s="22"/>
      <c r="B327" s="22"/>
      <c r="C327" s="22"/>
      <c r="D327" s="22"/>
      <c r="E327" s="22"/>
      <c r="F327" s="22"/>
      <c r="G327" s="22"/>
      <c r="H327" s="22"/>
      <c r="I327" s="22"/>
      <c r="J327" s="70"/>
    </row>
    <row r="328" spans="1:10">
      <c r="A328" s="22"/>
      <c r="B328" s="22"/>
      <c r="C328" s="22"/>
      <c r="D328" s="22"/>
      <c r="E328" s="22"/>
      <c r="F328" s="22"/>
      <c r="G328" s="22"/>
      <c r="H328" s="22"/>
      <c r="I328" s="22"/>
      <c r="J328" s="70"/>
    </row>
    <row r="329" spans="1:10">
      <c r="A329" s="22"/>
      <c r="B329" s="22"/>
      <c r="C329" s="22"/>
      <c r="D329" s="22"/>
      <c r="E329" s="22"/>
      <c r="F329" s="22"/>
      <c r="G329" s="22"/>
      <c r="H329" s="22"/>
      <c r="I329" s="22"/>
      <c r="J329" s="70"/>
    </row>
    <row r="330" spans="1:10">
      <c r="A330" s="22"/>
      <c r="B330" s="22"/>
      <c r="C330" s="22"/>
      <c r="D330" s="22"/>
      <c r="E330" s="22"/>
      <c r="F330" s="22"/>
      <c r="G330" s="22"/>
      <c r="H330" s="22"/>
      <c r="I330" s="22"/>
      <c r="J330" s="70"/>
    </row>
    <row r="331" spans="1:10">
      <c r="A331" s="22"/>
      <c r="B331" s="22"/>
      <c r="C331" s="22"/>
      <c r="D331" s="22"/>
      <c r="E331" s="22"/>
      <c r="F331" s="22"/>
      <c r="G331" s="22"/>
      <c r="H331" s="22"/>
      <c r="I331" s="22"/>
      <c r="J331" s="70"/>
    </row>
    <row r="332" spans="1:10">
      <c r="A332" s="22"/>
      <c r="B332" s="22"/>
      <c r="C332" s="22"/>
      <c r="D332" s="22"/>
      <c r="E332" s="22"/>
      <c r="F332" s="22"/>
      <c r="G332" s="22"/>
      <c r="H332" s="22"/>
      <c r="I332" s="22"/>
      <c r="J332" s="70"/>
    </row>
    <row r="333" spans="1:10">
      <c r="A333" s="22"/>
      <c r="B333" s="22"/>
      <c r="C333" s="22"/>
      <c r="D333" s="22"/>
      <c r="E333" s="22"/>
      <c r="F333" s="22"/>
      <c r="G333" s="22"/>
      <c r="H333" s="22"/>
      <c r="I333" s="22"/>
      <c r="J333" s="70"/>
    </row>
    <row r="334" spans="1:10">
      <c r="A334" s="22"/>
      <c r="B334" s="22"/>
      <c r="C334" s="22"/>
      <c r="D334" s="22"/>
      <c r="E334" s="22"/>
      <c r="F334" s="22"/>
      <c r="G334" s="22"/>
      <c r="H334" s="22"/>
      <c r="I334" s="22"/>
      <c r="J334" s="70"/>
    </row>
    <row r="335" spans="1:10">
      <c r="A335" s="22"/>
      <c r="B335" s="22"/>
      <c r="C335" s="22"/>
      <c r="D335" s="22"/>
      <c r="E335" s="22"/>
      <c r="F335" s="22"/>
      <c r="G335" s="22"/>
      <c r="H335" s="22"/>
      <c r="I335" s="22"/>
      <c r="J335" s="70"/>
    </row>
    <row r="336" spans="1:10">
      <c r="A336" s="22"/>
      <c r="B336" s="22"/>
      <c r="C336" s="22"/>
      <c r="D336" s="22"/>
      <c r="E336" s="22"/>
      <c r="F336" s="22"/>
      <c r="G336" s="22"/>
      <c r="H336" s="22"/>
      <c r="I336" s="22"/>
      <c r="J336" s="70"/>
    </row>
    <row r="337" spans="1:10">
      <c r="A337" s="22"/>
      <c r="B337" s="22"/>
      <c r="C337" s="22"/>
      <c r="D337" s="22"/>
      <c r="E337" s="22"/>
      <c r="F337" s="22"/>
      <c r="G337" s="22"/>
      <c r="H337" s="22"/>
      <c r="I337" s="22"/>
      <c r="J337" s="70"/>
    </row>
    <row r="338" spans="1:10">
      <c r="A338" s="22"/>
      <c r="B338" s="22"/>
      <c r="C338" s="22"/>
      <c r="D338" s="22"/>
      <c r="E338" s="22"/>
      <c r="F338" s="22"/>
      <c r="G338" s="22"/>
      <c r="H338" s="22"/>
      <c r="I338" s="22"/>
      <c r="J338" s="70"/>
    </row>
    <row r="339" spans="1:10">
      <c r="A339" s="22"/>
      <c r="B339" s="22"/>
      <c r="C339" s="22"/>
      <c r="D339" s="22"/>
      <c r="E339" s="22"/>
      <c r="F339" s="22"/>
      <c r="G339" s="22"/>
      <c r="H339" s="22"/>
      <c r="I339" s="22"/>
      <c r="J339" s="70"/>
    </row>
    <row r="340" spans="1:10">
      <c r="A340" s="22"/>
      <c r="B340" s="22"/>
      <c r="C340" s="22"/>
      <c r="D340" s="22"/>
      <c r="E340" s="22"/>
      <c r="F340" s="22"/>
      <c r="G340" s="22"/>
      <c r="H340" s="22"/>
      <c r="I340" s="22"/>
      <c r="J340" s="70"/>
    </row>
    <row r="341" spans="1:10">
      <c r="A341" s="22"/>
      <c r="B341" s="22"/>
      <c r="C341" s="22"/>
      <c r="D341" s="22"/>
      <c r="E341" s="22"/>
      <c r="F341" s="22"/>
      <c r="G341" s="22"/>
      <c r="H341" s="22"/>
      <c r="I341" s="22"/>
      <c r="J341" s="70"/>
    </row>
    <row r="342" spans="1:10">
      <c r="A342" s="22"/>
      <c r="B342" s="22"/>
      <c r="C342" s="22"/>
      <c r="D342" s="22"/>
      <c r="E342" s="22"/>
      <c r="F342" s="22"/>
      <c r="G342" s="22"/>
      <c r="H342" s="22"/>
      <c r="I342" s="22"/>
      <c r="J342" s="70"/>
    </row>
    <row r="343" spans="1:10">
      <c r="A343" s="22"/>
      <c r="B343" s="22"/>
      <c r="C343" s="22"/>
      <c r="D343" s="22"/>
      <c r="E343" s="22"/>
      <c r="F343" s="22"/>
      <c r="G343" s="22"/>
      <c r="H343" s="22"/>
      <c r="I343" s="22"/>
      <c r="J343" s="70"/>
    </row>
    <row r="344" spans="1:10">
      <c r="A344" s="22"/>
      <c r="B344" s="22"/>
      <c r="C344" s="22"/>
      <c r="D344" s="22"/>
      <c r="E344" s="22"/>
      <c r="F344" s="22"/>
      <c r="G344" s="22"/>
      <c r="H344" s="22"/>
      <c r="I344" s="22"/>
      <c r="J344" s="70"/>
    </row>
    <row r="345" spans="1:10">
      <c r="A345" s="22"/>
      <c r="B345" s="22"/>
      <c r="C345" s="22"/>
      <c r="D345" s="22"/>
      <c r="E345" s="22"/>
      <c r="F345" s="22"/>
      <c r="G345" s="22"/>
      <c r="H345" s="22"/>
      <c r="I345" s="22"/>
      <c r="J345" s="70"/>
    </row>
    <row r="346" spans="1:10">
      <c r="A346" s="22"/>
      <c r="B346" s="22"/>
      <c r="C346" s="22"/>
      <c r="D346" s="22"/>
      <c r="E346" s="22"/>
      <c r="F346" s="22"/>
      <c r="G346" s="22"/>
      <c r="H346" s="22"/>
      <c r="I346" s="22"/>
      <c r="J346" s="70"/>
    </row>
    <row r="347" spans="1:10">
      <c r="A347" s="22"/>
      <c r="B347" s="22"/>
      <c r="C347" s="22"/>
      <c r="D347" s="22"/>
      <c r="E347" s="22"/>
      <c r="F347" s="22"/>
      <c r="G347" s="22"/>
      <c r="H347" s="22"/>
      <c r="I347" s="22"/>
      <c r="J347" s="70"/>
    </row>
    <row r="348" spans="1:10">
      <c r="A348" s="22"/>
      <c r="B348" s="22"/>
      <c r="C348" s="22"/>
      <c r="D348" s="22"/>
      <c r="E348" s="22"/>
      <c r="F348" s="22"/>
      <c r="G348" s="22"/>
      <c r="H348" s="22"/>
      <c r="I348" s="22"/>
      <c r="J348" s="70"/>
    </row>
    <row r="349" spans="1:10">
      <c r="A349" s="22"/>
      <c r="B349" s="22"/>
      <c r="C349" s="22"/>
      <c r="D349" s="22"/>
      <c r="E349" s="22"/>
      <c r="F349" s="22"/>
      <c r="G349" s="22"/>
      <c r="H349" s="22"/>
      <c r="I349" s="22"/>
      <c r="J349" s="70"/>
    </row>
    <row r="350" spans="1:10">
      <c r="A350" s="22"/>
      <c r="B350" s="22"/>
      <c r="C350" s="22"/>
      <c r="D350" s="22"/>
      <c r="E350" s="22"/>
      <c r="F350" s="22"/>
      <c r="G350" s="22"/>
      <c r="H350" s="22"/>
      <c r="I350" s="22"/>
      <c r="J350" s="70"/>
    </row>
    <row r="351" spans="1:10">
      <c r="A351" s="22"/>
      <c r="B351" s="22"/>
      <c r="C351" s="22"/>
      <c r="D351" s="22"/>
      <c r="E351" s="22"/>
      <c r="F351" s="22"/>
      <c r="G351" s="22"/>
      <c r="H351" s="22"/>
      <c r="I351" s="22"/>
      <c r="J351" s="70"/>
    </row>
    <row r="352" spans="1:10">
      <c r="A352" s="22"/>
      <c r="B352" s="22"/>
      <c r="C352" s="22"/>
      <c r="D352" s="22"/>
      <c r="E352" s="22"/>
      <c r="F352" s="22"/>
      <c r="G352" s="22"/>
      <c r="H352" s="22"/>
      <c r="I352" s="22"/>
      <c r="J352" s="70"/>
    </row>
    <row r="353" spans="1:10">
      <c r="A353" s="22"/>
      <c r="B353" s="22"/>
      <c r="C353" s="22"/>
      <c r="D353" s="22"/>
      <c r="E353" s="22"/>
      <c r="F353" s="22"/>
      <c r="G353" s="22"/>
      <c r="H353" s="22"/>
      <c r="I353" s="22"/>
      <c r="J353" s="70"/>
    </row>
    <row r="354" spans="1:10">
      <c r="A354" s="22"/>
      <c r="B354" s="22"/>
      <c r="C354" s="22"/>
      <c r="D354" s="22"/>
      <c r="E354" s="22"/>
      <c r="F354" s="22"/>
      <c r="G354" s="22"/>
      <c r="H354" s="22"/>
      <c r="I354" s="22"/>
      <c r="J354" s="70"/>
    </row>
    <row r="355" spans="1:10">
      <c r="A355" s="22"/>
      <c r="B355" s="22"/>
      <c r="C355" s="22"/>
      <c r="D355" s="22"/>
      <c r="E355" s="22"/>
      <c r="F355" s="22"/>
      <c r="G355" s="22"/>
      <c r="H355" s="22"/>
      <c r="I355" s="22"/>
      <c r="J355" s="70"/>
    </row>
    <row r="356" spans="1:10">
      <c r="A356" s="22"/>
      <c r="B356" s="22"/>
      <c r="C356" s="22"/>
      <c r="D356" s="22"/>
      <c r="E356" s="22"/>
      <c r="F356" s="22"/>
      <c r="G356" s="22"/>
      <c r="H356" s="22"/>
      <c r="I356" s="22"/>
      <c r="J356" s="70"/>
    </row>
    <row r="357" spans="1:10">
      <c r="A357" s="22"/>
      <c r="B357" s="22"/>
      <c r="C357" s="22"/>
      <c r="D357" s="22"/>
      <c r="E357" s="22"/>
      <c r="F357" s="22"/>
      <c r="G357" s="22"/>
      <c r="H357" s="22"/>
      <c r="I357" s="22"/>
      <c r="J357" s="70"/>
    </row>
    <row r="358" spans="1:10">
      <c r="A358" s="22"/>
      <c r="B358" s="22"/>
      <c r="C358" s="22"/>
      <c r="D358" s="22"/>
      <c r="E358" s="22"/>
      <c r="F358" s="22"/>
      <c r="G358" s="22"/>
      <c r="H358" s="22"/>
      <c r="I358" s="22"/>
      <c r="J358" s="70"/>
    </row>
    <row r="359" spans="1:10">
      <c r="A359" s="22"/>
      <c r="B359" s="22"/>
      <c r="C359" s="22"/>
      <c r="D359" s="22"/>
      <c r="E359" s="22"/>
      <c r="F359" s="22"/>
      <c r="G359" s="22"/>
      <c r="H359" s="22"/>
      <c r="I359" s="22"/>
      <c r="J359" s="70"/>
    </row>
    <row r="360" spans="1:10">
      <c r="A360" s="22"/>
      <c r="B360" s="22"/>
      <c r="C360" s="22"/>
      <c r="D360" s="22"/>
      <c r="E360" s="22"/>
      <c r="F360" s="22"/>
      <c r="G360" s="22"/>
      <c r="H360" s="22"/>
      <c r="I360" s="22"/>
      <c r="J360" s="70"/>
    </row>
    <row r="361" spans="1:10">
      <c r="A361" s="22"/>
      <c r="B361" s="22"/>
      <c r="C361" s="22"/>
      <c r="D361" s="22"/>
      <c r="E361" s="22"/>
      <c r="F361" s="22"/>
      <c r="G361" s="22"/>
      <c r="H361" s="22"/>
      <c r="I361" s="22"/>
      <c r="J361" s="70"/>
    </row>
    <row r="362" spans="1:10">
      <c r="A362" s="22"/>
      <c r="B362" s="22"/>
      <c r="C362" s="22"/>
      <c r="D362" s="22"/>
      <c r="E362" s="22"/>
      <c r="F362" s="22"/>
      <c r="G362" s="22"/>
      <c r="H362" s="22"/>
      <c r="I362" s="22"/>
      <c r="J362" s="70"/>
    </row>
    <row r="363" spans="1:10">
      <c r="A363" s="22"/>
      <c r="B363" s="22"/>
      <c r="C363" s="22"/>
      <c r="D363" s="22"/>
      <c r="E363" s="22"/>
      <c r="F363" s="22"/>
      <c r="G363" s="22"/>
      <c r="H363" s="22"/>
      <c r="I363" s="22"/>
      <c r="J363" s="70"/>
    </row>
    <row r="364" spans="1:10">
      <c r="A364" s="22"/>
      <c r="B364" s="22"/>
      <c r="C364" s="22"/>
      <c r="D364" s="22"/>
      <c r="E364" s="22"/>
      <c r="F364" s="22"/>
      <c r="G364" s="22"/>
      <c r="H364" s="22"/>
      <c r="I364" s="22"/>
      <c r="J364" s="70"/>
    </row>
    <row r="365" spans="1:10">
      <c r="A365" s="22"/>
      <c r="B365" s="22"/>
      <c r="C365" s="22"/>
      <c r="D365" s="22"/>
      <c r="E365" s="22"/>
      <c r="F365" s="22"/>
      <c r="G365" s="22"/>
      <c r="H365" s="22"/>
      <c r="I365" s="22"/>
      <c r="J365" s="70"/>
    </row>
    <row r="366" spans="1:10">
      <c r="A366" s="22"/>
      <c r="B366" s="22"/>
      <c r="C366" s="22"/>
      <c r="D366" s="22"/>
      <c r="E366" s="22"/>
      <c r="F366" s="22"/>
      <c r="G366" s="22"/>
      <c r="H366" s="22"/>
      <c r="I366" s="22"/>
      <c r="J366" s="70"/>
    </row>
    <row r="367" spans="1:10">
      <c r="A367" s="22"/>
      <c r="B367" s="22"/>
      <c r="C367" s="22"/>
      <c r="D367" s="22"/>
      <c r="E367" s="22"/>
      <c r="F367" s="22"/>
      <c r="G367" s="22"/>
      <c r="H367" s="22"/>
      <c r="I367" s="22"/>
      <c r="J367" s="70"/>
    </row>
    <row r="368" spans="1:10">
      <c r="A368" s="22"/>
      <c r="B368" s="22"/>
      <c r="C368" s="22"/>
      <c r="D368" s="22"/>
      <c r="E368" s="22"/>
      <c r="F368" s="22"/>
      <c r="G368" s="22"/>
      <c r="H368" s="22"/>
      <c r="I368" s="22"/>
      <c r="J368" s="70"/>
    </row>
    <row r="369" spans="1:10">
      <c r="A369" s="22"/>
      <c r="B369" s="22"/>
      <c r="C369" s="22"/>
      <c r="D369" s="22"/>
      <c r="E369" s="22"/>
      <c r="F369" s="22"/>
      <c r="G369" s="22"/>
      <c r="H369" s="22"/>
      <c r="I369" s="22"/>
      <c r="J369" s="70"/>
    </row>
    <row r="370" spans="1:10">
      <c r="A370" s="22"/>
      <c r="B370" s="22"/>
      <c r="C370" s="22"/>
      <c r="D370" s="22"/>
      <c r="E370" s="22"/>
      <c r="F370" s="22"/>
      <c r="G370" s="22"/>
      <c r="H370" s="22"/>
      <c r="I370" s="22"/>
      <c r="J370" s="70"/>
    </row>
    <row r="371" spans="1:10">
      <c r="A371" s="22"/>
      <c r="B371" s="22"/>
      <c r="C371" s="22"/>
      <c r="D371" s="22"/>
      <c r="E371" s="22"/>
      <c r="F371" s="22"/>
      <c r="G371" s="22"/>
      <c r="H371" s="22"/>
      <c r="I371" s="22"/>
      <c r="J371" s="70"/>
    </row>
    <row r="372" spans="1:10">
      <c r="A372" s="22"/>
      <c r="B372" s="22"/>
      <c r="C372" s="22"/>
      <c r="D372" s="22"/>
      <c r="E372" s="22"/>
      <c r="F372" s="22"/>
      <c r="G372" s="22"/>
      <c r="H372" s="22"/>
      <c r="I372" s="22"/>
      <c r="J372" s="70"/>
    </row>
    <row r="373" spans="1:10">
      <c r="A373" s="22"/>
      <c r="B373" s="22"/>
      <c r="C373" s="22"/>
      <c r="D373" s="22"/>
      <c r="E373" s="22"/>
      <c r="F373" s="22"/>
      <c r="G373" s="22"/>
      <c r="H373" s="22"/>
      <c r="I373" s="22"/>
      <c r="J373" s="70"/>
    </row>
    <row r="374" spans="1:10">
      <c r="A374" s="22"/>
      <c r="B374" s="22"/>
      <c r="C374" s="22"/>
      <c r="D374" s="22"/>
      <c r="E374" s="22"/>
      <c r="F374" s="22"/>
      <c r="G374" s="22"/>
      <c r="H374" s="22"/>
      <c r="I374" s="22"/>
      <c r="J374" s="70"/>
    </row>
    <row r="375" spans="1:10">
      <c r="A375" s="22"/>
      <c r="B375" s="22"/>
      <c r="C375" s="22"/>
      <c r="D375" s="22"/>
      <c r="E375" s="22"/>
      <c r="F375" s="22"/>
      <c r="G375" s="22"/>
      <c r="H375" s="22"/>
      <c r="I375" s="22"/>
      <c r="J375" s="70"/>
    </row>
    <row r="376" spans="1:10">
      <c r="A376" s="22"/>
      <c r="B376" s="22"/>
      <c r="C376" s="22"/>
      <c r="D376" s="22"/>
      <c r="E376" s="22"/>
      <c r="F376" s="22"/>
      <c r="G376" s="22"/>
      <c r="H376" s="22"/>
      <c r="I376" s="22"/>
      <c r="J376" s="70"/>
    </row>
    <row r="377" spans="1:10">
      <c r="A377" s="22"/>
      <c r="B377" s="22"/>
      <c r="C377" s="22"/>
      <c r="D377" s="22"/>
      <c r="E377" s="22"/>
      <c r="F377" s="22"/>
      <c r="G377" s="22"/>
      <c r="H377" s="22"/>
      <c r="I377" s="22"/>
      <c r="J377" s="70"/>
    </row>
    <row r="378" spans="1:10">
      <c r="A378" s="22"/>
      <c r="B378" s="22"/>
      <c r="C378" s="22"/>
      <c r="D378" s="22"/>
      <c r="E378" s="22"/>
      <c r="F378" s="22"/>
      <c r="G378" s="22"/>
      <c r="H378" s="22"/>
      <c r="I378" s="22"/>
      <c r="J378" s="70"/>
    </row>
    <row r="379" spans="1:10">
      <c r="A379" s="22"/>
      <c r="B379" s="22"/>
      <c r="C379" s="22"/>
      <c r="D379" s="22"/>
      <c r="E379" s="22"/>
      <c r="F379" s="22"/>
      <c r="G379" s="22"/>
      <c r="H379" s="22"/>
      <c r="I379" s="22"/>
      <c r="J379" s="70"/>
    </row>
    <row r="380" spans="1:10">
      <c r="A380" s="22"/>
      <c r="B380" s="22"/>
      <c r="C380" s="22"/>
      <c r="D380" s="22"/>
      <c r="E380" s="22"/>
      <c r="F380" s="22"/>
      <c r="G380" s="22"/>
      <c r="H380" s="22"/>
      <c r="I380" s="22"/>
      <c r="J380" s="70"/>
    </row>
    <row r="381" spans="1:10">
      <c r="A381" s="22"/>
      <c r="B381" s="22"/>
      <c r="C381" s="22"/>
      <c r="D381" s="22"/>
      <c r="E381" s="22"/>
      <c r="F381" s="22"/>
      <c r="G381" s="22"/>
      <c r="H381" s="22"/>
      <c r="I381" s="22"/>
      <c r="J381" s="70"/>
    </row>
    <row r="382" spans="1:10">
      <c r="A382" s="22"/>
      <c r="B382" s="22"/>
      <c r="C382" s="22"/>
      <c r="D382" s="22"/>
      <c r="E382" s="22"/>
      <c r="F382" s="22"/>
      <c r="G382" s="22"/>
      <c r="H382" s="22"/>
      <c r="I382" s="22"/>
      <c r="J382" s="70"/>
    </row>
    <row r="383" spans="1:10">
      <c r="A383" s="22"/>
      <c r="B383" s="22"/>
      <c r="C383" s="22"/>
      <c r="D383" s="22"/>
      <c r="E383" s="22"/>
      <c r="F383" s="22"/>
      <c r="G383" s="22"/>
      <c r="H383" s="22"/>
      <c r="I383" s="22"/>
      <c r="J383" s="70"/>
    </row>
    <row r="384" spans="1:10">
      <c r="A384" s="22"/>
      <c r="B384" s="22"/>
      <c r="C384" s="22"/>
      <c r="D384" s="22"/>
      <c r="E384" s="22"/>
      <c r="F384" s="22"/>
      <c r="G384" s="22"/>
      <c r="H384" s="22"/>
      <c r="I384" s="22"/>
      <c r="J384" s="70"/>
    </row>
    <row r="385" spans="1:10">
      <c r="A385" s="22"/>
      <c r="B385" s="22"/>
      <c r="C385" s="22"/>
      <c r="D385" s="22"/>
      <c r="E385" s="22"/>
      <c r="F385" s="22"/>
      <c r="G385" s="22"/>
      <c r="H385" s="22"/>
      <c r="I385" s="22"/>
      <c r="J385" s="70"/>
    </row>
    <row r="386" spans="1:10">
      <c r="A386" s="22"/>
      <c r="B386" s="22"/>
      <c r="C386" s="22"/>
      <c r="D386" s="22"/>
      <c r="E386" s="22"/>
      <c r="F386" s="22"/>
      <c r="G386" s="22"/>
      <c r="H386" s="22"/>
      <c r="I386" s="22"/>
      <c r="J386" s="70"/>
    </row>
    <row r="387" spans="1:10">
      <c r="A387" s="22"/>
      <c r="B387" s="22"/>
      <c r="C387" s="22"/>
      <c r="D387" s="22"/>
      <c r="E387" s="22"/>
      <c r="F387" s="22"/>
      <c r="G387" s="22"/>
      <c r="H387" s="22"/>
      <c r="I387" s="22"/>
      <c r="J387" s="70"/>
    </row>
    <row r="388" spans="1:10">
      <c r="A388" s="22"/>
      <c r="B388" s="22"/>
      <c r="C388" s="22"/>
      <c r="D388" s="22"/>
      <c r="E388" s="22"/>
      <c r="F388" s="22"/>
      <c r="G388" s="22"/>
      <c r="H388" s="22"/>
      <c r="I388" s="22"/>
      <c r="J388" s="70"/>
    </row>
    <row r="389" spans="1:10">
      <c r="A389" s="22"/>
      <c r="B389" s="22"/>
      <c r="C389" s="22"/>
      <c r="D389" s="22"/>
      <c r="E389" s="22"/>
      <c r="F389" s="22"/>
      <c r="G389" s="22"/>
      <c r="H389" s="22"/>
      <c r="I389" s="22"/>
      <c r="J389" s="70"/>
    </row>
    <row r="390" spans="1:10">
      <c r="A390" s="22"/>
      <c r="B390" s="22"/>
      <c r="C390" s="22"/>
      <c r="D390" s="22"/>
      <c r="E390" s="22"/>
      <c r="F390" s="22"/>
      <c r="G390" s="22"/>
      <c r="H390" s="22"/>
      <c r="I390" s="22"/>
      <c r="J390" s="70"/>
    </row>
    <row r="391" spans="1:10">
      <c r="A391" s="22"/>
      <c r="B391" s="22"/>
      <c r="C391" s="22"/>
      <c r="D391" s="22"/>
      <c r="E391" s="22"/>
      <c r="F391" s="22"/>
      <c r="G391" s="22"/>
      <c r="H391" s="22"/>
      <c r="I391" s="22"/>
      <c r="J391" s="70"/>
    </row>
    <row r="392" spans="1:10">
      <c r="A392" s="22"/>
      <c r="B392" s="22"/>
      <c r="C392" s="22"/>
      <c r="D392" s="22"/>
      <c r="E392" s="22"/>
      <c r="F392" s="22"/>
      <c r="G392" s="22"/>
      <c r="H392" s="22"/>
      <c r="I392" s="22"/>
      <c r="J392" s="70"/>
    </row>
    <row r="393" spans="1:10">
      <c r="A393" s="22"/>
      <c r="B393" s="22"/>
      <c r="C393" s="22"/>
      <c r="D393" s="22"/>
      <c r="E393" s="22"/>
      <c r="F393" s="22"/>
      <c r="G393" s="22"/>
      <c r="H393" s="22"/>
      <c r="I393" s="22"/>
      <c r="J393" s="70"/>
    </row>
    <row r="394" spans="1:10">
      <c r="A394" s="22"/>
      <c r="B394" s="22"/>
      <c r="C394" s="22"/>
      <c r="D394" s="22"/>
      <c r="E394" s="22"/>
      <c r="F394" s="22"/>
      <c r="G394" s="22"/>
      <c r="H394" s="22"/>
      <c r="I394" s="22"/>
      <c r="J394" s="70"/>
    </row>
    <row r="395" spans="1:10">
      <c r="A395" s="22"/>
      <c r="B395" s="22"/>
      <c r="C395" s="22"/>
      <c r="D395" s="22"/>
      <c r="E395" s="22"/>
      <c r="F395" s="22"/>
      <c r="G395" s="22"/>
      <c r="H395" s="22"/>
      <c r="I395" s="22"/>
      <c r="J395" s="70"/>
    </row>
    <row r="396" spans="1:10">
      <c r="A396" s="22"/>
      <c r="B396" s="22"/>
      <c r="C396" s="22"/>
      <c r="D396" s="22"/>
      <c r="E396" s="22"/>
      <c r="F396" s="22"/>
      <c r="G396" s="22"/>
      <c r="H396" s="22"/>
      <c r="I396" s="22"/>
      <c r="J396" s="70"/>
    </row>
    <row r="397" spans="1:10">
      <c r="A397" s="22"/>
      <c r="B397" s="22"/>
      <c r="C397" s="22"/>
      <c r="D397" s="22"/>
      <c r="E397" s="22"/>
      <c r="F397" s="22"/>
      <c r="G397" s="22"/>
      <c r="H397" s="22"/>
      <c r="I397" s="22"/>
      <c r="J397" s="70"/>
    </row>
    <row r="398" spans="1:10">
      <c r="A398" s="22"/>
      <c r="B398" s="22"/>
      <c r="C398" s="22"/>
      <c r="D398" s="22"/>
      <c r="E398" s="22"/>
      <c r="F398" s="22"/>
      <c r="G398" s="22"/>
      <c r="H398" s="22"/>
      <c r="I398" s="22"/>
      <c r="J398" s="70"/>
    </row>
    <row r="399" spans="1:10">
      <c r="A399" s="22"/>
      <c r="B399" s="22"/>
      <c r="C399" s="22"/>
      <c r="D399" s="22"/>
      <c r="E399" s="22"/>
      <c r="F399" s="22"/>
      <c r="G399" s="22"/>
      <c r="H399" s="22"/>
      <c r="I399" s="22"/>
      <c r="J399" s="70"/>
    </row>
    <row r="400" spans="1:10">
      <c r="A400" s="22"/>
      <c r="B400" s="22"/>
      <c r="C400" s="22"/>
      <c r="D400" s="22"/>
      <c r="E400" s="22"/>
      <c r="F400" s="22"/>
      <c r="G400" s="22"/>
      <c r="H400" s="22"/>
      <c r="I400" s="22"/>
      <c r="J400" s="70"/>
    </row>
    <row r="401" spans="1:10">
      <c r="A401" s="22"/>
      <c r="B401" s="22"/>
      <c r="C401" s="22"/>
      <c r="D401" s="22"/>
      <c r="E401" s="22"/>
      <c r="F401" s="22"/>
      <c r="G401" s="22"/>
      <c r="H401" s="22"/>
      <c r="I401" s="22"/>
      <c r="J401" s="70"/>
    </row>
    <row r="402" spans="1:10">
      <c r="A402" s="22"/>
      <c r="B402" s="22"/>
      <c r="C402" s="22"/>
      <c r="D402" s="22"/>
      <c r="E402" s="22"/>
      <c r="F402" s="22"/>
      <c r="G402" s="22"/>
      <c r="H402" s="22"/>
      <c r="I402" s="22"/>
      <c r="J402" s="70"/>
    </row>
    <row r="403" spans="1:10">
      <c r="A403" s="22"/>
      <c r="B403" s="22"/>
      <c r="C403" s="22"/>
      <c r="D403" s="22"/>
      <c r="E403" s="22"/>
      <c r="F403" s="22"/>
      <c r="G403" s="22"/>
      <c r="H403" s="22"/>
      <c r="I403" s="22"/>
      <c r="J403" s="70"/>
    </row>
    <row r="404" spans="1:10">
      <c r="A404" s="22"/>
      <c r="B404" s="22"/>
      <c r="C404" s="22"/>
      <c r="D404" s="22"/>
      <c r="E404" s="22"/>
      <c r="F404" s="22"/>
      <c r="G404" s="22"/>
      <c r="H404" s="22"/>
      <c r="I404" s="22"/>
      <c r="J404" s="70"/>
    </row>
    <row r="405" spans="1:10">
      <c r="A405" s="22"/>
      <c r="B405" s="22"/>
      <c r="C405" s="22"/>
      <c r="D405" s="22"/>
      <c r="E405" s="22"/>
      <c r="F405" s="22"/>
      <c r="G405" s="22"/>
      <c r="H405" s="22"/>
      <c r="I405" s="22"/>
      <c r="J405" s="70"/>
    </row>
    <row r="406" spans="1:10">
      <c r="A406" s="22"/>
      <c r="B406" s="22"/>
      <c r="C406" s="22"/>
      <c r="D406" s="22"/>
      <c r="E406" s="22"/>
      <c r="F406" s="22"/>
      <c r="G406" s="22"/>
      <c r="H406" s="22"/>
      <c r="I406" s="22"/>
      <c r="J406" s="70"/>
    </row>
    <row r="407" spans="1:10">
      <c r="A407" s="22"/>
      <c r="B407" s="22"/>
      <c r="C407" s="22"/>
      <c r="D407" s="22"/>
      <c r="E407" s="22"/>
      <c r="F407" s="22"/>
      <c r="G407" s="22"/>
      <c r="H407" s="22"/>
      <c r="I407" s="22"/>
      <c r="J407" s="70"/>
    </row>
    <row r="408" spans="1:10">
      <c r="A408" s="22"/>
      <c r="B408" s="22"/>
      <c r="C408" s="22"/>
      <c r="D408" s="22"/>
      <c r="E408" s="22"/>
      <c r="F408" s="22"/>
      <c r="G408" s="22"/>
      <c r="H408" s="22"/>
      <c r="I408" s="22"/>
      <c r="J408" s="70"/>
    </row>
    <row r="409" spans="1:10">
      <c r="A409" s="22"/>
      <c r="B409" s="22"/>
      <c r="C409" s="22"/>
      <c r="D409" s="22"/>
      <c r="E409" s="22"/>
      <c r="F409" s="22"/>
      <c r="G409" s="22"/>
      <c r="H409" s="22"/>
      <c r="I409" s="22"/>
      <c r="J409" s="70"/>
    </row>
    <row r="410" spans="1:10">
      <c r="A410" s="22"/>
      <c r="B410" s="22"/>
      <c r="C410" s="22"/>
      <c r="D410" s="22"/>
      <c r="E410" s="22"/>
      <c r="F410" s="22"/>
      <c r="G410" s="22"/>
      <c r="H410" s="22"/>
      <c r="I410" s="22"/>
      <c r="J410" s="70"/>
    </row>
    <row r="411" spans="1:10">
      <c r="A411" s="22"/>
      <c r="B411" s="22"/>
      <c r="C411" s="22"/>
      <c r="D411" s="22"/>
      <c r="E411" s="22"/>
      <c r="F411" s="22"/>
      <c r="G411" s="22"/>
      <c r="H411" s="22"/>
      <c r="I411" s="22"/>
      <c r="J411" s="70"/>
    </row>
    <row r="412" spans="1:10">
      <c r="A412" s="22"/>
      <c r="B412" s="22"/>
      <c r="C412" s="22"/>
      <c r="D412" s="22"/>
      <c r="E412" s="22"/>
      <c r="F412" s="22"/>
      <c r="G412" s="22"/>
      <c r="H412" s="22"/>
      <c r="I412" s="22"/>
      <c r="J412" s="70"/>
    </row>
    <row r="413" spans="1:10">
      <c r="A413" s="22"/>
      <c r="B413" s="22"/>
      <c r="C413" s="22"/>
      <c r="D413" s="22"/>
      <c r="E413" s="22"/>
      <c r="F413" s="22"/>
      <c r="G413" s="22"/>
      <c r="H413" s="22"/>
      <c r="I413" s="22"/>
      <c r="J413" s="70"/>
    </row>
    <row r="414" spans="1:10">
      <c r="A414" s="22"/>
      <c r="B414" s="22"/>
      <c r="C414" s="22"/>
      <c r="D414" s="22"/>
      <c r="E414" s="22"/>
      <c r="F414" s="22"/>
      <c r="G414" s="22"/>
      <c r="H414" s="22"/>
      <c r="I414" s="22"/>
      <c r="J414" s="70"/>
    </row>
    <row r="415" spans="1:10">
      <c r="A415" s="22"/>
      <c r="B415" s="22"/>
      <c r="C415" s="22"/>
      <c r="D415" s="22"/>
      <c r="E415" s="22"/>
      <c r="F415" s="22"/>
      <c r="G415" s="22"/>
      <c r="H415" s="22"/>
      <c r="I415" s="22"/>
      <c r="J415" s="70"/>
    </row>
    <row r="416" spans="1:10">
      <c r="A416" s="22"/>
      <c r="B416" s="22"/>
      <c r="C416" s="22"/>
      <c r="D416" s="22"/>
      <c r="E416" s="22"/>
      <c r="F416" s="22"/>
      <c r="G416" s="22"/>
      <c r="H416" s="22"/>
      <c r="I416" s="22"/>
      <c r="J416" s="70"/>
    </row>
    <row r="417" spans="1:10">
      <c r="A417" s="22"/>
      <c r="B417" s="22"/>
      <c r="C417" s="22"/>
      <c r="D417" s="22"/>
      <c r="E417" s="22"/>
      <c r="F417" s="22"/>
      <c r="G417" s="22"/>
      <c r="H417" s="22"/>
      <c r="I417" s="22"/>
      <c r="J417" s="70"/>
    </row>
    <row r="418" spans="1:10">
      <c r="A418" s="22"/>
      <c r="B418" s="22"/>
      <c r="C418" s="22"/>
      <c r="D418" s="22"/>
      <c r="E418" s="22"/>
      <c r="F418" s="22"/>
      <c r="G418" s="22"/>
      <c r="H418" s="22"/>
      <c r="I418" s="22"/>
      <c r="J418" s="70"/>
    </row>
    <row r="419" spans="1:10">
      <c r="A419" s="22"/>
      <c r="B419" s="22"/>
      <c r="C419" s="22"/>
      <c r="D419" s="22"/>
      <c r="E419" s="22"/>
      <c r="F419" s="22"/>
      <c r="G419" s="22"/>
      <c r="H419" s="22"/>
      <c r="I419" s="22"/>
      <c r="J419" s="70"/>
    </row>
    <row r="420" spans="1:10">
      <c r="A420" s="22"/>
      <c r="B420" s="22"/>
      <c r="C420" s="22"/>
      <c r="D420" s="22"/>
      <c r="E420" s="22"/>
      <c r="F420" s="22"/>
      <c r="G420" s="22"/>
      <c r="H420" s="22"/>
      <c r="I420" s="22"/>
      <c r="J420" s="70"/>
    </row>
    <row r="421" spans="1:10">
      <c r="A421" s="22"/>
      <c r="B421" s="22"/>
      <c r="C421" s="22"/>
      <c r="D421" s="22"/>
      <c r="E421" s="22"/>
      <c r="F421" s="22"/>
      <c r="G421" s="22"/>
      <c r="H421" s="22"/>
      <c r="I421" s="22"/>
      <c r="J421" s="70"/>
    </row>
    <row r="422" spans="1:10">
      <c r="A422" s="22"/>
      <c r="B422" s="22"/>
      <c r="C422" s="22"/>
      <c r="D422" s="22"/>
      <c r="E422" s="22"/>
      <c r="F422" s="22"/>
      <c r="G422" s="22"/>
      <c r="H422" s="22"/>
      <c r="I422" s="22"/>
      <c r="J422" s="70"/>
    </row>
    <row r="423" spans="1:10">
      <c r="A423" s="22"/>
      <c r="B423" s="22"/>
      <c r="C423" s="22"/>
      <c r="D423" s="22"/>
      <c r="E423" s="22"/>
      <c r="F423" s="22"/>
      <c r="G423" s="22"/>
      <c r="H423" s="22"/>
      <c r="I423" s="22"/>
      <c r="J423" s="70"/>
    </row>
    <row r="424" spans="1:10">
      <c r="A424" s="22"/>
      <c r="B424" s="22"/>
      <c r="C424" s="22"/>
      <c r="D424" s="22"/>
      <c r="E424" s="22"/>
      <c r="F424" s="22"/>
      <c r="G424" s="22"/>
      <c r="H424" s="22"/>
      <c r="I424" s="22"/>
      <c r="J424" s="70"/>
    </row>
    <row r="425" spans="1:10">
      <c r="A425" s="22"/>
      <c r="B425" s="22"/>
      <c r="C425" s="22"/>
      <c r="D425" s="22"/>
      <c r="E425" s="22"/>
      <c r="F425" s="22"/>
      <c r="G425" s="22"/>
      <c r="H425" s="22"/>
      <c r="I425" s="22"/>
      <c r="J425" s="70"/>
    </row>
    <row r="426" spans="1:10">
      <c r="A426" s="22"/>
      <c r="B426" s="22"/>
      <c r="C426" s="22"/>
      <c r="D426" s="22"/>
      <c r="E426" s="22"/>
      <c r="F426" s="22"/>
      <c r="G426" s="22"/>
      <c r="H426" s="22"/>
      <c r="I426" s="22"/>
      <c r="J426" s="70"/>
    </row>
    <row r="427" spans="1:10">
      <c r="A427" s="22"/>
      <c r="B427" s="22"/>
      <c r="C427" s="22"/>
      <c r="D427" s="22"/>
      <c r="E427" s="22"/>
      <c r="F427" s="22"/>
      <c r="G427" s="22"/>
      <c r="H427" s="22"/>
      <c r="I427" s="22"/>
      <c r="J427" s="70"/>
    </row>
    <row r="428" spans="1:10">
      <c r="A428" s="22"/>
      <c r="B428" s="22"/>
      <c r="C428" s="22"/>
      <c r="D428" s="22"/>
      <c r="E428" s="22"/>
      <c r="F428" s="22"/>
      <c r="G428" s="22"/>
      <c r="H428" s="22"/>
      <c r="I428" s="22"/>
      <c r="J428" s="70"/>
    </row>
    <row r="429" spans="1:10">
      <c r="A429" s="22"/>
      <c r="B429" s="22"/>
      <c r="C429" s="22"/>
      <c r="D429" s="22"/>
      <c r="E429" s="22"/>
      <c r="F429" s="22"/>
      <c r="G429" s="22"/>
      <c r="H429" s="22"/>
      <c r="I429" s="22"/>
      <c r="J429" s="70"/>
    </row>
    <row r="430" spans="1:10">
      <c r="A430" s="22"/>
      <c r="B430" s="22"/>
      <c r="C430" s="22"/>
      <c r="D430" s="22"/>
      <c r="E430" s="22"/>
      <c r="F430" s="22"/>
      <c r="G430" s="22"/>
      <c r="H430" s="22"/>
      <c r="I430" s="22"/>
      <c r="J430" s="70"/>
    </row>
    <row r="431" spans="1:10">
      <c r="A431" s="22"/>
      <c r="B431" s="22"/>
      <c r="C431" s="22"/>
      <c r="D431" s="22"/>
      <c r="E431" s="22"/>
      <c r="F431" s="22"/>
      <c r="G431" s="22"/>
      <c r="H431" s="22"/>
      <c r="I431" s="22"/>
      <c r="J431" s="70"/>
    </row>
    <row r="432" spans="1:10">
      <c r="A432" s="22"/>
      <c r="B432" s="22"/>
      <c r="C432" s="22"/>
      <c r="D432" s="22"/>
      <c r="E432" s="22"/>
      <c r="F432" s="22"/>
      <c r="G432" s="22"/>
      <c r="H432" s="22"/>
      <c r="I432" s="22"/>
      <c r="J432" s="70"/>
    </row>
    <row r="433" spans="1:10">
      <c r="A433" s="22"/>
      <c r="B433" s="22"/>
      <c r="C433" s="22"/>
      <c r="D433" s="22"/>
      <c r="E433" s="22"/>
      <c r="F433" s="22"/>
      <c r="G433" s="22"/>
      <c r="H433" s="22"/>
      <c r="I433" s="22"/>
      <c r="J433" s="70"/>
    </row>
    <row r="434" spans="1:10">
      <c r="A434" s="22"/>
      <c r="B434" s="22"/>
      <c r="C434" s="22"/>
      <c r="D434" s="22"/>
      <c r="E434" s="22"/>
      <c r="F434" s="22"/>
      <c r="G434" s="22"/>
      <c r="H434" s="22"/>
      <c r="I434" s="22"/>
      <c r="J434" s="70"/>
    </row>
    <row r="435" spans="1:10">
      <c r="A435" s="22"/>
      <c r="B435" s="22"/>
      <c r="C435" s="22"/>
      <c r="D435" s="22"/>
      <c r="E435" s="22"/>
      <c r="F435" s="22"/>
      <c r="G435" s="22"/>
      <c r="H435" s="22"/>
      <c r="I435" s="22"/>
      <c r="J435" s="70"/>
    </row>
    <row r="436" spans="1:10">
      <c r="A436" s="22"/>
      <c r="B436" s="22"/>
      <c r="C436" s="22"/>
      <c r="D436" s="22"/>
      <c r="E436" s="22"/>
      <c r="F436" s="22"/>
      <c r="G436" s="22"/>
      <c r="H436" s="22"/>
      <c r="I436" s="22"/>
      <c r="J436" s="70"/>
    </row>
    <row r="437" spans="1:10">
      <c r="A437" s="22"/>
      <c r="B437" s="22"/>
      <c r="C437" s="22"/>
      <c r="D437" s="22"/>
      <c r="E437" s="22"/>
      <c r="F437" s="22"/>
      <c r="G437" s="22"/>
      <c r="H437" s="22"/>
      <c r="I437" s="22"/>
      <c r="J437" s="70"/>
    </row>
    <row r="438" spans="1:10">
      <c r="A438" s="22"/>
      <c r="B438" s="22"/>
      <c r="C438" s="22"/>
      <c r="D438" s="22"/>
      <c r="E438" s="22"/>
      <c r="F438" s="22"/>
      <c r="G438" s="22"/>
      <c r="H438" s="22"/>
      <c r="I438" s="22"/>
      <c r="J438" s="70"/>
    </row>
    <row r="439" spans="1:10">
      <c r="A439" s="22"/>
      <c r="B439" s="22"/>
      <c r="C439" s="22"/>
      <c r="D439" s="22"/>
      <c r="E439" s="22"/>
      <c r="F439" s="22"/>
      <c r="G439" s="22"/>
      <c r="H439" s="22"/>
      <c r="I439" s="22"/>
      <c r="J439" s="70"/>
    </row>
    <row r="440" spans="1:10">
      <c r="A440" s="22"/>
      <c r="B440" s="22"/>
      <c r="C440" s="22"/>
      <c r="D440" s="22"/>
      <c r="E440" s="22"/>
      <c r="F440" s="22"/>
      <c r="G440" s="22"/>
      <c r="H440" s="22"/>
      <c r="I440" s="22"/>
      <c r="J440" s="70"/>
    </row>
    <row r="441" spans="1:10">
      <c r="A441" s="22"/>
      <c r="B441" s="22"/>
      <c r="C441" s="22"/>
      <c r="D441" s="22"/>
      <c r="E441" s="22"/>
      <c r="F441" s="22"/>
      <c r="G441" s="22"/>
      <c r="H441" s="22"/>
      <c r="I441" s="22"/>
      <c r="J441" s="70"/>
    </row>
    <row r="442" spans="1:10">
      <c r="A442" s="22"/>
      <c r="B442" s="22"/>
      <c r="C442" s="22"/>
      <c r="D442" s="22"/>
      <c r="E442" s="22"/>
      <c r="F442" s="22"/>
      <c r="G442" s="22"/>
      <c r="H442" s="22"/>
      <c r="I442" s="22"/>
      <c r="J442" s="70"/>
    </row>
    <row r="443" spans="1:10">
      <c r="A443" s="22"/>
      <c r="B443" s="22"/>
      <c r="C443" s="22"/>
      <c r="D443" s="22"/>
      <c r="E443" s="22"/>
      <c r="F443" s="22"/>
      <c r="G443" s="22"/>
      <c r="H443" s="22"/>
      <c r="I443" s="22"/>
      <c r="J443" s="70"/>
    </row>
    <row r="444" spans="1:10">
      <c r="A444" s="22"/>
      <c r="B444" s="22"/>
      <c r="C444" s="22"/>
      <c r="D444" s="22"/>
      <c r="E444" s="22"/>
      <c r="F444" s="22"/>
      <c r="G444" s="22"/>
      <c r="H444" s="22"/>
      <c r="I444" s="22"/>
      <c r="J444" s="70"/>
    </row>
    <row r="445" spans="1:10">
      <c r="A445" s="22"/>
      <c r="B445" s="22"/>
      <c r="C445" s="22"/>
      <c r="D445" s="22"/>
      <c r="E445" s="22"/>
      <c r="F445" s="22"/>
      <c r="G445" s="22"/>
      <c r="H445" s="22"/>
      <c r="I445" s="22"/>
      <c r="J445" s="70"/>
    </row>
    <row r="446" spans="1:10">
      <c r="A446" s="22"/>
      <c r="B446" s="22"/>
      <c r="C446" s="22"/>
      <c r="D446" s="22"/>
      <c r="E446" s="22"/>
      <c r="F446" s="22"/>
      <c r="G446" s="22"/>
      <c r="H446" s="22"/>
      <c r="I446" s="22"/>
      <c r="J446" s="70"/>
    </row>
    <row r="447" spans="1:10">
      <c r="A447" s="22"/>
      <c r="B447" s="22"/>
      <c r="C447" s="22"/>
      <c r="D447" s="22"/>
      <c r="E447" s="22"/>
      <c r="F447" s="22"/>
      <c r="G447" s="22"/>
      <c r="H447" s="22"/>
      <c r="I447" s="22"/>
      <c r="J447" s="70"/>
    </row>
    <row r="448" spans="1:10">
      <c r="A448" s="22"/>
      <c r="B448" s="22"/>
      <c r="C448" s="22"/>
      <c r="D448" s="22"/>
      <c r="E448" s="22"/>
      <c r="F448" s="22"/>
      <c r="G448" s="22"/>
      <c r="H448" s="22"/>
      <c r="I448" s="22"/>
      <c r="J448" s="70"/>
    </row>
    <row r="449" spans="1:10">
      <c r="A449" s="22"/>
      <c r="B449" s="22"/>
      <c r="C449" s="22"/>
      <c r="D449" s="22"/>
      <c r="E449" s="22"/>
      <c r="F449" s="22"/>
      <c r="G449" s="22"/>
      <c r="H449" s="22"/>
      <c r="I449" s="22"/>
      <c r="J449" s="70"/>
    </row>
    <row r="450" spans="1:10">
      <c r="A450" s="22"/>
      <c r="B450" s="22"/>
      <c r="C450" s="22"/>
      <c r="D450" s="22"/>
      <c r="E450" s="22"/>
      <c r="F450" s="22"/>
      <c r="G450" s="22"/>
      <c r="H450" s="22"/>
      <c r="I450" s="22"/>
      <c r="J450" s="70"/>
    </row>
    <row r="451" spans="1:10">
      <c r="A451" s="22"/>
      <c r="B451" s="22"/>
      <c r="C451" s="22"/>
      <c r="D451" s="22"/>
      <c r="E451" s="22"/>
      <c r="F451" s="22"/>
      <c r="G451" s="22"/>
      <c r="H451" s="22"/>
      <c r="I451" s="22"/>
      <c r="J451" s="70"/>
    </row>
    <row r="452" spans="1:10">
      <c r="A452" s="22"/>
      <c r="B452" s="22"/>
      <c r="C452" s="22"/>
      <c r="D452" s="22"/>
      <c r="E452" s="22"/>
      <c r="F452" s="22"/>
      <c r="G452" s="22"/>
      <c r="H452" s="22"/>
      <c r="I452" s="22"/>
      <c r="J452" s="70"/>
    </row>
    <row r="453" spans="1:10">
      <c r="A453" s="22"/>
      <c r="B453" s="22"/>
      <c r="C453" s="22"/>
      <c r="D453" s="22"/>
      <c r="E453" s="22"/>
      <c r="F453" s="22"/>
      <c r="G453" s="22"/>
      <c r="H453" s="22"/>
      <c r="I453" s="22"/>
      <c r="J453" s="70"/>
    </row>
    <row r="454" spans="1:10">
      <c r="A454" s="22"/>
      <c r="B454" s="22"/>
      <c r="C454" s="22"/>
      <c r="D454" s="22"/>
      <c r="E454" s="22"/>
      <c r="F454" s="22"/>
      <c r="G454" s="22"/>
      <c r="H454" s="22"/>
      <c r="I454" s="22"/>
      <c r="J454" s="70"/>
    </row>
    <row r="455" spans="1:10">
      <c r="A455" s="22"/>
      <c r="B455" s="22"/>
      <c r="C455" s="22"/>
      <c r="D455" s="22"/>
      <c r="E455" s="22"/>
      <c r="F455" s="22"/>
      <c r="G455" s="22"/>
      <c r="H455" s="22"/>
      <c r="I455" s="22"/>
      <c r="J455" s="70"/>
    </row>
    <row r="456" spans="1:10">
      <c r="A456" s="22"/>
      <c r="B456" s="22"/>
      <c r="C456" s="22"/>
      <c r="D456" s="22"/>
      <c r="E456" s="22"/>
      <c r="F456" s="22"/>
      <c r="G456" s="22"/>
      <c r="H456" s="22"/>
      <c r="I456" s="22"/>
      <c r="J456" s="70"/>
    </row>
    <row r="457" spans="1:10">
      <c r="A457" s="22"/>
      <c r="B457" s="22"/>
      <c r="C457" s="22"/>
      <c r="D457" s="22"/>
      <c r="E457" s="22"/>
      <c r="F457" s="22"/>
      <c r="G457" s="22"/>
      <c r="H457" s="22"/>
      <c r="I457" s="22"/>
      <c r="J457" s="70"/>
    </row>
    <row r="458" spans="1:10">
      <c r="A458" s="22"/>
      <c r="B458" s="22"/>
      <c r="C458" s="22"/>
      <c r="D458" s="22"/>
      <c r="E458" s="22"/>
      <c r="F458" s="22"/>
      <c r="G458" s="22"/>
      <c r="H458" s="22"/>
      <c r="I458" s="22"/>
      <c r="J458" s="70"/>
    </row>
    <row r="459" spans="1:10">
      <c r="A459" s="22"/>
      <c r="B459" s="22"/>
      <c r="C459" s="22"/>
      <c r="D459" s="22"/>
      <c r="E459" s="22"/>
      <c r="F459" s="22"/>
      <c r="G459" s="22"/>
      <c r="H459" s="22"/>
      <c r="I459" s="22"/>
      <c r="J459" s="70"/>
    </row>
    <row r="460" spans="1:10">
      <c r="A460" s="22"/>
      <c r="B460" s="22"/>
      <c r="C460" s="22"/>
      <c r="D460" s="22"/>
      <c r="E460" s="22"/>
      <c r="F460" s="22"/>
      <c r="G460" s="22"/>
      <c r="H460" s="22"/>
      <c r="I460" s="22"/>
      <c r="J460" s="70"/>
    </row>
    <row r="461" spans="1:10">
      <c r="A461" s="22"/>
      <c r="B461" s="22"/>
      <c r="C461" s="22"/>
      <c r="D461" s="22"/>
      <c r="E461" s="22"/>
      <c r="F461" s="22"/>
      <c r="G461" s="22"/>
      <c r="H461" s="22"/>
      <c r="I461" s="22"/>
      <c r="J461" s="70"/>
    </row>
    <row r="462" spans="1:10">
      <c r="A462" s="22"/>
      <c r="B462" s="22"/>
      <c r="C462" s="22"/>
      <c r="D462" s="22"/>
      <c r="E462" s="22"/>
      <c r="F462" s="22"/>
      <c r="G462" s="22"/>
      <c r="H462" s="22"/>
      <c r="I462" s="22"/>
      <c r="J462" s="70"/>
    </row>
    <row r="463" spans="1:10">
      <c r="A463" s="22"/>
      <c r="B463" s="22"/>
      <c r="C463" s="22"/>
      <c r="D463" s="22"/>
      <c r="E463" s="22"/>
      <c r="F463" s="22"/>
      <c r="G463" s="22"/>
      <c r="H463" s="22"/>
      <c r="I463" s="22"/>
      <c r="J463" s="70"/>
    </row>
    <row r="464" spans="1:10">
      <c r="A464" s="22"/>
      <c r="B464" s="22"/>
      <c r="C464" s="22"/>
      <c r="D464" s="22"/>
      <c r="E464" s="22"/>
      <c r="F464" s="22"/>
      <c r="G464" s="22"/>
      <c r="H464" s="22"/>
      <c r="I464" s="22"/>
      <c r="J464" s="70"/>
    </row>
    <row r="465" spans="1:10">
      <c r="A465" s="22"/>
      <c r="B465" s="22"/>
      <c r="C465" s="22"/>
      <c r="D465" s="22"/>
      <c r="E465" s="22"/>
      <c r="F465" s="22"/>
      <c r="G465" s="22"/>
      <c r="H465" s="22"/>
      <c r="I465" s="22"/>
      <c r="J465" s="70"/>
    </row>
    <row r="466" spans="1:10">
      <c r="A466" s="22"/>
      <c r="B466" s="22"/>
      <c r="C466" s="22"/>
      <c r="D466" s="22"/>
      <c r="E466" s="22"/>
      <c r="F466" s="22"/>
      <c r="G466" s="22"/>
      <c r="H466" s="22"/>
      <c r="I466" s="22"/>
      <c r="J466" s="70"/>
    </row>
    <row r="467" spans="1:10">
      <c r="A467" s="22"/>
      <c r="B467" s="22"/>
      <c r="C467" s="22"/>
      <c r="D467" s="22"/>
      <c r="E467" s="22"/>
      <c r="F467" s="22"/>
      <c r="G467" s="22"/>
      <c r="H467" s="22"/>
      <c r="I467" s="22"/>
      <c r="J467" s="70"/>
    </row>
    <row r="468" spans="1:10">
      <c r="A468" s="22"/>
      <c r="B468" s="22"/>
      <c r="C468" s="22"/>
      <c r="D468" s="22"/>
      <c r="E468" s="22"/>
      <c r="F468" s="22"/>
      <c r="G468" s="22"/>
      <c r="H468" s="22"/>
      <c r="I468" s="22"/>
      <c r="J468" s="70"/>
    </row>
    <row r="469" spans="1:10">
      <c r="A469" s="22"/>
      <c r="B469" s="22"/>
      <c r="C469" s="22"/>
      <c r="D469" s="22"/>
      <c r="E469" s="22"/>
      <c r="F469" s="22"/>
      <c r="G469" s="22"/>
      <c r="H469" s="22"/>
      <c r="I469" s="22"/>
      <c r="J469" s="70"/>
    </row>
    <row r="470" spans="1:10">
      <c r="A470" s="22"/>
      <c r="B470" s="22"/>
      <c r="C470" s="22"/>
      <c r="D470" s="22"/>
      <c r="E470" s="22"/>
      <c r="F470" s="22"/>
      <c r="G470" s="22"/>
      <c r="H470" s="22"/>
      <c r="I470" s="22"/>
      <c r="J470" s="70"/>
    </row>
    <row r="471" spans="1:10">
      <c r="A471" s="22"/>
      <c r="B471" s="22"/>
      <c r="C471" s="22"/>
      <c r="D471" s="22"/>
      <c r="E471" s="22"/>
      <c r="F471" s="22"/>
      <c r="G471" s="22"/>
      <c r="H471" s="22"/>
      <c r="I471" s="22"/>
      <c r="J471" s="70"/>
    </row>
    <row r="472" spans="1:10">
      <c r="A472" s="22"/>
      <c r="B472" s="22"/>
      <c r="C472" s="22"/>
      <c r="D472" s="22"/>
      <c r="E472" s="22"/>
      <c r="F472" s="22"/>
      <c r="G472" s="22"/>
      <c r="H472" s="22"/>
      <c r="I472" s="22"/>
      <c r="J472" s="70"/>
    </row>
    <row r="473" spans="1:10">
      <c r="A473" s="22"/>
      <c r="B473" s="22"/>
      <c r="C473" s="22"/>
      <c r="D473" s="22"/>
      <c r="E473" s="22"/>
      <c r="F473" s="22"/>
      <c r="G473" s="22"/>
      <c r="H473" s="22"/>
      <c r="I473" s="22"/>
      <c r="J473" s="70"/>
    </row>
    <row r="474" spans="1:10">
      <c r="A474" s="22"/>
      <c r="B474" s="22"/>
      <c r="C474" s="22"/>
      <c r="D474" s="22"/>
      <c r="E474" s="22"/>
      <c r="F474" s="22"/>
      <c r="G474" s="22"/>
      <c r="H474" s="22"/>
      <c r="I474" s="22"/>
      <c r="J474" s="70"/>
    </row>
    <row r="475" spans="1:10">
      <c r="A475" s="22"/>
      <c r="B475" s="22"/>
      <c r="C475" s="22"/>
      <c r="D475" s="22"/>
      <c r="E475" s="22"/>
      <c r="F475" s="22"/>
      <c r="G475" s="22"/>
      <c r="H475" s="22"/>
      <c r="I475" s="22"/>
      <c r="J475" s="70"/>
    </row>
    <row r="476" spans="1:10">
      <c r="A476" s="22"/>
      <c r="B476" s="22"/>
      <c r="C476" s="22"/>
      <c r="D476" s="22"/>
      <c r="E476" s="22"/>
      <c r="F476" s="22"/>
      <c r="G476" s="22"/>
      <c r="H476" s="22"/>
      <c r="I476" s="22"/>
      <c r="J476" s="70"/>
    </row>
    <row r="477" spans="1:10">
      <c r="A477" s="22"/>
      <c r="B477" s="22"/>
      <c r="C477" s="22"/>
      <c r="D477" s="22"/>
      <c r="E477" s="22"/>
      <c r="F477" s="22"/>
      <c r="G477" s="22"/>
      <c r="H477" s="22"/>
      <c r="I477" s="22"/>
      <c r="J477" s="70"/>
    </row>
    <row r="478" spans="1:10">
      <c r="A478" s="22"/>
      <c r="B478" s="22"/>
      <c r="C478" s="22"/>
      <c r="D478" s="22"/>
      <c r="E478" s="22"/>
      <c r="F478" s="22"/>
      <c r="G478" s="22"/>
      <c r="H478" s="22"/>
      <c r="I478" s="22"/>
      <c r="J478" s="70"/>
    </row>
    <row r="479" spans="1:10">
      <c r="A479" s="22"/>
      <c r="B479" s="22"/>
      <c r="C479" s="22"/>
      <c r="D479" s="22"/>
      <c r="E479" s="22"/>
      <c r="F479" s="22"/>
      <c r="G479" s="22"/>
      <c r="H479" s="22"/>
      <c r="I479" s="22"/>
      <c r="J479" s="70"/>
    </row>
    <row r="480" spans="1:10">
      <c r="A480" s="22"/>
      <c r="B480" s="22"/>
      <c r="C480" s="22"/>
      <c r="D480" s="22"/>
      <c r="E480" s="22"/>
      <c r="F480" s="22"/>
      <c r="G480" s="22"/>
      <c r="H480" s="22"/>
      <c r="I480" s="22"/>
      <c r="J480" s="70"/>
    </row>
    <row r="481" spans="1:10">
      <c r="A481" s="22"/>
      <c r="B481" s="22"/>
      <c r="C481" s="22"/>
      <c r="D481" s="22"/>
      <c r="E481" s="22"/>
      <c r="F481" s="22"/>
      <c r="G481" s="22"/>
      <c r="H481" s="22"/>
      <c r="I481" s="22"/>
      <c r="J481" s="70"/>
    </row>
    <row r="482" spans="1:10">
      <c r="A482" s="22"/>
      <c r="B482" s="22"/>
      <c r="C482" s="22"/>
      <c r="D482" s="22"/>
      <c r="E482" s="22"/>
      <c r="F482" s="22"/>
      <c r="G482" s="22"/>
      <c r="H482" s="22"/>
      <c r="I482" s="22"/>
      <c r="J482" s="70"/>
    </row>
    <row r="483" spans="1:10">
      <c r="A483" s="22"/>
      <c r="B483" s="22"/>
      <c r="C483" s="22"/>
      <c r="D483" s="22"/>
      <c r="E483" s="22"/>
      <c r="F483" s="22"/>
      <c r="G483" s="22"/>
      <c r="H483" s="22"/>
      <c r="I483" s="22"/>
      <c r="J483" s="70"/>
    </row>
    <row r="484" spans="1:10">
      <c r="A484" s="22"/>
      <c r="B484" s="22"/>
      <c r="C484" s="22"/>
      <c r="D484" s="22"/>
      <c r="E484" s="22"/>
      <c r="F484" s="22"/>
      <c r="G484" s="22"/>
      <c r="H484" s="22"/>
      <c r="I484" s="22"/>
      <c r="J484" s="70"/>
    </row>
    <row r="485" spans="1:10">
      <c r="A485" s="22"/>
      <c r="B485" s="22"/>
      <c r="C485" s="22"/>
      <c r="D485" s="22"/>
      <c r="E485" s="22"/>
      <c r="F485" s="22"/>
      <c r="G485" s="22"/>
      <c r="H485" s="22"/>
      <c r="I485" s="22"/>
      <c r="J485" s="70"/>
    </row>
    <row r="486" spans="1:10">
      <c r="A486" s="22"/>
      <c r="B486" s="22"/>
      <c r="C486" s="22"/>
      <c r="D486" s="22"/>
      <c r="E486" s="22"/>
      <c r="F486" s="22"/>
      <c r="G486" s="22"/>
      <c r="H486" s="22"/>
      <c r="I486" s="22"/>
      <c r="J486" s="70"/>
    </row>
    <row r="487" spans="1:10">
      <c r="A487" s="22"/>
      <c r="B487" s="22"/>
      <c r="C487" s="22"/>
      <c r="D487" s="22"/>
      <c r="E487" s="22"/>
      <c r="F487" s="22"/>
      <c r="G487" s="22"/>
      <c r="H487" s="22"/>
      <c r="I487" s="22"/>
      <c r="J487" s="70"/>
    </row>
    <row r="488" spans="1:10">
      <c r="A488" s="22"/>
      <c r="B488" s="22"/>
      <c r="C488" s="22"/>
      <c r="D488" s="22"/>
      <c r="E488" s="22"/>
      <c r="F488" s="22"/>
      <c r="G488" s="22"/>
      <c r="H488" s="22"/>
      <c r="I488" s="22"/>
      <c r="J488" s="70"/>
    </row>
    <row r="489" spans="1:10">
      <c r="A489" s="22"/>
      <c r="B489" s="22"/>
      <c r="C489" s="22"/>
      <c r="D489" s="22"/>
      <c r="E489" s="22"/>
      <c r="F489" s="22"/>
      <c r="G489" s="22"/>
      <c r="H489" s="22"/>
      <c r="I489" s="22"/>
      <c r="J489" s="70"/>
    </row>
    <row r="490" spans="1:10">
      <c r="A490" s="22"/>
      <c r="B490" s="22"/>
      <c r="C490" s="22"/>
      <c r="D490" s="22"/>
      <c r="E490" s="22"/>
      <c r="F490" s="22"/>
      <c r="G490" s="22"/>
      <c r="H490" s="22"/>
      <c r="I490" s="22"/>
      <c r="J490" s="70"/>
    </row>
    <row r="491" spans="1:10">
      <c r="A491" s="22"/>
      <c r="B491" s="22"/>
      <c r="C491" s="22"/>
      <c r="D491" s="22"/>
      <c r="E491" s="22"/>
      <c r="F491" s="22"/>
      <c r="G491" s="22"/>
      <c r="H491" s="22"/>
      <c r="I491" s="22"/>
      <c r="J491" s="70"/>
    </row>
    <row r="492" spans="1:10">
      <c r="A492" s="22"/>
      <c r="B492" s="22"/>
      <c r="C492" s="22"/>
      <c r="D492" s="22"/>
      <c r="E492" s="22"/>
      <c r="F492" s="22"/>
      <c r="G492" s="22"/>
      <c r="H492" s="22"/>
      <c r="I492" s="22"/>
      <c r="J492" s="70"/>
    </row>
    <row r="493" spans="1:10">
      <c r="A493" s="22"/>
      <c r="B493" s="22"/>
      <c r="C493" s="22"/>
      <c r="D493" s="22"/>
      <c r="E493" s="22"/>
      <c r="F493" s="22"/>
      <c r="G493" s="22"/>
      <c r="H493" s="22"/>
      <c r="I493" s="22"/>
      <c r="J493" s="70"/>
    </row>
    <row r="494" spans="1:10">
      <c r="A494" s="22"/>
      <c r="B494" s="22"/>
      <c r="C494" s="22"/>
      <c r="D494" s="22"/>
      <c r="E494" s="22"/>
      <c r="F494" s="22"/>
      <c r="G494" s="22"/>
      <c r="H494" s="22"/>
      <c r="I494" s="22"/>
      <c r="J494" s="70"/>
    </row>
    <row r="495" spans="1:10">
      <c r="A495" s="22"/>
      <c r="B495" s="22"/>
      <c r="C495" s="22"/>
      <c r="D495" s="22"/>
      <c r="E495" s="22"/>
      <c r="F495" s="22"/>
      <c r="G495" s="22"/>
      <c r="H495" s="22"/>
      <c r="I495" s="22"/>
      <c r="J495" s="70"/>
    </row>
    <row r="496" spans="1:10">
      <c r="A496" s="22"/>
      <c r="B496" s="22"/>
      <c r="C496" s="22"/>
      <c r="D496" s="22"/>
      <c r="E496" s="22"/>
      <c r="F496" s="22"/>
      <c r="G496" s="22"/>
      <c r="H496" s="22"/>
      <c r="I496" s="22"/>
      <c r="J496" s="70"/>
    </row>
    <row r="497" spans="1:10">
      <c r="A497" s="22"/>
      <c r="B497" s="22"/>
      <c r="C497" s="22"/>
      <c r="D497" s="22"/>
      <c r="E497" s="22"/>
      <c r="F497" s="22"/>
      <c r="G497" s="22"/>
      <c r="H497" s="22"/>
      <c r="I497" s="22"/>
      <c r="J497" s="70"/>
    </row>
    <row r="498" spans="1:10">
      <c r="A498" s="22"/>
      <c r="B498" s="22"/>
      <c r="C498" s="22"/>
      <c r="D498" s="22"/>
      <c r="E498" s="22"/>
      <c r="F498" s="22"/>
      <c r="G498" s="22"/>
      <c r="H498" s="22"/>
      <c r="I498" s="22"/>
      <c r="J498" s="70"/>
    </row>
    <row r="499" spans="1:10">
      <c r="A499" s="22"/>
      <c r="B499" s="22"/>
      <c r="C499" s="22"/>
      <c r="D499" s="22"/>
      <c r="E499" s="22"/>
      <c r="F499" s="22"/>
      <c r="G499" s="22"/>
      <c r="H499" s="22"/>
      <c r="I499" s="22"/>
      <c r="J499" s="70"/>
    </row>
    <row r="500" spans="1:10">
      <c r="A500" s="22"/>
      <c r="B500" s="22"/>
      <c r="C500" s="22"/>
      <c r="D500" s="22"/>
      <c r="E500" s="22"/>
      <c r="F500" s="22"/>
      <c r="G500" s="22"/>
      <c r="H500" s="22"/>
      <c r="I500" s="22"/>
      <c r="J500" s="70"/>
    </row>
    <row r="501" spans="1:10">
      <c r="A501" s="22"/>
      <c r="B501" s="22"/>
      <c r="C501" s="22"/>
      <c r="D501" s="22"/>
      <c r="E501" s="22"/>
      <c r="F501" s="22"/>
      <c r="G501" s="22"/>
      <c r="H501" s="22"/>
      <c r="I501" s="22"/>
      <c r="J501" s="70"/>
    </row>
    <row r="502" spans="1:10">
      <c r="A502" s="22"/>
      <c r="B502" s="22"/>
      <c r="C502" s="22"/>
      <c r="D502" s="22"/>
      <c r="E502" s="22"/>
      <c r="F502" s="22"/>
      <c r="G502" s="22"/>
      <c r="H502" s="22"/>
      <c r="I502" s="22"/>
      <c r="J502" s="70"/>
    </row>
    <row r="503" spans="1:10">
      <c r="A503" s="22"/>
      <c r="B503" s="22"/>
      <c r="C503" s="22"/>
      <c r="D503" s="22"/>
      <c r="E503" s="22"/>
      <c r="F503" s="22"/>
      <c r="G503" s="22"/>
      <c r="H503" s="22"/>
      <c r="I503" s="22"/>
      <c r="J503" s="70"/>
    </row>
    <row r="504" spans="1:10">
      <c r="A504" s="22"/>
      <c r="B504" s="22"/>
      <c r="C504" s="22"/>
      <c r="D504" s="22"/>
      <c r="E504" s="22"/>
      <c r="F504" s="22"/>
      <c r="G504" s="22"/>
      <c r="H504" s="22"/>
      <c r="I504" s="22"/>
      <c r="J504" s="70"/>
    </row>
    <row r="505" spans="1:10">
      <c r="A505" s="22"/>
      <c r="B505" s="22"/>
      <c r="C505" s="22"/>
      <c r="D505" s="22"/>
      <c r="E505" s="22"/>
      <c r="F505" s="22"/>
      <c r="G505" s="22"/>
      <c r="H505" s="22"/>
      <c r="I505" s="22"/>
      <c r="J505" s="70"/>
    </row>
    <row r="506" spans="1:10">
      <c r="A506" s="22"/>
      <c r="B506" s="22"/>
      <c r="C506" s="22"/>
      <c r="D506" s="22"/>
      <c r="E506" s="22"/>
      <c r="F506" s="22"/>
      <c r="G506" s="22"/>
      <c r="H506" s="22"/>
      <c r="I506" s="22"/>
      <c r="J506" s="70"/>
    </row>
    <row r="507" spans="1:10">
      <c r="A507" s="22"/>
      <c r="B507" s="22"/>
      <c r="C507" s="22"/>
      <c r="D507" s="22"/>
      <c r="E507" s="22"/>
      <c r="F507" s="22"/>
      <c r="G507" s="22"/>
      <c r="H507" s="22"/>
      <c r="I507" s="22"/>
      <c r="J507" s="70"/>
    </row>
    <row r="508" spans="1:10">
      <c r="A508" s="22"/>
      <c r="B508" s="22"/>
      <c r="C508" s="22"/>
      <c r="D508" s="22"/>
      <c r="E508" s="22"/>
      <c r="F508" s="22"/>
      <c r="G508" s="22"/>
      <c r="H508" s="22"/>
      <c r="I508" s="22"/>
      <c r="J508" s="70"/>
    </row>
    <row r="509" spans="1:10">
      <c r="A509" s="22"/>
      <c r="B509" s="22"/>
      <c r="C509" s="22"/>
      <c r="D509" s="22"/>
      <c r="E509" s="22"/>
      <c r="F509" s="22"/>
      <c r="G509" s="22"/>
      <c r="H509" s="22"/>
      <c r="I509" s="22"/>
      <c r="J509" s="70"/>
    </row>
    <row r="510" spans="1:10">
      <c r="A510" s="22"/>
      <c r="B510" s="22"/>
      <c r="C510" s="22"/>
      <c r="D510" s="22"/>
      <c r="E510" s="22"/>
      <c r="F510" s="22"/>
      <c r="G510" s="22"/>
      <c r="H510" s="22"/>
      <c r="I510" s="22"/>
      <c r="J510" s="70"/>
    </row>
    <row r="511" spans="1:10">
      <c r="A511" s="22"/>
      <c r="B511" s="22"/>
      <c r="C511" s="22"/>
      <c r="D511" s="22"/>
      <c r="E511" s="22"/>
      <c r="F511" s="22"/>
      <c r="G511" s="22"/>
      <c r="H511" s="22"/>
      <c r="I511" s="22"/>
      <c r="J511" s="70"/>
    </row>
    <row r="512" spans="1:10">
      <c r="A512" s="22"/>
      <c r="B512" s="22"/>
      <c r="C512" s="22"/>
      <c r="D512" s="22"/>
      <c r="E512" s="22"/>
      <c r="F512" s="22"/>
      <c r="G512" s="22"/>
      <c r="H512" s="22"/>
      <c r="I512" s="22"/>
      <c r="J512" s="70"/>
    </row>
    <row r="513" spans="1:10">
      <c r="A513" s="22"/>
      <c r="B513" s="22"/>
      <c r="C513" s="22"/>
      <c r="D513" s="22"/>
      <c r="E513" s="22"/>
      <c r="F513" s="22"/>
      <c r="G513" s="22"/>
      <c r="H513" s="22"/>
      <c r="I513" s="22"/>
      <c r="J513" s="70"/>
    </row>
    <row r="514" spans="1:10">
      <c r="A514" s="22"/>
      <c r="B514" s="22"/>
      <c r="C514" s="22"/>
      <c r="D514" s="22"/>
      <c r="E514" s="22"/>
      <c r="F514" s="22"/>
      <c r="G514" s="22"/>
      <c r="H514" s="22"/>
      <c r="I514" s="22"/>
      <c r="J514" s="70"/>
    </row>
    <row r="515" spans="1:10">
      <c r="A515" s="22"/>
      <c r="B515" s="22"/>
      <c r="C515" s="22"/>
      <c r="D515" s="22"/>
      <c r="E515" s="22"/>
      <c r="F515" s="22"/>
      <c r="G515" s="22"/>
      <c r="H515" s="22"/>
      <c r="I515" s="22"/>
      <c r="J515" s="70"/>
    </row>
    <row r="516" spans="1:10">
      <c r="A516" s="22"/>
      <c r="B516" s="22"/>
      <c r="C516" s="22"/>
      <c r="D516" s="22"/>
      <c r="E516" s="22"/>
      <c r="F516" s="22"/>
      <c r="G516" s="22"/>
      <c r="H516" s="22"/>
      <c r="I516" s="22"/>
      <c r="J516" s="70"/>
    </row>
    <row r="517" spans="1:10">
      <c r="A517" s="22"/>
      <c r="B517" s="22"/>
      <c r="C517" s="22"/>
      <c r="D517" s="22"/>
      <c r="E517" s="22"/>
      <c r="F517" s="22"/>
      <c r="G517" s="22"/>
      <c r="H517" s="22"/>
      <c r="I517" s="22"/>
      <c r="J517" s="70"/>
    </row>
    <row r="518" spans="1:10">
      <c r="A518" s="22"/>
      <c r="B518" s="22"/>
      <c r="C518" s="22"/>
      <c r="D518" s="22"/>
      <c r="E518" s="22"/>
      <c r="F518" s="22"/>
      <c r="G518" s="22"/>
      <c r="H518" s="22"/>
      <c r="I518" s="22"/>
      <c r="J518" s="70"/>
    </row>
    <row r="519" spans="1:10">
      <c r="A519" s="22"/>
      <c r="B519" s="22"/>
      <c r="C519" s="22"/>
      <c r="D519" s="22"/>
      <c r="E519" s="22"/>
      <c r="F519" s="22"/>
      <c r="G519" s="22"/>
      <c r="H519" s="22"/>
      <c r="I519" s="22"/>
      <c r="J519" s="70"/>
    </row>
    <row r="520" spans="1:10">
      <c r="A520" s="22"/>
      <c r="B520" s="22"/>
      <c r="C520" s="22"/>
      <c r="D520" s="22"/>
      <c r="E520" s="22"/>
      <c r="F520" s="22"/>
      <c r="G520" s="22"/>
      <c r="H520" s="22"/>
      <c r="I520" s="22"/>
      <c r="J520" s="70"/>
    </row>
    <row r="521" spans="1:10">
      <c r="A521" s="22"/>
      <c r="B521" s="22"/>
      <c r="C521" s="22"/>
      <c r="D521" s="22"/>
      <c r="E521" s="22"/>
      <c r="F521" s="22"/>
      <c r="G521" s="22"/>
      <c r="H521" s="22"/>
      <c r="I521" s="22"/>
      <c r="J521" s="70"/>
    </row>
    <row r="522" spans="1:10">
      <c r="A522" s="22"/>
      <c r="B522" s="22"/>
      <c r="C522" s="22"/>
      <c r="D522" s="22"/>
      <c r="E522" s="22"/>
      <c r="F522" s="22"/>
      <c r="G522" s="22"/>
      <c r="H522" s="22"/>
      <c r="I522" s="22"/>
      <c r="J522" s="70"/>
    </row>
    <row r="523" spans="1:10">
      <c r="A523" s="22"/>
      <c r="B523" s="22"/>
      <c r="C523" s="22"/>
      <c r="D523" s="22"/>
      <c r="E523" s="22"/>
      <c r="F523" s="22"/>
      <c r="G523" s="22"/>
      <c r="H523" s="22"/>
      <c r="I523" s="22"/>
      <c r="J523" s="70"/>
    </row>
    <row r="524" spans="1:10">
      <c r="A524" s="22"/>
      <c r="B524" s="22"/>
      <c r="C524" s="22"/>
      <c r="D524" s="22"/>
      <c r="E524" s="22"/>
      <c r="F524" s="22"/>
      <c r="G524" s="22"/>
      <c r="H524" s="22"/>
      <c r="I524" s="22"/>
      <c r="J524" s="70"/>
    </row>
    <row r="525" spans="1:10">
      <c r="A525" s="22"/>
      <c r="B525" s="22"/>
      <c r="C525" s="22"/>
      <c r="D525" s="22"/>
      <c r="E525" s="22"/>
      <c r="F525" s="22"/>
      <c r="G525" s="22"/>
      <c r="H525" s="22"/>
      <c r="I525" s="22"/>
      <c r="J525" s="70"/>
    </row>
    <row r="526" spans="1:10">
      <c r="A526" s="22"/>
      <c r="B526" s="22"/>
      <c r="C526" s="22"/>
      <c r="D526" s="22"/>
      <c r="E526" s="22"/>
      <c r="F526" s="22"/>
      <c r="G526" s="22"/>
      <c r="H526" s="22"/>
      <c r="I526" s="22"/>
      <c r="J526" s="70"/>
    </row>
    <row r="527" spans="1:10">
      <c r="A527" s="22"/>
      <c r="B527" s="22"/>
      <c r="C527" s="22"/>
      <c r="D527" s="22"/>
      <c r="E527" s="22"/>
      <c r="F527" s="22"/>
      <c r="G527" s="22"/>
      <c r="H527" s="22"/>
      <c r="I527" s="22"/>
      <c r="J527" s="70"/>
    </row>
    <row r="528" spans="1:10">
      <c r="A528" s="22"/>
      <c r="B528" s="22"/>
      <c r="C528" s="22"/>
      <c r="D528" s="22"/>
      <c r="E528" s="22"/>
      <c r="F528" s="22"/>
      <c r="G528" s="22"/>
      <c r="H528" s="22"/>
      <c r="I528" s="22"/>
      <c r="J528" s="70"/>
    </row>
    <row r="529" spans="1:10">
      <c r="A529" s="22"/>
      <c r="B529" s="22"/>
      <c r="C529" s="22"/>
      <c r="D529" s="22"/>
      <c r="E529" s="22"/>
      <c r="F529" s="22"/>
      <c r="G529" s="22"/>
      <c r="H529" s="22"/>
      <c r="I529" s="22"/>
      <c r="J529" s="70"/>
    </row>
    <row r="530" spans="1:10">
      <c r="A530" s="22"/>
      <c r="B530" s="22"/>
      <c r="C530" s="22"/>
      <c r="D530" s="22"/>
      <c r="E530" s="22"/>
      <c r="F530" s="22"/>
      <c r="G530" s="22"/>
      <c r="H530" s="22"/>
      <c r="I530" s="22"/>
      <c r="J530" s="70"/>
    </row>
    <row r="531" spans="1:10">
      <c r="A531" s="22"/>
      <c r="B531" s="22"/>
      <c r="C531" s="22"/>
      <c r="D531" s="22"/>
      <c r="E531" s="22"/>
      <c r="F531" s="22"/>
      <c r="G531" s="22"/>
      <c r="H531" s="22"/>
      <c r="I531" s="22"/>
      <c r="J531" s="70"/>
    </row>
    <row r="532" spans="1:10">
      <c r="A532" s="22"/>
      <c r="B532" s="22"/>
      <c r="C532" s="22"/>
      <c r="D532" s="22"/>
      <c r="E532" s="22"/>
      <c r="F532" s="22"/>
      <c r="G532" s="22"/>
      <c r="H532" s="22"/>
      <c r="I532" s="22"/>
      <c r="J532" s="70"/>
    </row>
    <row r="533" spans="1:10">
      <c r="A533" s="22"/>
      <c r="B533" s="22"/>
      <c r="C533" s="22"/>
      <c r="D533" s="22"/>
      <c r="E533" s="22"/>
      <c r="F533" s="22"/>
      <c r="G533" s="22"/>
      <c r="H533" s="22"/>
      <c r="I533" s="22"/>
      <c r="J533" s="70"/>
    </row>
    <row r="534" spans="1:10">
      <c r="A534" s="22"/>
      <c r="B534" s="22"/>
      <c r="C534" s="22"/>
      <c r="D534" s="22"/>
      <c r="E534" s="22"/>
      <c r="F534" s="22"/>
      <c r="G534" s="22"/>
      <c r="H534" s="22"/>
      <c r="I534" s="22"/>
      <c r="J534" s="70"/>
    </row>
    <row r="535" spans="1:10">
      <c r="A535" s="22"/>
      <c r="B535" s="22"/>
      <c r="C535" s="22"/>
      <c r="D535" s="22"/>
      <c r="E535" s="22"/>
      <c r="F535" s="22"/>
      <c r="G535" s="22"/>
      <c r="H535" s="22"/>
      <c r="I535" s="22"/>
      <c r="J535" s="70"/>
    </row>
    <row r="536" spans="1:10">
      <c r="A536" s="22"/>
      <c r="B536" s="22"/>
      <c r="C536" s="22"/>
      <c r="D536" s="22"/>
      <c r="E536" s="22"/>
      <c r="F536" s="22"/>
      <c r="G536" s="22"/>
      <c r="H536" s="22"/>
      <c r="I536" s="22"/>
      <c r="J536" s="70"/>
    </row>
    <row r="537" spans="1:10">
      <c r="A537" s="22"/>
      <c r="B537" s="22"/>
      <c r="C537" s="22"/>
      <c r="D537" s="22"/>
      <c r="E537" s="22"/>
      <c r="F537" s="22"/>
      <c r="G537" s="22"/>
      <c r="H537" s="22"/>
      <c r="I537" s="22"/>
      <c r="J537" s="70"/>
    </row>
    <row r="538" spans="1:10">
      <c r="A538" s="22"/>
      <c r="B538" s="22"/>
      <c r="C538" s="22"/>
      <c r="D538" s="22"/>
      <c r="E538" s="22"/>
      <c r="F538" s="22"/>
      <c r="G538" s="22"/>
      <c r="H538" s="22"/>
      <c r="I538" s="22"/>
      <c r="J538" s="70"/>
    </row>
    <row r="539" spans="1:10">
      <c r="A539" s="22"/>
      <c r="B539" s="22"/>
      <c r="C539" s="22"/>
      <c r="D539" s="22"/>
      <c r="E539" s="22"/>
      <c r="F539" s="22"/>
      <c r="G539" s="22"/>
      <c r="H539" s="22"/>
      <c r="I539" s="22"/>
      <c r="J539" s="70"/>
    </row>
    <row r="540" spans="1:10">
      <c r="A540" s="22"/>
      <c r="B540" s="22"/>
      <c r="C540" s="22"/>
      <c r="D540" s="22"/>
      <c r="E540" s="22"/>
      <c r="F540" s="22"/>
      <c r="G540" s="22"/>
      <c r="H540" s="22"/>
      <c r="I540" s="22"/>
      <c r="J540" s="70"/>
    </row>
    <row r="541" spans="1:10">
      <c r="A541" s="22"/>
      <c r="B541" s="22"/>
      <c r="C541" s="22"/>
      <c r="D541" s="22"/>
      <c r="E541" s="22"/>
      <c r="F541" s="22"/>
      <c r="G541" s="22"/>
      <c r="H541" s="22"/>
      <c r="I541" s="22"/>
      <c r="J541" s="70"/>
    </row>
    <row r="542" spans="1:10">
      <c r="A542" s="22"/>
      <c r="B542" s="22"/>
      <c r="C542" s="22"/>
      <c r="D542" s="22"/>
      <c r="E542" s="22"/>
      <c r="F542" s="22"/>
      <c r="G542" s="22"/>
      <c r="H542" s="22"/>
      <c r="I542" s="22"/>
      <c r="J542" s="70"/>
    </row>
    <row r="543" spans="1:10">
      <c r="A543" s="22"/>
      <c r="B543" s="22"/>
      <c r="C543" s="22"/>
      <c r="D543" s="22"/>
      <c r="E543" s="22"/>
      <c r="F543" s="22"/>
      <c r="G543" s="22"/>
      <c r="H543" s="22"/>
      <c r="I543" s="22"/>
      <c r="J543" s="70"/>
    </row>
    <row r="544" spans="1:10">
      <c r="A544" s="22"/>
      <c r="B544" s="22"/>
      <c r="C544" s="22"/>
      <c r="D544" s="22"/>
      <c r="E544" s="22"/>
      <c r="F544" s="22"/>
      <c r="G544" s="22"/>
      <c r="H544" s="22"/>
      <c r="I544" s="22"/>
      <c r="J544" s="70"/>
    </row>
    <row r="545" spans="1:10">
      <c r="A545" s="22"/>
      <c r="B545" s="22"/>
      <c r="C545" s="22"/>
      <c r="D545" s="22"/>
      <c r="E545" s="22"/>
      <c r="F545" s="22"/>
      <c r="G545" s="22"/>
      <c r="H545" s="22"/>
      <c r="I545" s="22"/>
      <c r="J545" s="70"/>
    </row>
    <row r="546" spans="1:10">
      <c r="A546" s="22"/>
      <c r="B546" s="22"/>
      <c r="C546" s="22"/>
      <c r="D546" s="22"/>
      <c r="E546" s="22"/>
      <c r="F546" s="22"/>
      <c r="G546" s="22"/>
      <c r="H546" s="22"/>
      <c r="I546" s="22"/>
      <c r="J546" s="70"/>
    </row>
    <row r="547" spans="1:10">
      <c r="A547" s="22"/>
      <c r="B547" s="22"/>
      <c r="C547" s="22"/>
      <c r="D547" s="22"/>
      <c r="E547" s="22"/>
      <c r="F547" s="22"/>
      <c r="G547" s="22"/>
      <c r="H547" s="22"/>
      <c r="I547" s="22"/>
      <c r="J547" s="70"/>
    </row>
    <row r="548" spans="1:10">
      <c r="A548" s="22"/>
      <c r="B548" s="22"/>
      <c r="C548" s="22"/>
      <c r="D548" s="22"/>
      <c r="E548" s="22"/>
      <c r="F548" s="22"/>
      <c r="G548" s="22"/>
      <c r="H548" s="22"/>
      <c r="I548" s="22"/>
      <c r="J548" s="70"/>
    </row>
    <row r="549" spans="1:10">
      <c r="A549" s="22"/>
      <c r="B549" s="22"/>
      <c r="C549" s="22"/>
      <c r="D549" s="22"/>
      <c r="E549" s="22"/>
      <c r="F549" s="22"/>
      <c r="G549" s="22"/>
      <c r="H549" s="22"/>
      <c r="I549" s="22"/>
      <c r="J549" s="70"/>
    </row>
    <row r="550" spans="1:10">
      <c r="A550" s="22"/>
      <c r="B550" s="22"/>
      <c r="C550" s="22"/>
      <c r="D550" s="22"/>
      <c r="E550" s="22"/>
      <c r="F550" s="22"/>
      <c r="G550" s="22"/>
      <c r="H550" s="22"/>
      <c r="I550" s="22"/>
      <c r="J550" s="70"/>
    </row>
    <row r="551" spans="1:10">
      <c r="A551" s="22"/>
      <c r="B551" s="22"/>
      <c r="C551" s="22"/>
      <c r="D551" s="22"/>
      <c r="E551" s="22"/>
      <c r="F551" s="22"/>
      <c r="G551" s="22"/>
      <c r="H551" s="22"/>
      <c r="I551" s="22"/>
      <c r="J551" s="70"/>
    </row>
    <row r="552" spans="1:10">
      <c r="A552" s="22"/>
      <c r="B552" s="22"/>
      <c r="C552" s="22"/>
      <c r="D552" s="22"/>
      <c r="E552" s="22"/>
      <c r="F552" s="22"/>
      <c r="G552" s="22"/>
      <c r="H552" s="22"/>
      <c r="I552" s="22"/>
      <c r="J552" s="70"/>
    </row>
    <row r="553" spans="1:10">
      <c r="A553" s="22"/>
      <c r="B553" s="22"/>
      <c r="C553" s="22"/>
      <c r="D553" s="22"/>
      <c r="E553" s="22"/>
      <c r="F553" s="22"/>
      <c r="G553" s="22"/>
      <c r="H553" s="22"/>
      <c r="I553" s="22"/>
      <c r="J553" s="70"/>
    </row>
    <row r="554" spans="1:10">
      <c r="A554" s="22"/>
      <c r="B554" s="22"/>
      <c r="C554" s="22"/>
      <c r="D554" s="22"/>
      <c r="E554" s="22"/>
      <c r="F554" s="22"/>
      <c r="G554" s="22"/>
      <c r="H554" s="22"/>
      <c r="I554" s="22"/>
      <c r="J554" s="70"/>
    </row>
    <row r="555" spans="1:10">
      <c r="A555" s="22"/>
      <c r="B555" s="22"/>
      <c r="C555" s="22"/>
      <c r="D555" s="22"/>
      <c r="E555" s="22"/>
      <c r="F555" s="22"/>
      <c r="G555" s="22"/>
      <c r="H555" s="22"/>
      <c r="I555" s="22"/>
      <c r="J555" s="70"/>
    </row>
    <row r="556" spans="1:10">
      <c r="A556" s="22"/>
      <c r="B556" s="22"/>
      <c r="C556" s="22"/>
      <c r="D556" s="22"/>
      <c r="E556" s="22"/>
      <c r="F556" s="22"/>
      <c r="G556" s="22"/>
      <c r="H556" s="22"/>
      <c r="I556" s="22"/>
      <c r="J556" s="70"/>
    </row>
    <row r="557" spans="1:10">
      <c r="A557" s="22"/>
      <c r="B557" s="22"/>
      <c r="C557" s="22"/>
      <c r="D557" s="22"/>
      <c r="E557" s="22"/>
      <c r="F557" s="22"/>
      <c r="G557" s="22"/>
      <c r="H557" s="22"/>
      <c r="I557" s="22"/>
      <c r="J557" s="70"/>
    </row>
    <row r="558" spans="1:10">
      <c r="A558" s="22"/>
      <c r="B558" s="22"/>
      <c r="C558" s="22"/>
      <c r="D558" s="22"/>
      <c r="E558" s="22"/>
      <c r="F558" s="22"/>
      <c r="G558" s="22"/>
      <c r="H558" s="22"/>
      <c r="I558" s="22"/>
      <c r="J558" s="70"/>
    </row>
    <row r="559" spans="1:10">
      <c r="A559" s="22"/>
      <c r="B559" s="22"/>
      <c r="C559" s="22"/>
      <c r="D559" s="22"/>
      <c r="E559" s="22"/>
      <c r="F559" s="22"/>
      <c r="G559" s="22"/>
      <c r="H559" s="22"/>
      <c r="I559" s="22"/>
      <c r="J559" s="70"/>
    </row>
    <row r="560" spans="1:10">
      <c r="A560" s="22"/>
      <c r="B560" s="22"/>
      <c r="C560" s="22"/>
      <c r="D560" s="22"/>
      <c r="E560" s="22"/>
      <c r="F560" s="22"/>
      <c r="G560" s="22"/>
      <c r="H560" s="22"/>
      <c r="I560" s="22"/>
      <c r="J560" s="70"/>
    </row>
    <row r="561" spans="1:10">
      <c r="A561" s="22"/>
      <c r="B561" s="22"/>
      <c r="C561" s="22"/>
      <c r="D561" s="22"/>
      <c r="E561" s="22"/>
      <c r="F561" s="22"/>
      <c r="G561" s="22"/>
      <c r="H561" s="22"/>
      <c r="I561" s="22"/>
      <c r="J561" s="70"/>
    </row>
    <row r="562" spans="1:10">
      <c r="A562" s="22"/>
      <c r="B562" s="22"/>
      <c r="C562" s="22"/>
      <c r="D562" s="22"/>
      <c r="E562" s="22"/>
      <c r="F562" s="22"/>
      <c r="G562" s="22"/>
      <c r="H562" s="22"/>
      <c r="I562" s="22"/>
      <c r="J562" s="70"/>
    </row>
    <row r="563" spans="1:10">
      <c r="A563" s="22"/>
      <c r="B563" s="22"/>
      <c r="C563" s="22"/>
      <c r="D563" s="22"/>
      <c r="E563" s="22"/>
      <c r="F563" s="22"/>
      <c r="G563" s="22"/>
      <c r="H563" s="22"/>
      <c r="I563" s="22"/>
      <c r="J563" s="70"/>
    </row>
    <row r="564" spans="1:10">
      <c r="A564" s="22"/>
      <c r="B564" s="22"/>
      <c r="C564" s="22"/>
      <c r="D564" s="22"/>
      <c r="E564" s="22"/>
      <c r="F564" s="22"/>
      <c r="G564" s="22"/>
      <c r="H564" s="22"/>
      <c r="I564" s="22"/>
      <c r="J564" s="70"/>
    </row>
    <row r="565" spans="1:10">
      <c r="A565" s="22"/>
      <c r="B565" s="22"/>
      <c r="C565" s="22"/>
      <c r="D565" s="22"/>
      <c r="E565" s="22"/>
      <c r="F565" s="22"/>
      <c r="G565" s="22"/>
      <c r="H565" s="22"/>
      <c r="I565" s="22"/>
      <c r="J565" s="70"/>
    </row>
    <row r="566" spans="1:10">
      <c r="A566" s="22"/>
      <c r="B566" s="22"/>
      <c r="C566" s="22"/>
      <c r="D566" s="22"/>
      <c r="E566" s="22"/>
      <c r="F566" s="22"/>
      <c r="G566" s="22"/>
      <c r="H566" s="22"/>
      <c r="I566" s="22"/>
      <c r="J566" s="70"/>
    </row>
    <row r="567" spans="1:10">
      <c r="A567" s="22"/>
      <c r="B567" s="22"/>
      <c r="C567" s="22"/>
      <c r="D567" s="22"/>
      <c r="E567" s="22"/>
      <c r="F567" s="22"/>
      <c r="G567" s="22"/>
      <c r="H567" s="22"/>
      <c r="I567" s="22"/>
      <c r="J567" s="70"/>
    </row>
    <row r="568" spans="1:10">
      <c r="A568" s="22"/>
      <c r="B568" s="22"/>
      <c r="C568" s="22"/>
      <c r="D568" s="22"/>
      <c r="E568" s="22"/>
      <c r="F568" s="22"/>
      <c r="G568" s="22"/>
      <c r="H568" s="22"/>
      <c r="I568" s="22"/>
      <c r="J568" s="70"/>
    </row>
    <row r="569" spans="1:10">
      <c r="A569" s="22"/>
      <c r="B569" s="22"/>
      <c r="C569" s="22"/>
      <c r="D569" s="22"/>
      <c r="E569" s="22"/>
      <c r="F569" s="22"/>
      <c r="G569" s="22"/>
      <c r="H569" s="22"/>
      <c r="I569" s="22"/>
      <c r="J569" s="70"/>
    </row>
    <row r="570" spans="1:10">
      <c r="A570" s="22"/>
      <c r="B570" s="22"/>
      <c r="C570" s="22"/>
      <c r="D570" s="22"/>
      <c r="E570" s="22"/>
      <c r="F570" s="22"/>
      <c r="G570" s="22"/>
      <c r="H570" s="22"/>
      <c r="I570" s="22"/>
      <c r="J570" s="70"/>
    </row>
    <row r="571" spans="1:10">
      <c r="A571" s="22"/>
      <c r="B571" s="22"/>
      <c r="C571" s="22"/>
      <c r="D571" s="22"/>
      <c r="E571" s="22"/>
      <c r="F571" s="22"/>
      <c r="G571" s="22"/>
      <c r="H571" s="22"/>
      <c r="I571" s="22"/>
      <c r="J571" s="70"/>
    </row>
    <row r="572" spans="1:10">
      <c r="A572" s="22"/>
      <c r="B572" s="22"/>
      <c r="C572" s="22"/>
      <c r="D572" s="22"/>
      <c r="E572" s="22"/>
      <c r="F572" s="22"/>
      <c r="G572" s="22"/>
      <c r="H572" s="22"/>
      <c r="I572" s="22"/>
      <c r="J572" s="70"/>
    </row>
    <row r="573" spans="1:10">
      <c r="A573" s="22"/>
      <c r="B573" s="22"/>
      <c r="C573" s="22"/>
      <c r="D573" s="22"/>
      <c r="E573" s="22"/>
      <c r="F573" s="22"/>
      <c r="G573" s="22"/>
      <c r="H573" s="22"/>
      <c r="I573" s="22"/>
      <c r="J573" s="70"/>
    </row>
    <row r="574" spans="1:10">
      <c r="A574" s="22"/>
      <c r="B574" s="22"/>
      <c r="C574" s="22"/>
      <c r="D574" s="22"/>
      <c r="E574" s="22"/>
      <c r="F574" s="22"/>
      <c r="G574" s="22"/>
      <c r="H574" s="22"/>
      <c r="I574" s="22"/>
      <c r="J574" s="70"/>
    </row>
    <row r="575" spans="1:10">
      <c r="A575" s="22"/>
      <c r="B575" s="22"/>
      <c r="C575" s="22"/>
      <c r="D575" s="22"/>
      <c r="E575" s="22"/>
      <c r="F575" s="22"/>
      <c r="G575" s="22"/>
      <c r="H575" s="22"/>
      <c r="I575" s="22"/>
      <c r="J575" s="70"/>
    </row>
    <row r="576" spans="1:10">
      <c r="A576" s="22"/>
      <c r="B576" s="22"/>
      <c r="C576" s="22"/>
      <c r="D576" s="22"/>
      <c r="E576" s="22"/>
      <c r="F576" s="22"/>
      <c r="G576" s="22"/>
      <c r="H576" s="22"/>
      <c r="I576" s="22"/>
      <c r="J576" s="70"/>
    </row>
    <row r="577" spans="1:10">
      <c r="A577" s="22"/>
      <c r="B577" s="22"/>
      <c r="C577" s="22"/>
      <c r="D577" s="22"/>
      <c r="E577" s="22"/>
      <c r="F577" s="22"/>
      <c r="G577" s="22"/>
      <c r="H577" s="22"/>
      <c r="I577" s="22"/>
      <c r="J577" s="70"/>
    </row>
    <row r="578" spans="1:10">
      <c r="A578" s="22"/>
      <c r="B578" s="22"/>
      <c r="C578" s="22"/>
      <c r="D578" s="22"/>
      <c r="E578" s="22"/>
      <c r="F578" s="22"/>
      <c r="G578" s="22"/>
      <c r="H578" s="22"/>
      <c r="I578" s="22"/>
      <c r="J578" s="70"/>
    </row>
    <row r="579" spans="1:10">
      <c r="A579" s="22"/>
      <c r="B579" s="22"/>
      <c r="C579" s="22"/>
      <c r="D579" s="22"/>
      <c r="E579" s="22"/>
      <c r="F579" s="22"/>
      <c r="G579" s="22"/>
      <c r="H579" s="22"/>
      <c r="I579" s="22"/>
      <c r="J579" s="70"/>
    </row>
    <row r="580" spans="1:10">
      <c r="A580" s="22"/>
      <c r="B580" s="22"/>
      <c r="C580" s="22"/>
      <c r="D580" s="22"/>
      <c r="E580" s="22"/>
      <c r="F580" s="22"/>
      <c r="G580" s="22"/>
      <c r="H580" s="22"/>
      <c r="I580" s="22"/>
      <c r="J580" s="70"/>
    </row>
    <row r="581" spans="1:10">
      <c r="A581" s="22"/>
      <c r="B581" s="22"/>
      <c r="C581" s="22"/>
      <c r="D581" s="22"/>
      <c r="E581" s="22"/>
      <c r="F581" s="22"/>
      <c r="G581" s="22"/>
      <c r="H581" s="22"/>
      <c r="I581" s="22"/>
      <c r="J581" s="70"/>
    </row>
    <row r="582" spans="1:10">
      <c r="A582" s="22"/>
      <c r="B582" s="22"/>
      <c r="C582" s="22"/>
      <c r="D582" s="22"/>
      <c r="E582" s="22"/>
      <c r="F582" s="22"/>
      <c r="G582" s="22"/>
      <c r="H582" s="22"/>
      <c r="I582" s="22"/>
      <c r="J582" s="70"/>
    </row>
    <row r="583" spans="1:10">
      <c r="A583" s="22"/>
      <c r="B583" s="22"/>
      <c r="C583" s="22"/>
      <c r="D583" s="22"/>
      <c r="E583" s="22"/>
      <c r="F583" s="22"/>
      <c r="G583" s="22"/>
      <c r="H583" s="22"/>
      <c r="I583" s="22"/>
      <c r="J583" s="70"/>
    </row>
    <row r="584" spans="1:10">
      <c r="A584" s="22"/>
      <c r="B584" s="22"/>
      <c r="C584" s="22"/>
      <c r="D584" s="22"/>
      <c r="E584" s="22"/>
      <c r="F584" s="22"/>
      <c r="G584" s="22"/>
      <c r="H584" s="22"/>
      <c r="I584" s="22"/>
      <c r="J584" s="70"/>
    </row>
    <row r="585" spans="1:10">
      <c r="A585" s="22"/>
      <c r="B585" s="22"/>
      <c r="C585" s="22"/>
      <c r="D585" s="22"/>
      <c r="E585" s="22"/>
      <c r="F585" s="22"/>
      <c r="G585" s="22"/>
      <c r="H585" s="22"/>
      <c r="I585" s="22"/>
      <c r="J585" s="70"/>
    </row>
    <row r="586" spans="1:10">
      <c r="A586" s="22"/>
      <c r="B586" s="22"/>
      <c r="C586" s="22"/>
      <c r="D586" s="22"/>
      <c r="E586" s="22"/>
      <c r="F586" s="22"/>
      <c r="G586" s="22"/>
      <c r="H586" s="22"/>
      <c r="I586" s="22"/>
      <c r="J586" s="70"/>
    </row>
    <row r="587" spans="1:10">
      <c r="A587" s="22"/>
      <c r="B587" s="22"/>
      <c r="C587" s="22"/>
      <c r="D587" s="22"/>
      <c r="E587" s="22"/>
      <c r="F587" s="22"/>
      <c r="G587" s="22"/>
      <c r="H587" s="22"/>
      <c r="I587" s="22"/>
      <c r="J587" s="70"/>
    </row>
    <row r="588" spans="1:10">
      <c r="A588" s="22"/>
      <c r="B588" s="22"/>
      <c r="C588" s="22"/>
      <c r="D588" s="22"/>
      <c r="E588" s="22"/>
      <c r="F588" s="22"/>
      <c r="G588" s="22"/>
      <c r="H588" s="22"/>
      <c r="I588" s="22"/>
      <c r="J588" s="70"/>
    </row>
    <row r="589" spans="1:10">
      <c r="A589" s="22"/>
      <c r="B589" s="22"/>
      <c r="C589" s="22"/>
      <c r="D589" s="22"/>
      <c r="E589" s="22"/>
      <c r="F589" s="22"/>
      <c r="G589" s="22"/>
      <c r="H589" s="22"/>
      <c r="I589" s="22"/>
      <c r="J589" s="70"/>
    </row>
    <row r="590" spans="1:10">
      <c r="A590" s="22"/>
      <c r="B590" s="22"/>
      <c r="C590" s="22"/>
      <c r="D590" s="22"/>
      <c r="E590" s="22"/>
      <c r="F590" s="22"/>
      <c r="G590" s="22"/>
      <c r="H590" s="22"/>
      <c r="I590" s="22"/>
      <c r="J590" s="70"/>
    </row>
    <row r="591" spans="1:10">
      <c r="A591" s="22"/>
      <c r="B591" s="22"/>
      <c r="C591" s="22"/>
      <c r="D591" s="22"/>
      <c r="E591" s="22"/>
      <c r="F591" s="22"/>
      <c r="G591" s="22"/>
      <c r="H591" s="22"/>
      <c r="I591" s="22"/>
      <c r="J591" s="70"/>
    </row>
    <row r="592" spans="1:10">
      <c r="A592" s="22"/>
      <c r="B592" s="22"/>
      <c r="C592" s="22"/>
      <c r="D592" s="22"/>
      <c r="E592" s="22"/>
      <c r="F592" s="22"/>
      <c r="G592" s="22"/>
      <c r="H592" s="22"/>
      <c r="I592" s="22"/>
      <c r="J592" s="70"/>
    </row>
    <row r="593" spans="1:10">
      <c r="A593" s="22"/>
      <c r="B593" s="22"/>
      <c r="C593" s="22"/>
      <c r="D593" s="22"/>
      <c r="E593" s="22"/>
      <c r="F593" s="22"/>
      <c r="G593" s="22"/>
      <c r="H593" s="22"/>
      <c r="I593" s="22"/>
      <c r="J593" s="70"/>
    </row>
    <row r="594" spans="1:10">
      <c r="A594" s="22"/>
      <c r="B594" s="22"/>
      <c r="C594" s="22"/>
      <c r="D594" s="22"/>
      <c r="E594" s="22"/>
      <c r="F594" s="22"/>
      <c r="G594" s="22"/>
      <c r="H594" s="22"/>
      <c r="I594" s="22"/>
      <c r="J594" s="70"/>
    </row>
    <row r="595" spans="1:10">
      <c r="A595" s="22"/>
      <c r="B595" s="22"/>
      <c r="C595" s="22"/>
      <c r="D595" s="22"/>
      <c r="E595" s="22"/>
      <c r="F595" s="22"/>
      <c r="G595" s="22"/>
      <c r="H595" s="22"/>
      <c r="I595" s="22"/>
      <c r="J595" s="70"/>
    </row>
    <row r="596" spans="1:10">
      <c r="A596" s="22"/>
      <c r="B596" s="22"/>
      <c r="C596" s="22"/>
      <c r="D596" s="22"/>
      <c r="E596" s="22"/>
      <c r="F596" s="22"/>
      <c r="G596" s="22"/>
      <c r="H596" s="22"/>
      <c r="I596" s="22"/>
      <c r="J596" s="70"/>
    </row>
    <row r="597" spans="1:10">
      <c r="A597" s="22"/>
      <c r="B597" s="22"/>
      <c r="C597" s="22"/>
      <c r="D597" s="22"/>
      <c r="E597" s="22"/>
      <c r="F597" s="22"/>
      <c r="G597" s="22"/>
      <c r="H597" s="22"/>
      <c r="I597" s="22"/>
      <c r="J597" s="70"/>
    </row>
    <row r="598" spans="1:10">
      <c r="A598" s="22"/>
      <c r="B598" s="22"/>
      <c r="C598" s="22"/>
      <c r="D598" s="22"/>
      <c r="E598" s="22"/>
      <c r="F598" s="22"/>
      <c r="G598" s="22"/>
      <c r="H598" s="22"/>
      <c r="I598" s="22"/>
      <c r="J598" s="70"/>
    </row>
    <row r="599" spans="1:10">
      <c r="A599" s="22"/>
      <c r="B599" s="22"/>
      <c r="C599" s="22"/>
      <c r="D599" s="22"/>
      <c r="E599" s="22"/>
      <c r="F599" s="22"/>
      <c r="G599" s="22"/>
      <c r="H599" s="22"/>
      <c r="I599" s="22"/>
      <c r="J599" s="70"/>
    </row>
    <row r="600" spans="1:10">
      <c r="A600" s="22"/>
      <c r="B600" s="22"/>
      <c r="C600" s="22"/>
      <c r="D600" s="22"/>
      <c r="E600" s="22"/>
      <c r="F600" s="22"/>
      <c r="G600" s="22"/>
      <c r="H600" s="22"/>
      <c r="I600" s="22"/>
      <c r="J600" s="70"/>
    </row>
    <row r="601" spans="1:10">
      <c r="A601" s="22"/>
      <c r="B601" s="22"/>
      <c r="C601" s="22"/>
      <c r="D601" s="22"/>
      <c r="E601" s="22"/>
      <c r="F601" s="22"/>
      <c r="G601" s="22"/>
      <c r="H601" s="22"/>
      <c r="I601" s="22"/>
      <c r="J601" s="70"/>
    </row>
    <row r="602" spans="1:10">
      <c r="A602" s="22"/>
      <c r="B602" s="22"/>
      <c r="C602" s="22"/>
      <c r="D602" s="22"/>
      <c r="E602" s="22"/>
      <c r="F602" s="22"/>
      <c r="G602" s="22"/>
      <c r="H602" s="22"/>
      <c r="I602" s="22"/>
      <c r="J602" s="70"/>
    </row>
    <row r="603" spans="1:10">
      <c r="A603" s="22"/>
      <c r="B603" s="22"/>
      <c r="C603" s="22"/>
      <c r="D603" s="22"/>
      <c r="E603" s="22"/>
      <c r="F603" s="22"/>
      <c r="G603" s="22"/>
      <c r="H603" s="22"/>
      <c r="I603" s="22"/>
      <c r="J603" s="70"/>
    </row>
    <row r="604" spans="1:10">
      <c r="A604" s="22"/>
      <c r="B604" s="22"/>
      <c r="C604" s="22"/>
      <c r="D604" s="22"/>
      <c r="E604" s="22"/>
      <c r="F604" s="22"/>
      <c r="G604" s="22"/>
      <c r="H604" s="22"/>
      <c r="I604" s="22"/>
      <c r="J604" s="70"/>
    </row>
    <row r="605" spans="1:10">
      <c r="A605" s="22"/>
      <c r="B605" s="22"/>
      <c r="C605" s="22"/>
      <c r="D605" s="22"/>
      <c r="E605" s="22"/>
      <c r="F605" s="22"/>
      <c r="G605" s="22"/>
      <c r="H605" s="22"/>
      <c r="I605" s="22"/>
      <c r="J605" s="70"/>
    </row>
    <row r="606" spans="1:10">
      <c r="A606" s="22"/>
      <c r="B606" s="22"/>
      <c r="C606" s="22"/>
      <c r="D606" s="22"/>
      <c r="E606" s="22"/>
      <c r="F606" s="22"/>
      <c r="G606" s="22"/>
      <c r="H606" s="22"/>
      <c r="I606" s="22"/>
      <c r="J606" s="70"/>
    </row>
    <row r="607" spans="1:10">
      <c r="A607" s="22"/>
      <c r="B607" s="22"/>
      <c r="C607" s="22"/>
      <c r="D607" s="22"/>
      <c r="E607" s="22"/>
      <c r="F607" s="22"/>
      <c r="G607" s="22"/>
      <c r="H607" s="22"/>
      <c r="I607" s="22"/>
      <c r="J607" s="70"/>
    </row>
    <row r="608" spans="1:10">
      <c r="A608" s="22"/>
      <c r="B608" s="22"/>
      <c r="C608" s="22"/>
      <c r="D608" s="22"/>
      <c r="E608" s="22"/>
      <c r="F608" s="22"/>
      <c r="G608" s="22"/>
      <c r="H608" s="22"/>
      <c r="I608" s="22"/>
      <c r="J608" s="70"/>
    </row>
    <row r="609" spans="1:10">
      <c r="A609" s="22"/>
      <c r="B609" s="22"/>
      <c r="C609" s="22"/>
      <c r="D609" s="22"/>
      <c r="E609" s="22"/>
      <c r="F609" s="22"/>
      <c r="G609" s="22"/>
      <c r="H609" s="22"/>
      <c r="I609" s="22"/>
      <c r="J609" s="70"/>
    </row>
    <row r="610" spans="1:10">
      <c r="A610" s="22"/>
      <c r="B610" s="22"/>
      <c r="C610" s="22"/>
      <c r="D610" s="22"/>
      <c r="E610" s="22"/>
      <c r="F610" s="22"/>
      <c r="G610" s="22"/>
      <c r="H610" s="22"/>
      <c r="I610" s="22"/>
      <c r="J610" s="70"/>
    </row>
    <row r="611" spans="1:10">
      <c r="A611" s="22"/>
      <c r="B611" s="22"/>
      <c r="C611" s="22"/>
      <c r="D611" s="22"/>
      <c r="E611" s="22"/>
      <c r="F611" s="22"/>
      <c r="G611" s="22"/>
      <c r="H611" s="22"/>
      <c r="I611" s="22"/>
      <c r="J611" s="70"/>
    </row>
    <row r="612" spans="1:10">
      <c r="A612" s="22"/>
      <c r="B612" s="22"/>
      <c r="C612" s="22"/>
      <c r="D612" s="22"/>
      <c r="E612" s="22"/>
      <c r="F612" s="22"/>
      <c r="G612" s="22"/>
      <c r="H612" s="22"/>
      <c r="I612" s="22"/>
      <c r="J612" s="70"/>
    </row>
    <row r="613" spans="1:10">
      <c r="A613" s="22"/>
      <c r="B613" s="22"/>
      <c r="C613" s="22"/>
      <c r="D613" s="22"/>
      <c r="E613" s="22"/>
      <c r="F613" s="22"/>
      <c r="G613" s="22"/>
      <c r="H613" s="22"/>
      <c r="I613" s="22"/>
      <c r="J613" s="70"/>
    </row>
    <row r="614" spans="1:10">
      <c r="A614" s="22"/>
      <c r="B614" s="22"/>
      <c r="C614" s="22"/>
      <c r="D614" s="22"/>
      <c r="E614" s="22"/>
      <c r="F614" s="22"/>
      <c r="G614" s="22"/>
      <c r="H614" s="22"/>
      <c r="I614" s="22"/>
      <c r="J614" s="70"/>
    </row>
    <row r="615" spans="1:10">
      <c r="A615" s="22"/>
      <c r="B615" s="22"/>
      <c r="C615" s="22"/>
      <c r="D615" s="22"/>
      <c r="E615" s="22"/>
      <c r="F615" s="22"/>
      <c r="G615" s="22"/>
      <c r="H615" s="22"/>
      <c r="I615" s="22"/>
      <c r="J615" s="70"/>
    </row>
    <row r="616" spans="1:10">
      <c r="A616" s="22"/>
      <c r="B616" s="22"/>
      <c r="C616" s="22"/>
      <c r="D616" s="22"/>
      <c r="E616" s="22"/>
      <c r="F616" s="22"/>
      <c r="G616" s="22"/>
      <c r="H616" s="22"/>
      <c r="I616" s="22"/>
      <c r="J616" s="70"/>
    </row>
    <row r="617" spans="1:10">
      <c r="A617" s="22"/>
      <c r="B617" s="22"/>
      <c r="C617" s="22"/>
      <c r="D617" s="22"/>
      <c r="E617" s="22"/>
      <c r="F617" s="22"/>
      <c r="G617" s="22"/>
      <c r="H617" s="22"/>
      <c r="I617" s="22"/>
      <c r="J617" s="70"/>
    </row>
    <row r="618" spans="1:10">
      <c r="A618" s="22"/>
      <c r="B618" s="22"/>
      <c r="C618" s="22"/>
      <c r="D618" s="22"/>
      <c r="E618" s="22"/>
      <c r="F618" s="22"/>
      <c r="G618" s="22"/>
      <c r="H618" s="22"/>
      <c r="I618" s="22"/>
      <c r="J618" s="70"/>
    </row>
    <row r="619" spans="1:10">
      <c r="A619" s="22"/>
      <c r="B619" s="22"/>
      <c r="C619" s="22"/>
      <c r="D619" s="22"/>
      <c r="E619" s="22"/>
      <c r="F619" s="22"/>
      <c r="G619" s="22"/>
      <c r="H619" s="22"/>
      <c r="I619" s="22"/>
      <c r="J619" s="70"/>
    </row>
    <row r="620" spans="1:10">
      <c r="A620" s="22"/>
      <c r="B620" s="22"/>
      <c r="C620" s="22"/>
      <c r="D620" s="22"/>
      <c r="E620" s="22"/>
      <c r="F620" s="22"/>
      <c r="G620" s="22"/>
      <c r="H620" s="22"/>
      <c r="I620" s="22"/>
      <c r="J620" s="70"/>
    </row>
    <row r="621" spans="1:10">
      <c r="A621" s="22"/>
      <c r="B621" s="22"/>
      <c r="C621" s="22"/>
      <c r="D621" s="22"/>
      <c r="E621" s="22"/>
      <c r="F621" s="22"/>
      <c r="G621" s="22"/>
      <c r="H621" s="22"/>
      <c r="I621" s="22"/>
      <c r="J621" s="70"/>
    </row>
    <row r="622" spans="1:10">
      <c r="A622" s="22"/>
      <c r="B622" s="22"/>
      <c r="C622" s="22"/>
      <c r="D622" s="22"/>
      <c r="E622" s="22"/>
      <c r="F622" s="22"/>
      <c r="G622" s="22"/>
      <c r="H622" s="22"/>
      <c r="I622" s="22"/>
      <c r="J622" s="70"/>
    </row>
    <row r="623" spans="1:10">
      <c r="A623" s="22"/>
      <c r="B623" s="22"/>
      <c r="C623" s="22"/>
      <c r="D623" s="22"/>
      <c r="E623" s="22"/>
      <c r="F623" s="22"/>
      <c r="G623" s="22"/>
      <c r="H623" s="22"/>
      <c r="I623" s="22"/>
      <c r="J623" s="70"/>
    </row>
    <row r="624" spans="1:10">
      <c r="A624" s="22"/>
      <c r="B624" s="22"/>
      <c r="C624" s="22"/>
      <c r="D624" s="22"/>
      <c r="E624" s="22"/>
      <c r="F624" s="22"/>
      <c r="G624" s="22"/>
      <c r="H624" s="22"/>
      <c r="I624" s="22"/>
      <c r="J624" s="70"/>
    </row>
    <row r="625" spans="1:10">
      <c r="A625" s="22"/>
      <c r="B625" s="22"/>
      <c r="C625" s="22"/>
      <c r="D625" s="22"/>
      <c r="E625" s="22"/>
      <c r="F625" s="22"/>
      <c r="G625" s="22"/>
      <c r="H625" s="22"/>
      <c r="I625" s="22"/>
      <c r="J625" s="70"/>
    </row>
    <row r="626" spans="1:10">
      <c r="A626" s="22"/>
      <c r="B626" s="22"/>
      <c r="C626" s="22"/>
      <c r="D626" s="22"/>
      <c r="E626" s="22"/>
      <c r="F626" s="22"/>
      <c r="G626" s="22"/>
      <c r="H626" s="22"/>
      <c r="I626" s="22"/>
      <c r="J626" s="70"/>
    </row>
    <row r="627" spans="1:10">
      <c r="A627" s="22"/>
      <c r="B627" s="22"/>
      <c r="C627" s="22"/>
      <c r="D627" s="22"/>
      <c r="E627" s="22"/>
      <c r="F627" s="22"/>
      <c r="G627" s="22"/>
      <c r="H627" s="22"/>
      <c r="I627" s="22"/>
      <c r="J627" s="70"/>
    </row>
    <row r="628" spans="1:10">
      <c r="A628" s="22"/>
      <c r="B628" s="22"/>
      <c r="C628" s="22"/>
      <c r="D628" s="22"/>
      <c r="E628" s="22"/>
      <c r="F628" s="22"/>
      <c r="G628" s="22"/>
      <c r="H628" s="22"/>
      <c r="I628" s="22"/>
      <c r="J628" s="70"/>
    </row>
    <row r="629" spans="1:10">
      <c r="A629" s="22"/>
      <c r="B629" s="22"/>
      <c r="C629" s="22"/>
      <c r="D629" s="22"/>
      <c r="E629" s="22"/>
      <c r="F629" s="22"/>
      <c r="G629" s="22"/>
      <c r="H629" s="22"/>
      <c r="I629" s="22"/>
      <c r="J629" s="70"/>
    </row>
    <row r="630" spans="1:10">
      <c r="A630" s="22"/>
      <c r="B630" s="22"/>
      <c r="C630" s="22"/>
      <c r="D630" s="22"/>
      <c r="E630" s="22"/>
      <c r="F630" s="22"/>
      <c r="G630" s="22"/>
      <c r="H630" s="22"/>
      <c r="I630" s="22"/>
      <c r="J630" s="70"/>
    </row>
    <row r="631" spans="1:10">
      <c r="A631" s="22"/>
      <c r="B631" s="22"/>
      <c r="C631" s="22"/>
      <c r="D631" s="22"/>
      <c r="E631" s="22"/>
      <c r="F631" s="22"/>
      <c r="G631" s="22"/>
      <c r="H631" s="22"/>
      <c r="I631" s="22"/>
      <c r="J631" s="70"/>
    </row>
    <row r="632" spans="1:10">
      <c r="A632" s="22"/>
      <c r="B632" s="22"/>
      <c r="C632" s="22"/>
      <c r="D632" s="22"/>
      <c r="E632" s="22"/>
      <c r="F632" s="22"/>
      <c r="G632" s="22"/>
      <c r="H632" s="22"/>
      <c r="I632" s="22"/>
      <c r="J632" s="70"/>
    </row>
    <row r="633" spans="1:10">
      <c r="A633" s="22"/>
      <c r="B633" s="22"/>
      <c r="C633" s="22"/>
      <c r="D633" s="22"/>
      <c r="E633" s="22"/>
      <c r="F633" s="22"/>
      <c r="G633" s="22"/>
      <c r="H633" s="22"/>
      <c r="I633" s="22"/>
      <c r="J633" s="70"/>
    </row>
    <row r="634" spans="1:10">
      <c r="A634" s="22"/>
      <c r="B634" s="22"/>
      <c r="C634" s="22"/>
      <c r="D634" s="22"/>
      <c r="E634" s="22"/>
      <c r="F634" s="22"/>
      <c r="G634" s="22"/>
      <c r="H634" s="22"/>
      <c r="I634" s="22"/>
      <c r="J634" s="70"/>
    </row>
    <row r="635" spans="1:10">
      <c r="A635" s="22"/>
      <c r="B635" s="22"/>
      <c r="C635" s="22"/>
      <c r="D635" s="22"/>
      <c r="E635" s="22"/>
      <c r="F635" s="22"/>
      <c r="G635" s="22"/>
      <c r="H635" s="22"/>
      <c r="I635" s="22"/>
      <c r="J635" s="70"/>
    </row>
    <row r="636" spans="1:10">
      <c r="A636" s="22"/>
      <c r="B636" s="22"/>
      <c r="C636" s="22"/>
      <c r="D636" s="22"/>
      <c r="E636" s="22"/>
      <c r="F636" s="22"/>
      <c r="G636" s="22"/>
      <c r="H636" s="22"/>
      <c r="I636" s="22"/>
      <c r="J636" s="70"/>
    </row>
    <row r="637" spans="1:10">
      <c r="A637" s="22"/>
      <c r="B637" s="22"/>
      <c r="C637" s="22"/>
      <c r="D637" s="22"/>
      <c r="E637" s="22"/>
      <c r="F637" s="22"/>
      <c r="G637" s="22"/>
      <c r="H637" s="22"/>
      <c r="I637" s="22"/>
      <c r="J637" s="70"/>
    </row>
    <row r="638" spans="1:10">
      <c r="A638" s="22"/>
      <c r="B638" s="22"/>
      <c r="C638" s="22"/>
      <c r="D638" s="22"/>
      <c r="E638" s="22"/>
      <c r="F638" s="22"/>
      <c r="G638" s="22"/>
      <c r="H638" s="22"/>
      <c r="I638" s="22"/>
      <c r="J638" s="70"/>
    </row>
    <row r="639" spans="1:10">
      <c r="A639" s="22"/>
      <c r="B639" s="22"/>
      <c r="C639" s="22"/>
      <c r="D639" s="22"/>
      <c r="E639" s="22"/>
      <c r="F639" s="22"/>
      <c r="G639" s="22"/>
      <c r="H639" s="22"/>
      <c r="I639" s="22"/>
      <c r="J639" s="70"/>
    </row>
    <row r="640" spans="1:10">
      <c r="A640" s="22"/>
      <c r="B640" s="22"/>
      <c r="C640" s="22"/>
      <c r="D640" s="22"/>
      <c r="E640" s="22"/>
      <c r="F640" s="22"/>
      <c r="G640" s="22"/>
      <c r="H640" s="22"/>
      <c r="I640" s="22"/>
      <c r="J640" s="70"/>
    </row>
    <row r="641" spans="1:10">
      <c r="A641" s="22"/>
      <c r="B641" s="22"/>
      <c r="C641" s="22"/>
      <c r="D641" s="22"/>
      <c r="E641" s="22"/>
      <c r="F641" s="22"/>
      <c r="G641" s="22"/>
      <c r="H641" s="22"/>
      <c r="I641" s="22"/>
      <c r="J641" s="70"/>
    </row>
    <row r="642" spans="1:10">
      <c r="A642" s="22"/>
      <c r="B642" s="22"/>
      <c r="C642" s="22"/>
      <c r="D642" s="22"/>
      <c r="E642" s="22"/>
      <c r="F642" s="22"/>
      <c r="G642" s="22"/>
      <c r="H642" s="22"/>
      <c r="I642" s="22"/>
      <c r="J642" s="70"/>
    </row>
    <row r="643" spans="1:10">
      <c r="A643" s="22"/>
      <c r="B643" s="22"/>
      <c r="C643" s="22"/>
      <c r="D643" s="22"/>
      <c r="E643" s="22"/>
      <c r="F643" s="22"/>
      <c r="G643" s="22"/>
      <c r="H643" s="22"/>
      <c r="I643" s="22"/>
      <c r="J643" s="70"/>
    </row>
    <row r="644" spans="1:10">
      <c r="A644" s="22"/>
      <c r="B644" s="22"/>
      <c r="C644" s="22"/>
      <c r="D644" s="22"/>
      <c r="E644" s="22"/>
      <c r="F644" s="22"/>
      <c r="G644" s="22"/>
      <c r="H644" s="22"/>
      <c r="I644" s="22"/>
      <c r="J644" s="70"/>
    </row>
    <row r="645" spans="1:10">
      <c r="A645" s="22"/>
      <c r="B645" s="22"/>
      <c r="C645" s="22"/>
      <c r="D645" s="22"/>
      <c r="E645" s="22"/>
      <c r="F645" s="22"/>
      <c r="G645" s="22"/>
      <c r="H645" s="22"/>
      <c r="I645" s="22"/>
      <c r="J645" s="70"/>
    </row>
    <row r="646" spans="1:10">
      <c r="A646" s="22"/>
      <c r="B646" s="22"/>
      <c r="C646" s="22"/>
      <c r="D646" s="22"/>
      <c r="E646" s="22"/>
      <c r="F646" s="22"/>
      <c r="G646" s="22"/>
      <c r="H646" s="22"/>
      <c r="I646" s="22"/>
      <c r="J646" s="70"/>
    </row>
    <row r="647" spans="1:10">
      <c r="A647" s="22"/>
      <c r="B647" s="22"/>
      <c r="C647" s="22"/>
      <c r="D647" s="22"/>
      <c r="E647" s="22"/>
      <c r="F647" s="22"/>
      <c r="G647" s="22"/>
      <c r="H647" s="22"/>
      <c r="I647" s="22"/>
      <c r="J647" s="70"/>
    </row>
    <row r="648" spans="1:10">
      <c r="A648" s="22"/>
      <c r="B648" s="22"/>
      <c r="C648" s="22"/>
      <c r="D648" s="22"/>
      <c r="E648" s="22"/>
      <c r="F648" s="22"/>
      <c r="G648" s="22"/>
      <c r="H648" s="22"/>
      <c r="I648" s="22"/>
      <c r="J648" s="70"/>
    </row>
    <row r="649" spans="1:10">
      <c r="A649" s="22"/>
      <c r="B649" s="22"/>
      <c r="C649" s="22"/>
      <c r="D649" s="22"/>
      <c r="E649" s="22"/>
      <c r="F649" s="22"/>
      <c r="G649" s="22"/>
      <c r="H649" s="22"/>
      <c r="I649" s="22"/>
      <c r="J649" s="70"/>
    </row>
    <row r="650" spans="1:10">
      <c r="A650" s="22"/>
      <c r="B650" s="22"/>
      <c r="C650" s="22"/>
      <c r="D650" s="22"/>
      <c r="E650" s="22"/>
      <c r="F650" s="22"/>
      <c r="G650" s="22"/>
      <c r="H650" s="22"/>
      <c r="I650" s="22"/>
      <c r="J650" s="70"/>
    </row>
    <row r="651" spans="1:10">
      <c r="A651" s="22"/>
      <c r="B651" s="22"/>
      <c r="C651" s="22"/>
      <c r="D651" s="22"/>
      <c r="E651" s="22"/>
      <c r="F651" s="22"/>
      <c r="G651" s="22"/>
      <c r="H651" s="22"/>
      <c r="I651" s="22"/>
      <c r="J651" s="70"/>
    </row>
    <row r="652" spans="1:10">
      <c r="A652" s="22"/>
      <c r="B652" s="22"/>
      <c r="C652" s="22"/>
      <c r="D652" s="22"/>
      <c r="E652" s="22"/>
      <c r="F652" s="22"/>
      <c r="G652" s="22"/>
      <c r="H652" s="22"/>
      <c r="I652" s="22"/>
      <c r="J652" s="70"/>
    </row>
    <row r="653" spans="1:10">
      <c r="A653" s="22"/>
      <c r="B653" s="22"/>
      <c r="C653" s="22"/>
      <c r="D653" s="22"/>
      <c r="E653" s="22"/>
      <c r="F653" s="22"/>
      <c r="G653" s="22"/>
      <c r="H653" s="22"/>
      <c r="I653" s="22"/>
      <c r="J653" s="70"/>
    </row>
    <row r="654" spans="1:10">
      <c r="A654" s="22"/>
      <c r="B654" s="22"/>
      <c r="C654" s="22"/>
      <c r="D654" s="22"/>
      <c r="E654" s="22"/>
      <c r="F654" s="22"/>
      <c r="G654" s="22"/>
      <c r="H654" s="22"/>
      <c r="I654" s="22"/>
      <c r="J654" s="70"/>
    </row>
    <row r="655" spans="1:10">
      <c r="A655" s="22"/>
      <c r="B655" s="22"/>
      <c r="C655" s="22"/>
      <c r="D655" s="22"/>
      <c r="E655" s="22"/>
      <c r="F655" s="22"/>
      <c r="G655" s="22"/>
      <c r="H655" s="22"/>
      <c r="I655" s="22"/>
      <c r="J655" s="70"/>
    </row>
    <row r="656" spans="1:10">
      <c r="A656" s="22"/>
      <c r="B656" s="22"/>
      <c r="C656" s="22"/>
      <c r="D656" s="22"/>
      <c r="E656" s="22"/>
      <c r="F656" s="22"/>
      <c r="G656" s="22"/>
      <c r="H656" s="22"/>
      <c r="I656" s="22"/>
      <c r="J656" s="70"/>
    </row>
    <row r="657" spans="1:10">
      <c r="A657" s="22"/>
      <c r="B657" s="22"/>
      <c r="C657" s="22"/>
      <c r="D657" s="22"/>
      <c r="E657" s="22"/>
      <c r="F657" s="22"/>
      <c r="G657" s="22"/>
      <c r="H657" s="22"/>
      <c r="I657" s="22"/>
      <c r="J657" s="70"/>
    </row>
    <row r="658" spans="1:10">
      <c r="A658" s="22"/>
      <c r="B658" s="22"/>
      <c r="C658" s="22"/>
      <c r="D658" s="22"/>
      <c r="E658" s="22"/>
      <c r="F658" s="22"/>
      <c r="G658" s="22"/>
      <c r="H658" s="22"/>
      <c r="I658" s="22"/>
      <c r="J658" s="70"/>
    </row>
    <row r="659" spans="1:10">
      <c r="A659" s="22"/>
      <c r="B659" s="22"/>
      <c r="C659" s="22"/>
      <c r="D659" s="22"/>
      <c r="E659" s="22"/>
      <c r="F659" s="22"/>
      <c r="G659" s="22"/>
      <c r="H659" s="22"/>
      <c r="I659" s="22"/>
      <c r="J659" s="70"/>
    </row>
    <row r="660" spans="1:10">
      <c r="A660" s="22"/>
      <c r="B660" s="22"/>
      <c r="C660" s="22"/>
      <c r="D660" s="22"/>
      <c r="E660" s="22"/>
      <c r="F660" s="22"/>
      <c r="G660" s="22"/>
      <c r="H660" s="22"/>
      <c r="I660" s="22"/>
      <c r="J660" s="70"/>
    </row>
    <row r="661" spans="1:10">
      <c r="A661" s="22"/>
      <c r="B661" s="22"/>
      <c r="C661" s="22"/>
      <c r="D661" s="22"/>
      <c r="E661" s="22"/>
      <c r="F661" s="22"/>
      <c r="G661" s="22"/>
      <c r="H661" s="22"/>
      <c r="I661" s="22"/>
      <c r="J661" s="70"/>
    </row>
    <row r="662" spans="1:10">
      <c r="A662" s="22"/>
      <c r="B662" s="22"/>
      <c r="C662" s="22"/>
      <c r="D662" s="22"/>
      <c r="E662" s="22"/>
      <c r="F662" s="22"/>
      <c r="G662" s="22"/>
      <c r="H662" s="22"/>
      <c r="I662" s="22"/>
      <c r="J662" s="70"/>
    </row>
    <row r="663" spans="1:10">
      <c r="A663" s="22"/>
      <c r="B663" s="22"/>
      <c r="C663" s="22"/>
      <c r="D663" s="22"/>
      <c r="E663" s="22"/>
      <c r="F663" s="22"/>
      <c r="G663" s="22"/>
      <c r="H663" s="22"/>
      <c r="I663" s="22"/>
      <c r="J663" s="70"/>
    </row>
    <row r="664" spans="1:10">
      <c r="A664" s="22"/>
      <c r="B664" s="22"/>
      <c r="C664" s="22"/>
      <c r="D664" s="22"/>
      <c r="E664" s="22"/>
      <c r="F664" s="22"/>
      <c r="G664" s="22"/>
      <c r="H664" s="22"/>
      <c r="I664" s="22"/>
      <c r="J664" s="70"/>
    </row>
    <row r="665" spans="1:10">
      <c r="A665" s="22"/>
      <c r="B665" s="22"/>
      <c r="C665" s="22"/>
      <c r="D665" s="22"/>
      <c r="E665" s="22"/>
      <c r="F665" s="22"/>
      <c r="G665" s="22"/>
      <c r="H665" s="22"/>
      <c r="I665" s="22"/>
      <c r="J665" s="70"/>
    </row>
    <row r="666" spans="1:10">
      <c r="A666" s="22"/>
      <c r="B666" s="22"/>
      <c r="C666" s="22"/>
      <c r="D666" s="22"/>
      <c r="E666" s="22"/>
      <c r="F666" s="22"/>
      <c r="G666" s="22"/>
      <c r="H666" s="22"/>
      <c r="I666" s="22"/>
      <c r="J666" s="70"/>
    </row>
    <row r="667" spans="1:10">
      <c r="A667" s="22"/>
      <c r="B667" s="22"/>
      <c r="C667" s="22"/>
      <c r="D667" s="22"/>
      <c r="E667" s="22"/>
      <c r="F667" s="22"/>
      <c r="G667" s="22"/>
      <c r="H667" s="22"/>
      <c r="I667" s="22"/>
      <c r="J667" s="70"/>
    </row>
    <row r="668" spans="1:10">
      <c r="A668" s="22"/>
      <c r="B668" s="22"/>
      <c r="C668" s="22"/>
      <c r="D668" s="22"/>
      <c r="E668" s="22"/>
      <c r="F668" s="22"/>
      <c r="G668" s="22"/>
      <c r="H668" s="22"/>
      <c r="I668" s="22"/>
      <c r="J668" s="70"/>
    </row>
    <row r="669" spans="1:10">
      <c r="A669" s="22"/>
      <c r="B669" s="22"/>
      <c r="C669" s="22"/>
      <c r="D669" s="22"/>
      <c r="E669" s="22"/>
      <c r="F669" s="22"/>
      <c r="G669" s="22"/>
      <c r="H669" s="22"/>
      <c r="I669" s="22"/>
      <c r="J669" s="70"/>
    </row>
    <row r="670" spans="1:10">
      <c r="A670" s="22"/>
      <c r="B670" s="22"/>
      <c r="C670" s="22"/>
      <c r="D670" s="22"/>
      <c r="E670" s="22"/>
      <c r="F670" s="22"/>
      <c r="G670" s="22"/>
      <c r="H670" s="22"/>
      <c r="I670" s="22"/>
      <c r="J670" s="70"/>
    </row>
    <row r="671" spans="1:10">
      <c r="A671" s="22"/>
      <c r="B671" s="22"/>
      <c r="C671" s="22"/>
      <c r="D671" s="22"/>
      <c r="E671" s="22"/>
      <c r="F671" s="22"/>
      <c r="G671" s="22"/>
      <c r="H671" s="22"/>
      <c r="I671" s="22"/>
      <c r="J671" s="70"/>
    </row>
    <row r="672" spans="1:10">
      <c r="A672" s="22"/>
      <c r="B672" s="22"/>
      <c r="C672" s="22"/>
      <c r="D672" s="22"/>
      <c r="E672" s="22"/>
      <c r="F672" s="22"/>
      <c r="G672" s="22"/>
      <c r="H672" s="22"/>
      <c r="I672" s="22"/>
      <c r="J672" s="70"/>
    </row>
    <row r="673" spans="1:10">
      <c r="A673" s="22"/>
      <c r="B673" s="22"/>
      <c r="C673" s="22"/>
      <c r="D673" s="22"/>
      <c r="E673" s="22"/>
      <c r="F673" s="22"/>
      <c r="G673" s="22"/>
      <c r="H673" s="22"/>
      <c r="I673" s="22"/>
      <c r="J673" s="70"/>
    </row>
    <row r="674" spans="1:10">
      <c r="A674" s="22"/>
      <c r="B674" s="22"/>
      <c r="C674" s="22"/>
      <c r="D674" s="22"/>
      <c r="E674" s="22"/>
      <c r="F674" s="22"/>
      <c r="G674" s="22"/>
      <c r="H674" s="22"/>
      <c r="I674" s="22"/>
      <c r="J674" s="70"/>
    </row>
    <row r="675" spans="1:10">
      <c r="A675" s="22"/>
      <c r="B675" s="22"/>
      <c r="C675" s="22"/>
      <c r="D675" s="22"/>
      <c r="E675" s="22"/>
      <c r="F675" s="22"/>
      <c r="G675" s="22"/>
      <c r="H675" s="22"/>
      <c r="I675" s="22"/>
      <c r="J675" s="70"/>
    </row>
    <row r="676" spans="1:10">
      <c r="A676" s="22"/>
      <c r="B676" s="22"/>
      <c r="C676" s="22"/>
      <c r="D676" s="22"/>
      <c r="E676" s="22"/>
      <c r="F676" s="22"/>
      <c r="G676" s="22"/>
      <c r="H676" s="22"/>
      <c r="I676" s="22"/>
      <c r="J676" s="70"/>
    </row>
    <row r="677" spans="1:10">
      <c r="A677" s="22"/>
      <c r="B677" s="22"/>
      <c r="C677" s="22"/>
      <c r="D677" s="22"/>
      <c r="E677" s="22"/>
      <c r="F677" s="22"/>
      <c r="G677" s="22"/>
      <c r="H677" s="22"/>
      <c r="I677" s="22"/>
      <c r="J677" s="70"/>
    </row>
    <row r="678" spans="1:10">
      <c r="A678" s="22"/>
      <c r="B678" s="22"/>
      <c r="C678" s="22"/>
      <c r="D678" s="22"/>
      <c r="E678" s="22"/>
      <c r="F678" s="22"/>
      <c r="G678" s="22"/>
      <c r="H678" s="22"/>
      <c r="I678" s="22"/>
      <c r="J678" s="70"/>
    </row>
    <row r="679" spans="1:10">
      <c r="A679" s="22"/>
      <c r="B679" s="22"/>
      <c r="C679" s="22"/>
      <c r="D679" s="22"/>
      <c r="E679" s="22"/>
      <c r="F679" s="22"/>
      <c r="G679" s="22"/>
      <c r="H679" s="22"/>
      <c r="I679" s="22"/>
      <c r="J679" s="70"/>
    </row>
    <row r="680" spans="1:10">
      <c r="A680" s="22"/>
      <c r="B680" s="22"/>
      <c r="C680" s="22"/>
      <c r="D680" s="22"/>
      <c r="E680" s="22"/>
      <c r="F680" s="22"/>
      <c r="G680" s="22"/>
      <c r="H680" s="22"/>
      <c r="I680" s="22"/>
      <c r="J680" s="70"/>
    </row>
    <row r="681" spans="1:10">
      <c r="A681" s="22"/>
      <c r="B681" s="22"/>
      <c r="C681" s="22"/>
      <c r="D681" s="22"/>
      <c r="E681" s="22"/>
      <c r="F681" s="22"/>
      <c r="G681" s="22"/>
      <c r="H681" s="22"/>
      <c r="I681" s="22"/>
      <c r="J681" s="70"/>
    </row>
    <row r="682" spans="1:10">
      <c r="A682" s="22"/>
      <c r="B682" s="22"/>
      <c r="C682" s="22"/>
      <c r="D682" s="22"/>
      <c r="E682" s="22"/>
      <c r="F682" s="22"/>
      <c r="G682" s="22"/>
      <c r="H682" s="22"/>
      <c r="I682" s="22"/>
      <c r="J682" s="70"/>
    </row>
    <row r="683" spans="1:10">
      <c r="A683" s="22"/>
      <c r="B683" s="22"/>
      <c r="C683" s="22"/>
      <c r="D683" s="22"/>
      <c r="E683" s="22"/>
      <c r="F683" s="22"/>
      <c r="G683" s="22"/>
      <c r="H683" s="22"/>
      <c r="I683" s="22"/>
      <c r="J683" s="70"/>
    </row>
    <row r="684" spans="1:10">
      <c r="A684" s="22"/>
      <c r="B684" s="22"/>
      <c r="C684" s="22"/>
      <c r="D684" s="22"/>
      <c r="E684" s="22"/>
      <c r="F684" s="22"/>
      <c r="G684" s="22"/>
      <c r="H684" s="22"/>
      <c r="I684" s="22"/>
      <c r="J684" s="70"/>
    </row>
    <row r="685" spans="1:10">
      <c r="A685" s="22"/>
      <c r="B685" s="22"/>
      <c r="C685" s="22"/>
      <c r="D685" s="22"/>
      <c r="E685" s="22"/>
      <c r="F685" s="22"/>
      <c r="G685" s="22"/>
      <c r="H685" s="22"/>
      <c r="I685" s="22"/>
      <c r="J685" s="70"/>
    </row>
    <row r="686" spans="1:10">
      <c r="A686" s="22"/>
      <c r="B686" s="22"/>
      <c r="C686" s="22"/>
      <c r="D686" s="22"/>
      <c r="E686" s="22"/>
      <c r="F686" s="22"/>
      <c r="G686" s="22"/>
      <c r="H686" s="22"/>
      <c r="I686" s="22"/>
      <c r="J686" s="70"/>
    </row>
    <row r="687" spans="1:10">
      <c r="A687" s="22"/>
      <c r="B687" s="22"/>
      <c r="C687" s="22"/>
      <c r="D687" s="22"/>
      <c r="E687" s="22"/>
      <c r="F687" s="22"/>
      <c r="G687" s="22"/>
      <c r="H687" s="22"/>
      <c r="I687" s="22"/>
      <c r="J687" s="70"/>
    </row>
    <row r="688" spans="1:10">
      <c r="A688" s="22"/>
      <c r="B688" s="22"/>
      <c r="C688" s="22"/>
      <c r="D688" s="22"/>
      <c r="E688" s="22"/>
      <c r="F688" s="22"/>
      <c r="G688" s="22"/>
      <c r="H688" s="22"/>
      <c r="I688" s="22"/>
      <c r="J688" s="70"/>
    </row>
    <row r="689" spans="1:10">
      <c r="A689" s="22"/>
      <c r="B689" s="22"/>
      <c r="C689" s="22"/>
      <c r="D689" s="22"/>
      <c r="E689" s="22"/>
      <c r="F689" s="22"/>
      <c r="G689" s="22"/>
      <c r="H689" s="22"/>
      <c r="I689" s="22"/>
      <c r="J689" s="70"/>
    </row>
    <row r="690" spans="1:10">
      <c r="A690" s="22"/>
      <c r="B690" s="22"/>
      <c r="C690" s="22"/>
      <c r="D690" s="22"/>
      <c r="E690" s="22"/>
      <c r="F690" s="22"/>
      <c r="G690" s="22"/>
      <c r="H690" s="22"/>
      <c r="I690" s="22"/>
      <c r="J690" s="70"/>
    </row>
    <row r="691" spans="1:10">
      <c r="A691" s="22"/>
      <c r="B691" s="22"/>
      <c r="C691" s="22"/>
      <c r="D691" s="22"/>
      <c r="E691" s="22"/>
      <c r="F691" s="22"/>
      <c r="G691" s="22"/>
      <c r="H691" s="22"/>
      <c r="I691" s="22"/>
      <c r="J691" s="70"/>
    </row>
    <row r="692" spans="1:10">
      <c r="A692" s="22"/>
      <c r="B692" s="22"/>
      <c r="C692" s="22"/>
      <c r="D692" s="22"/>
      <c r="E692" s="22"/>
      <c r="F692" s="22"/>
      <c r="G692" s="22"/>
      <c r="H692" s="22"/>
      <c r="I692" s="22"/>
      <c r="J692" s="70"/>
    </row>
    <row r="693" spans="1:10">
      <c r="A693" s="22"/>
      <c r="B693" s="22"/>
      <c r="C693" s="22"/>
      <c r="D693" s="22"/>
      <c r="E693" s="22"/>
      <c r="F693" s="22"/>
      <c r="G693" s="22"/>
      <c r="H693" s="22"/>
      <c r="I693" s="22"/>
      <c r="J693" s="70"/>
    </row>
    <row r="694" spans="1:10">
      <c r="A694" s="22"/>
      <c r="B694" s="22"/>
      <c r="C694" s="22"/>
      <c r="D694" s="22"/>
      <c r="E694" s="22"/>
      <c r="F694" s="22"/>
      <c r="G694" s="22"/>
      <c r="H694" s="22"/>
      <c r="I694" s="22"/>
      <c r="J694" s="70"/>
    </row>
    <row r="695" spans="1:10">
      <c r="A695" s="22"/>
      <c r="B695" s="22"/>
      <c r="C695" s="22"/>
      <c r="D695" s="22"/>
      <c r="E695" s="22"/>
      <c r="F695" s="22"/>
      <c r="G695" s="22"/>
      <c r="H695" s="22"/>
      <c r="I695" s="22"/>
      <c r="J695" s="70"/>
    </row>
    <row r="696" spans="1:10">
      <c r="A696" s="22"/>
      <c r="B696" s="22"/>
      <c r="C696" s="22"/>
      <c r="D696" s="22"/>
      <c r="E696" s="22"/>
      <c r="F696" s="22"/>
      <c r="G696" s="22"/>
      <c r="H696" s="22"/>
      <c r="I696" s="22"/>
      <c r="J696" s="70"/>
    </row>
    <row r="697" spans="1:10">
      <c r="A697" s="22"/>
      <c r="B697" s="22"/>
      <c r="C697" s="22"/>
      <c r="D697" s="22"/>
      <c r="E697" s="22"/>
      <c r="F697" s="22"/>
      <c r="G697" s="22"/>
      <c r="H697" s="22"/>
      <c r="I697" s="22"/>
      <c r="J697" s="70"/>
    </row>
    <row r="698" spans="1:10">
      <c r="A698" s="22"/>
      <c r="B698" s="22"/>
      <c r="C698" s="22"/>
      <c r="D698" s="22"/>
      <c r="E698" s="22"/>
      <c r="F698" s="22"/>
      <c r="G698" s="22"/>
      <c r="H698" s="22"/>
      <c r="I698" s="22"/>
      <c r="J698" s="70"/>
    </row>
    <row r="699" spans="1:10">
      <c r="A699" s="22"/>
      <c r="B699" s="22"/>
      <c r="C699" s="22"/>
      <c r="D699" s="22"/>
      <c r="E699" s="22"/>
      <c r="F699" s="22"/>
      <c r="G699" s="22"/>
      <c r="H699" s="22"/>
      <c r="I699" s="22"/>
      <c r="J699" s="70"/>
    </row>
    <row r="700" spans="1:10">
      <c r="A700" s="22"/>
      <c r="B700" s="22"/>
      <c r="C700" s="22"/>
      <c r="D700" s="22"/>
      <c r="E700" s="22"/>
      <c r="F700" s="22"/>
      <c r="G700" s="22"/>
      <c r="H700" s="22"/>
      <c r="I700" s="22"/>
      <c r="J700" s="70"/>
    </row>
    <row r="701" spans="1:10">
      <c r="A701" s="22"/>
      <c r="B701" s="22"/>
      <c r="C701" s="22"/>
      <c r="D701" s="22"/>
      <c r="E701" s="22"/>
      <c r="F701" s="22"/>
      <c r="G701" s="22"/>
      <c r="H701" s="22"/>
      <c r="I701" s="22"/>
      <c r="J701" s="70"/>
    </row>
    <row r="702" spans="1:10">
      <c r="A702" s="22"/>
      <c r="B702" s="22"/>
      <c r="C702" s="22"/>
      <c r="D702" s="22"/>
      <c r="E702" s="22"/>
      <c r="F702" s="22"/>
      <c r="G702" s="22"/>
      <c r="H702" s="22"/>
      <c r="I702" s="22"/>
      <c r="J702" s="70"/>
    </row>
    <row r="703" spans="1:10">
      <c r="A703" s="22"/>
      <c r="B703" s="22"/>
      <c r="C703" s="22"/>
      <c r="D703" s="22"/>
      <c r="E703" s="22"/>
      <c r="F703" s="22"/>
      <c r="G703" s="22"/>
      <c r="H703" s="22"/>
      <c r="I703" s="22"/>
      <c r="J703" s="70"/>
    </row>
    <row r="704" spans="1:10">
      <c r="A704" s="22"/>
      <c r="B704" s="22"/>
      <c r="C704" s="22"/>
      <c r="D704" s="22"/>
      <c r="E704" s="22"/>
      <c r="F704" s="22"/>
      <c r="G704" s="22"/>
      <c r="H704" s="22"/>
      <c r="I704" s="22"/>
      <c r="J704" s="70"/>
    </row>
    <row r="705" spans="1:10">
      <c r="A705" s="22"/>
      <c r="B705" s="22"/>
      <c r="C705" s="22"/>
      <c r="D705" s="22"/>
      <c r="E705" s="22"/>
      <c r="F705" s="22"/>
      <c r="G705" s="22"/>
      <c r="H705" s="22"/>
      <c r="I705" s="22"/>
      <c r="J705" s="70"/>
    </row>
    <row r="706" spans="1:10">
      <c r="A706" s="22"/>
      <c r="B706" s="22"/>
      <c r="C706" s="22"/>
      <c r="D706" s="22"/>
      <c r="E706" s="22"/>
      <c r="F706" s="22"/>
      <c r="G706" s="22"/>
      <c r="H706" s="22"/>
      <c r="I706" s="22"/>
      <c r="J706" s="70"/>
    </row>
    <row r="707" spans="1:10">
      <c r="A707" s="22"/>
      <c r="B707" s="22"/>
      <c r="C707" s="22"/>
      <c r="D707" s="22"/>
      <c r="E707" s="22"/>
      <c r="F707" s="22"/>
      <c r="G707" s="22"/>
      <c r="H707" s="22"/>
      <c r="I707" s="22"/>
      <c r="J707" s="70"/>
    </row>
    <row r="708" spans="1:10">
      <c r="A708" s="22"/>
      <c r="B708" s="22"/>
      <c r="C708" s="22"/>
      <c r="D708" s="22"/>
      <c r="E708" s="22"/>
      <c r="F708" s="22"/>
      <c r="G708" s="22"/>
      <c r="H708" s="22"/>
      <c r="I708" s="22"/>
      <c r="J708" s="70"/>
    </row>
    <row r="709" spans="1:10">
      <c r="A709" s="22"/>
      <c r="B709" s="22"/>
      <c r="C709" s="22"/>
      <c r="D709" s="22"/>
      <c r="E709" s="22"/>
      <c r="F709" s="22"/>
      <c r="G709" s="22"/>
      <c r="H709" s="22"/>
      <c r="I709" s="22"/>
      <c r="J709" s="70"/>
    </row>
    <row r="710" spans="1:10">
      <c r="A710" s="22"/>
      <c r="B710" s="22"/>
      <c r="C710" s="22"/>
      <c r="D710" s="22"/>
      <c r="E710" s="22"/>
      <c r="F710" s="22"/>
      <c r="G710" s="22"/>
      <c r="H710" s="22"/>
      <c r="I710" s="22"/>
      <c r="J710" s="70"/>
    </row>
    <row r="711" spans="1:10">
      <c r="A711" s="22"/>
      <c r="B711" s="22"/>
      <c r="C711" s="22"/>
      <c r="D711" s="22"/>
      <c r="E711" s="22"/>
      <c r="F711" s="22"/>
      <c r="G711" s="22"/>
      <c r="H711" s="22"/>
      <c r="I711" s="22"/>
      <c r="J711" s="70"/>
    </row>
    <row r="712" spans="1:10">
      <c r="A712" s="22"/>
      <c r="B712" s="22"/>
      <c r="C712" s="22"/>
      <c r="D712" s="22"/>
      <c r="E712" s="22"/>
      <c r="F712" s="22"/>
      <c r="G712" s="22"/>
      <c r="H712" s="22"/>
      <c r="I712" s="22"/>
      <c r="J712" s="70"/>
    </row>
    <row r="713" spans="1:10">
      <c r="A713" s="22"/>
      <c r="B713" s="22"/>
      <c r="C713" s="22"/>
      <c r="D713" s="22"/>
      <c r="E713" s="22"/>
      <c r="F713" s="22"/>
      <c r="G713" s="22"/>
      <c r="H713" s="22"/>
      <c r="I713" s="22"/>
      <c r="J713" s="70"/>
    </row>
    <row r="714" spans="1:10">
      <c r="A714" s="22"/>
      <c r="B714" s="22"/>
      <c r="C714" s="22"/>
      <c r="D714" s="22"/>
      <c r="E714" s="22"/>
      <c r="F714" s="22"/>
      <c r="G714" s="22"/>
      <c r="H714" s="22"/>
      <c r="I714" s="22"/>
      <c r="J714" s="70"/>
    </row>
    <row r="715" spans="1:10">
      <c r="A715" s="22"/>
      <c r="B715" s="22"/>
      <c r="C715" s="22"/>
      <c r="D715" s="22"/>
      <c r="E715" s="22"/>
      <c r="F715" s="22"/>
      <c r="G715" s="22"/>
      <c r="H715" s="22"/>
      <c r="I715" s="22"/>
      <c r="J715" s="70"/>
    </row>
    <row r="716" spans="1:10">
      <c r="A716" s="22"/>
      <c r="B716" s="22"/>
      <c r="C716" s="22"/>
      <c r="D716" s="22"/>
      <c r="E716" s="22"/>
      <c r="F716" s="22"/>
      <c r="G716" s="22"/>
      <c r="H716" s="22"/>
      <c r="I716" s="22"/>
      <c r="J716" s="70"/>
    </row>
    <row r="717" spans="1:10">
      <c r="A717" s="22"/>
      <c r="B717" s="22"/>
      <c r="C717" s="22"/>
      <c r="D717" s="22"/>
      <c r="E717" s="22"/>
      <c r="F717" s="22"/>
      <c r="G717" s="22"/>
      <c r="H717" s="22"/>
      <c r="I717" s="22"/>
      <c r="J717" s="70"/>
    </row>
    <row r="718" spans="1:10">
      <c r="A718" s="22"/>
      <c r="B718" s="22"/>
      <c r="C718" s="22"/>
      <c r="D718" s="22"/>
      <c r="E718" s="22"/>
      <c r="F718" s="22"/>
      <c r="G718" s="22"/>
      <c r="H718" s="22"/>
      <c r="I718" s="22"/>
      <c r="J718" s="70"/>
    </row>
    <row r="719" spans="1:10">
      <c r="A719" s="22"/>
      <c r="B719" s="22"/>
      <c r="C719" s="22"/>
      <c r="D719" s="22"/>
      <c r="E719" s="22"/>
      <c r="F719" s="22"/>
      <c r="G719" s="22"/>
      <c r="H719" s="22"/>
      <c r="I719" s="22"/>
      <c r="J719" s="70"/>
    </row>
    <row r="720" spans="1:10">
      <c r="A720" s="22"/>
      <c r="B720" s="22"/>
      <c r="C720" s="22"/>
      <c r="D720" s="22"/>
      <c r="E720" s="22"/>
      <c r="F720" s="22"/>
      <c r="G720" s="22"/>
      <c r="H720" s="22"/>
      <c r="I720" s="22"/>
      <c r="J720" s="70"/>
    </row>
    <row r="721" spans="1:10">
      <c r="A721" s="22"/>
      <c r="B721" s="22"/>
      <c r="C721" s="22"/>
      <c r="D721" s="22"/>
      <c r="E721" s="22"/>
      <c r="F721" s="22"/>
      <c r="G721" s="22"/>
      <c r="H721" s="22"/>
      <c r="I721" s="22"/>
      <c r="J721" s="70"/>
    </row>
    <row r="722" spans="1:10">
      <c r="A722" s="22"/>
      <c r="B722" s="22"/>
      <c r="C722" s="22"/>
      <c r="D722" s="22"/>
      <c r="E722" s="22"/>
      <c r="F722" s="22"/>
      <c r="G722" s="22"/>
      <c r="H722" s="22"/>
      <c r="I722" s="22"/>
      <c r="J722" s="70"/>
    </row>
    <row r="723" spans="1:10">
      <c r="A723" s="22"/>
      <c r="B723" s="22"/>
      <c r="C723" s="22"/>
      <c r="D723" s="22"/>
      <c r="E723" s="22"/>
      <c r="F723" s="22"/>
      <c r="G723" s="22"/>
      <c r="H723" s="22"/>
      <c r="I723" s="22"/>
      <c r="J723" s="70"/>
    </row>
    <row r="724" spans="1:10">
      <c r="A724" s="22"/>
      <c r="B724" s="22"/>
      <c r="C724" s="22"/>
      <c r="D724" s="22"/>
      <c r="E724" s="22"/>
      <c r="F724" s="22"/>
      <c r="G724" s="22"/>
      <c r="H724" s="22"/>
      <c r="I724" s="22"/>
      <c r="J724" s="70"/>
    </row>
    <row r="725" spans="1:10">
      <c r="A725" s="22"/>
      <c r="B725" s="22"/>
      <c r="C725" s="22"/>
      <c r="D725" s="22"/>
      <c r="E725" s="22"/>
      <c r="F725" s="22"/>
      <c r="G725" s="22"/>
      <c r="H725" s="22"/>
      <c r="I725" s="22"/>
      <c r="J725" s="70"/>
    </row>
    <row r="726" spans="1:10">
      <c r="A726" s="22"/>
      <c r="B726" s="22"/>
      <c r="C726" s="22"/>
      <c r="D726" s="22"/>
      <c r="E726" s="22"/>
      <c r="F726" s="22"/>
      <c r="G726" s="22"/>
      <c r="H726" s="22"/>
      <c r="I726" s="22"/>
      <c r="J726" s="70"/>
    </row>
    <row r="727" spans="1:10">
      <c r="A727" s="22"/>
      <c r="B727" s="22"/>
      <c r="C727" s="22"/>
      <c r="D727" s="22"/>
      <c r="E727" s="22"/>
      <c r="F727" s="22"/>
      <c r="G727" s="22"/>
      <c r="H727" s="22"/>
      <c r="I727" s="22"/>
      <c r="J727" s="70"/>
    </row>
    <row r="728" spans="1:10">
      <c r="A728" s="22"/>
      <c r="B728" s="22"/>
      <c r="C728" s="22"/>
      <c r="D728" s="22"/>
      <c r="E728" s="22"/>
      <c r="F728" s="22"/>
      <c r="G728" s="22"/>
      <c r="H728" s="22"/>
      <c r="I728" s="22"/>
      <c r="J728" s="70"/>
    </row>
    <row r="729" spans="1:10">
      <c r="A729" s="22"/>
      <c r="B729" s="22"/>
      <c r="C729" s="22"/>
      <c r="D729" s="22"/>
      <c r="E729" s="22"/>
      <c r="F729" s="22"/>
      <c r="G729" s="22"/>
      <c r="H729" s="22"/>
      <c r="I729" s="22"/>
      <c r="J729" s="70"/>
    </row>
    <row r="730" spans="1:10">
      <c r="A730" s="22"/>
      <c r="B730" s="22"/>
      <c r="C730" s="22"/>
      <c r="D730" s="22"/>
      <c r="E730" s="22"/>
      <c r="F730" s="22"/>
      <c r="G730" s="22"/>
      <c r="H730" s="22"/>
      <c r="I730" s="22"/>
      <c r="J730" s="70"/>
    </row>
    <row r="731" spans="1:10">
      <c r="A731" s="22"/>
      <c r="B731" s="22"/>
      <c r="C731" s="22"/>
      <c r="D731" s="22"/>
      <c r="E731" s="22"/>
      <c r="F731" s="22"/>
      <c r="G731" s="22"/>
      <c r="H731" s="22"/>
      <c r="I731" s="22"/>
      <c r="J731" s="70"/>
    </row>
    <row r="732" spans="1:10">
      <c r="A732" s="22"/>
      <c r="B732" s="22"/>
      <c r="C732" s="22"/>
      <c r="D732" s="22"/>
      <c r="E732" s="22"/>
      <c r="F732" s="22"/>
      <c r="G732" s="22"/>
      <c r="H732" s="22"/>
      <c r="I732" s="22"/>
      <c r="J732" s="70"/>
    </row>
    <row r="733" spans="1:10">
      <c r="A733" s="22"/>
      <c r="B733" s="22"/>
      <c r="C733" s="22"/>
      <c r="D733" s="22"/>
      <c r="E733" s="22"/>
      <c r="F733" s="22"/>
      <c r="G733" s="22"/>
      <c r="H733" s="22"/>
      <c r="I733" s="22"/>
      <c r="J733" s="70"/>
    </row>
    <row r="734" spans="1:10">
      <c r="A734" s="22"/>
      <c r="B734" s="22"/>
      <c r="C734" s="22"/>
      <c r="D734" s="22"/>
      <c r="E734" s="22"/>
      <c r="F734" s="22"/>
      <c r="G734" s="22"/>
      <c r="H734" s="22"/>
      <c r="I734" s="22"/>
      <c r="J734" s="70"/>
    </row>
    <row r="735" spans="1:10">
      <c r="A735" s="22"/>
      <c r="B735" s="22"/>
      <c r="C735" s="22"/>
      <c r="D735" s="22"/>
      <c r="E735" s="22"/>
      <c r="F735" s="22"/>
      <c r="G735" s="22"/>
      <c r="H735" s="22"/>
      <c r="I735" s="22"/>
      <c r="J735" s="70"/>
    </row>
    <row r="736" spans="1:10">
      <c r="A736" s="22"/>
      <c r="B736" s="22"/>
      <c r="C736" s="22"/>
      <c r="D736" s="22"/>
      <c r="E736" s="22"/>
      <c r="F736" s="22"/>
      <c r="G736" s="22"/>
      <c r="H736" s="22"/>
      <c r="I736" s="22"/>
      <c r="J736" s="70"/>
    </row>
    <row r="737" spans="1:10">
      <c r="A737" s="22"/>
      <c r="B737" s="22"/>
      <c r="C737" s="22"/>
      <c r="D737" s="22"/>
      <c r="E737" s="22"/>
      <c r="F737" s="22"/>
      <c r="G737" s="22"/>
      <c r="H737" s="22"/>
      <c r="I737" s="22"/>
      <c r="J737" s="70"/>
    </row>
    <row r="738" spans="1:10">
      <c r="A738" s="22"/>
      <c r="B738" s="22"/>
      <c r="C738" s="22"/>
      <c r="D738" s="22"/>
      <c r="E738" s="22"/>
      <c r="F738" s="22"/>
      <c r="G738" s="22"/>
      <c r="H738" s="22"/>
      <c r="I738" s="22"/>
      <c r="J738" s="70"/>
    </row>
    <row r="739" spans="1:10">
      <c r="A739" s="22"/>
      <c r="B739" s="22"/>
      <c r="C739" s="22"/>
      <c r="D739" s="22"/>
      <c r="E739" s="22"/>
      <c r="F739" s="22"/>
      <c r="G739" s="22"/>
      <c r="H739" s="22"/>
      <c r="I739" s="22"/>
      <c r="J739" s="70"/>
    </row>
    <row r="740" spans="1:10">
      <c r="A740" s="22"/>
      <c r="B740" s="22"/>
      <c r="C740" s="22"/>
      <c r="D740" s="22"/>
      <c r="E740" s="22"/>
      <c r="F740" s="22"/>
      <c r="G740" s="22"/>
      <c r="H740" s="22"/>
      <c r="I740" s="22"/>
      <c r="J740" s="70"/>
    </row>
    <row r="741" spans="1:10">
      <c r="A741" s="22"/>
      <c r="B741" s="22"/>
      <c r="C741" s="22"/>
      <c r="D741" s="22"/>
      <c r="E741" s="22"/>
      <c r="F741" s="22"/>
      <c r="G741" s="22"/>
      <c r="H741" s="22"/>
      <c r="I741" s="22"/>
      <c r="J741" s="70"/>
    </row>
    <row r="742" spans="1:10">
      <c r="A742" s="22"/>
      <c r="B742" s="22"/>
      <c r="C742" s="22"/>
      <c r="D742" s="22"/>
      <c r="E742" s="22"/>
      <c r="F742" s="22"/>
      <c r="G742" s="22"/>
      <c r="H742" s="22"/>
      <c r="I742" s="22"/>
      <c r="J742" s="70"/>
    </row>
    <row r="743" spans="1:10">
      <c r="A743" s="22"/>
      <c r="B743" s="22"/>
      <c r="C743" s="22"/>
      <c r="D743" s="22"/>
      <c r="E743" s="22"/>
      <c r="F743" s="22"/>
      <c r="G743" s="22"/>
      <c r="H743" s="22"/>
      <c r="I743" s="22"/>
      <c r="J743" s="70"/>
    </row>
    <row r="744" spans="1:10">
      <c r="A744" s="22"/>
      <c r="B744" s="22"/>
      <c r="C744" s="22"/>
      <c r="D744" s="22"/>
      <c r="E744" s="22"/>
      <c r="F744" s="22"/>
      <c r="G744" s="22"/>
      <c r="H744" s="22"/>
      <c r="I744" s="22"/>
      <c r="J744" s="70"/>
    </row>
    <row r="745" spans="1:10">
      <c r="A745" s="22"/>
      <c r="B745" s="22"/>
      <c r="C745" s="22"/>
      <c r="D745" s="22"/>
      <c r="E745" s="22"/>
      <c r="F745" s="22"/>
      <c r="G745" s="22"/>
      <c r="H745" s="22"/>
      <c r="I745" s="22"/>
      <c r="J745" s="70"/>
    </row>
    <row r="746" spans="1:10">
      <c r="A746" s="22"/>
      <c r="B746" s="22"/>
      <c r="C746" s="22"/>
      <c r="D746" s="22"/>
      <c r="E746" s="22"/>
      <c r="F746" s="22"/>
      <c r="G746" s="22"/>
      <c r="H746" s="22"/>
      <c r="I746" s="22"/>
      <c r="J746" s="70"/>
    </row>
    <row r="747" spans="1:10">
      <c r="A747" s="22"/>
      <c r="B747" s="22"/>
      <c r="C747" s="22"/>
      <c r="D747" s="22"/>
      <c r="E747" s="22"/>
      <c r="F747" s="22"/>
      <c r="G747" s="22"/>
      <c r="H747" s="22"/>
      <c r="I747" s="22"/>
      <c r="J747" s="70"/>
    </row>
    <row r="748" spans="1:10">
      <c r="A748" s="22"/>
      <c r="B748" s="22"/>
      <c r="C748" s="22"/>
      <c r="D748" s="22"/>
      <c r="E748" s="22"/>
      <c r="F748" s="22"/>
      <c r="G748" s="22"/>
      <c r="H748" s="22"/>
      <c r="I748" s="22"/>
      <c r="J748" s="70"/>
    </row>
    <row r="749" spans="1:10">
      <c r="A749" s="22"/>
      <c r="B749" s="22"/>
      <c r="C749" s="22"/>
      <c r="D749" s="22"/>
      <c r="E749" s="22"/>
      <c r="F749" s="22"/>
      <c r="G749" s="22"/>
      <c r="H749" s="22"/>
      <c r="I749" s="22"/>
      <c r="J749" s="70"/>
    </row>
    <row r="750" spans="1:10">
      <c r="A750" s="22"/>
      <c r="B750" s="22"/>
      <c r="C750" s="22"/>
      <c r="D750" s="22"/>
      <c r="E750" s="22"/>
      <c r="F750" s="22"/>
      <c r="G750" s="22"/>
      <c r="H750" s="22"/>
      <c r="I750" s="22"/>
      <c r="J750" s="70"/>
    </row>
    <row r="751" spans="1:10">
      <c r="A751" s="22"/>
      <c r="B751" s="22"/>
      <c r="C751" s="22"/>
      <c r="D751" s="22"/>
      <c r="E751" s="22"/>
      <c r="F751" s="22"/>
      <c r="G751" s="22"/>
      <c r="H751" s="22"/>
      <c r="I751" s="22"/>
      <c r="J751" s="70"/>
    </row>
    <row r="752" spans="1:10">
      <c r="A752" s="22"/>
      <c r="B752" s="22"/>
      <c r="C752" s="22"/>
      <c r="D752" s="22"/>
      <c r="E752" s="22"/>
      <c r="F752" s="22"/>
      <c r="G752" s="22"/>
      <c r="H752" s="22"/>
      <c r="I752" s="22"/>
      <c r="J752" s="70"/>
    </row>
    <row r="753" spans="1:10">
      <c r="A753" s="22"/>
      <c r="B753" s="22"/>
      <c r="C753" s="22"/>
      <c r="D753" s="22"/>
      <c r="E753" s="22"/>
      <c r="F753" s="22"/>
      <c r="G753" s="22"/>
      <c r="H753" s="22"/>
      <c r="I753" s="22"/>
      <c r="J753" s="70"/>
    </row>
    <row r="754" spans="1:10">
      <c r="A754" s="22"/>
      <c r="B754" s="22"/>
      <c r="C754" s="22"/>
      <c r="D754" s="22"/>
      <c r="E754" s="22"/>
      <c r="F754" s="22"/>
      <c r="G754" s="22"/>
      <c r="H754" s="22"/>
      <c r="I754" s="22"/>
      <c r="J754" s="70"/>
    </row>
    <row r="755" spans="1:10">
      <c r="A755" s="22"/>
      <c r="B755" s="22"/>
      <c r="C755" s="22"/>
      <c r="D755" s="22"/>
      <c r="E755" s="22"/>
      <c r="F755" s="22"/>
      <c r="G755" s="22"/>
      <c r="H755" s="22"/>
      <c r="I755" s="22"/>
      <c r="J755" s="70"/>
    </row>
    <row r="756" spans="1:10">
      <c r="A756" s="22"/>
      <c r="B756" s="22"/>
      <c r="C756" s="22"/>
      <c r="D756" s="22"/>
      <c r="E756" s="22"/>
      <c r="F756" s="22"/>
      <c r="G756" s="22"/>
      <c r="H756" s="22"/>
      <c r="I756" s="22"/>
      <c r="J756" s="70"/>
    </row>
    <row r="757" spans="1:10">
      <c r="A757" s="22"/>
      <c r="B757" s="22"/>
      <c r="C757" s="22"/>
      <c r="D757" s="22"/>
      <c r="E757" s="22"/>
      <c r="F757" s="22"/>
      <c r="G757" s="22"/>
      <c r="H757" s="22"/>
      <c r="I757" s="22"/>
      <c r="J757" s="70"/>
    </row>
    <row r="758" spans="1:10">
      <c r="A758" s="22"/>
      <c r="B758" s="22"/>
      <c r="C758" s="22"/>
      <c r="D758" s="22"/>
      <c r="E758" s="22"/>
      <c r="F758" s="22"/>
      <c r="G758" s="22"/>
      <c r="H758" s="22"/>
      <c r="I758" s="22"/>
      <c r="J758" s="70"/>
    </row>
    <row r="759" spans="1:10">
      <c r="A759" s="22"/>
      <c r="B759" s="22"/>
      <c r="C759" s="22"/>
      <c r="D759" s="22"/>
      <c r="E759" s="22"/>
      <c r="F759" s="22"/>
      <c r="G759" s="22"/>
      <c r="H759" s="22"/>
      <c r="I759" s="22"/>
      <c r="J759" s="70"/>
    </row>
    <row r="760" spans="1:10">
      <c r="A760" s="22"/>
      <c r="B760" s="22"/>
      <c r="C760" s="22"/>
      <c r="D760" s="22"/>
      <c r="E760" s="22"/>
      <c r="F760" s="22"/>
      <c r="G760" s="22"/>
      <c r="H760" s="22"/>
      <c r="I760" s="22"/>
      <c r="J760" s="70"/>
    </row>
    <row r="761" spans="1:10">
      <c r="A761" s="22"/>
      <c r="B761" s="22"/>
      <c r="C761" s="22"/>
      <c r="D761" s="22"/>
      <c r="E761" s="22"/>
      <c r="F761" s="22"/>
      <c r="G761" s="22"/>
      <c r="H761" s="22"/>
      <c r="I761" s="22"/>
      <c r="J761" s="70"/>
    </row>
    <row r="762" spans="1:10">
      <c r="A762" s="22"/>
      <c r="B762" s="22"/>
      <c r="C762" s="22"/>
      <c r="D762" s="22"/>
      <c r="E762" s="22"/>
      <c r="F762" s="22"/>
      <c r="G762" s="22"/>
      <c r="H762" s="22"/>
      <c r="I762" s="22"/>
      <c r="J762" s="70"/>
    </row>
    <row r="763" spans="1:10">
      <c r="A763" s="22"/>
      <c r="B763" s="22"/>
      <c r="C763" s="22"/>
      <c r="D763" s="22"/>
      <c r="E763" s="22"/>
      <c r="F763" s="22"/>
      <c r="G763" s="22"/>
      <c r="H763" s="22"/>
      <c r="I763" s="22"/>
      <c r="J763" s="70"/>
    </row>
    <row r="764" spans="1:10">
      <c r="A764" s="22"/>
      <c r="B764" s="22"/>
      <c r="C764" s="22"/>
      <c r="D764" s="22"/>
      <c r="E764" s="22"/>
      <c r="F764" s="22"/>
      <c r="G764" s="22"/>
      <c r="H764" s="22"/>
      <c r="I764" s="22"/>
      <c r="J764" s="70"/>
    </row>
    <row r="765" spans="1:10">
      <c r="A765" s="22"/>
      <c r="B765" s="22"/>
      <c r="C765" s="22"/>
      <c r="D765" s="22"/>
      <c r="E765" s="22"/>
      <c r="F765" s="22"/>
      <c r="G765" s="22"/>
      <c r="H765" s="22"/>
      <c r="I765" s="22"/>
      <c r="J765" s="70"/>
    </row>
    <row r="766" spans="1:10">
      <c r="A766" s="22"/>
      <c r="B766" s="22"/>
      <c r="C766" s="22"/>
      <c r="D766" s="22"/>
      <c r="E766" s="22"/>
      <c r="F766" s="22"/>
      <c r="G766" s="22"/>
      <c r="H766" s="22"/>
      <c r="I766" s="22"/>
      <c r="J766" s="70"/>
    </row>
    <row r="767" spans="1:10">
      <c r="A767" s="22"/>
      <c r="B767" s="22"/>
      <c r="C767" s="22"/>
      <c r="D767" s="22"/>
      <c r="E767" s="22"/>
      <c r="F767" s="22"/>
      <c r="G767" s="22"/>
      <c r="H767" s="22"/>
      <c r="I767" s="22"/>
      <c r="J767" s="70"/>
    </row>
    <row r="768" spans="1:10">
      <c r="A768" s="22"/>
      <c r="B768" s="22"/>
      <c r="C768" s="22"/>
      <c r="D768" s="22"/>
      <c r="E768" s="22"/>
      <c r="F768" s="22"/>
      <c r="G768" s="22"/>
      <c r="H768" s="22"/>
      <c r="I768" s="22"/>
      <c r="J768" s="70"/>
    </row>
    <row r="769" spans="1:10">
      <c r="A769" s="22"/>
      <c r="B769" s="22"/>
      <c r="C769" s="22"/>
      <c r="D769" s="22"/>
      <c r="E769" s="22"/>
      <c r="F769" s="22"/>
      <c r="G769" s="22"/>
      <c r="H769" s="22"/>
      <c r="I769" s="22"/>
      <c r="J769" s="70"/>
    </row>
    <row r="770" spans="1:10">
      <c r="A770" s="22"/>
      <c r="B770" s="22"/>
      <c r="C770" s="22"/>
      <c r="D770" s="22"/>
      <c r="E770" s="22"/>
      <c r="F770" s="22"/>
      <c r="G770" s="22"/>
      <c r="H770" s="22"/>
      <c r="I770" s="22"/>
      <c r="J770" s="70"/>
    </row>
    <row r="771" spans="1:10">
      <c r="A771" s="22"/>
      <c r="B771" s="22"/>
      <c r="C771" s="22"/>
      <c r="D771" s="22"/>
      <c r="E771" s="22"/>
      <c r="F771" s="22"/>
      <c r="G771" s="22"/>
      <c r="H771" s="22"/>
      <c r="I771" s="22"/>
      <c r="J771" s="70"/>
    </row>
    <row r="772" spans="1:10">
      <c r="A772" s="22"/>
      <c r="B772" s="22"/>
      <c r="C772" s="22"/>
      <c r="D772" s="22"/>
      <c r="E772" s="22"/>
      <c r="F772" s="22"/>
      <c r="G772" s="22"/>
      <c r="H772" s="22"/>
      <c r="I772" s="22"/>
      <c r="J772" s="70"/>
    </row>
    <row r="773" spans="1:10">
      <c r="A773" s="22"/>
      <c r="B773" s="22"/>
      <c r="C773" s="22"/>
      <c r="D773" s="22"/>
      <c r="E773" s="22"/>
      <c r="F773" s="22"/>
      <c r="G773" s="22"/>
      <c r="H773" s="22"/>
      <c r="I773" s="22"/>
      <c r="J773" s="70"/>
    </row>
    <row r="774" spans="1:10">
      <c r="A774" s="22"/>
      <c r="B774" s="22"/>
      <c r="C774" s="22"/>
      <c r="D774" s="22"/>
      <c r="E774" s="22"/>
      <c r="F774" s="22"/>
      <c r="G774" s="22"/>
      <c r="H774" s="22"/>
      <c r="I774" s="22"/>
      <c r="J774" s="70"/>
    </row>
    <row r="775" spans="1:10">
      <c r="A775" s="22"/>
      <c r="B775" s="22"/>
      <c r="C775" s="22"/>
      <c r="D775" s="22"/>
      <c r="E775" s="22"/>
      <c r="F775" s="22"/>
      <c r="G775" s="22"/>
      <c r="H775" s="22"/>
      <c r="I775" s="22"/>
      <c r="J775" s="70"/>
    </row>
    <row r="776" spans="1:10">
      <c r="A776" s="22"/>
      <c r="B776" s="22"/>
      <c r="C776" s="22"/>
      <c r="D776" s="22"/>
      <c r="E776" s="22"/>
      <c r="F776" s="22"/>
      <c r="G776" s="22"/>
      <c r="H776" s="22"/>
      <c r="I776" s="22"/>
      <c r="J776" s="70"/>
    </row>
    <row r="777" spans="1:10">
      <c r="A777" s="22"/>
      <c r="B777" s="22"/>
      <c r="C777" s="22"/>
      <c r="D777" s="22"/>
      <c r="E777" s="22"/>
      <c r="F777" s="22"/>
      <c r="G777" s="22"/>
      <c r="H777" s="22"/>
      <c r="I777" s="22"/>
      <c r="J777" s="70"/>
    </row>
    <row r="778" spans="1:10">
      <c r="A778" s="22"/>
      <c r="B778" s="22"/>
      <c r="C778" s="22"/>
      <c r="D778" s="22"/>
      <c r="E778" s="22"/>
      <c r="F778" s="22"/>
      <c r="G778" s="22"/>
      <c r="H778" s="22"/>
      <c r="I778" s="22"/>
      <c r="J778" s="70"/>
    </row>
    <row r="779" spans="1:10">
      <c r="A779" s="22"/>
      <c r="B779" s="22"/>
      <c r="C779" s="22"/>
      <c r="D779" s="22"/>
      <c r="E779" s="22"/>
      <c r="F779" s="22"/>
      <c r="G779" s="22"/>
      <c r="H779" s="22"/>
      <c r="I779" s="22"/>
      <c r="J779" s="70"/>
    </row>
    <row r="780" spans="1:10">
      <c r="A780" s="22"/>
      <c r="B780" s="22"/>
      <c r="C780" s="22"/>
      <c r="D780" s="22"/>
      <c r="E780" s="22"/>
      <c r="F780" s="22"/>
      <c r="G780" s="22"/>
      <c r="H780" s="22"/>
      <c r="I780" s="22"/>
      <c r="J780" s="70"/>
    </row>
    <row r="781" spans="1:10">
      <c r="A781" s="22"/>
      <c r="B781" s="22"/>
      <c r="C781" s="22"/>
      <c r="D781" s="22"/>
      <c r="E781" s="22"/>
      <c r="F781" s="22"/>
      <c r="G781" s="22"/>
      <c r="H781" s="22"/>
      <c r="I781" s="22"/>
      <c r="J781" s="70"/>
    </row>
    <row r="782" spans="1:10">
      <c r="A782" s="22"/>
      <c r="B782" s="22"/>
      <c r="C782" s="22"/>
      <c r="D782" s="22"/>
      <c r="E782" s="22"/>
      <c r="F782" s="22"/>
      <c r="G782" s="22"/>
      <c r="H782" s="22"/>
      <c r="I782" s="22"/>
      <c r="J782" s="70"/>
    </row>
    <row r="783" spans="1:10">
      <c r="A783" s="22"/>
      <c r="B783" s="22"/>
      <c r="C783" s="22"/>
      <c r="D783" s="22"/>
      <c r="E783" s="22"/>
      <c r="F783" s="22"/>
      <c r="G783" s="22"/>
      <c r="H783" s="22"/>
      <c r="I783" s="22"/>
      <c r="J783" s="70"/>
    </row>
    <row r="784" spans="1:10">
      <c r="A784" s="22"/>
      <c r="B784" s="22"/>
      <c r="C784" s="22"/>
      <c r="D784" s="22"/>
      <c r="E784" s="22"/>
      <c r="F784" s="22"/>
      <c r="G784" s="22"/>
      <c r="H784" s="22"/>
      <c r="I784" s="22"/>
      <c r="J784" s="70"/>
    </row>
    <row r="785" spans="1:10">
      <c r="A785" s="22"/>
      <c r="B785" s="22"/>
      <c r="C785" s="22"/>
      <c r="D785" s="22"/>
      <c r="E785" s="22"/>
      <c r="F785" s="22"/>
      <c r="G785" s="22"/>
      <c r="H785" s="22"/>
      <c r="I785" s="22"/>
      <c r="J785" s="70"/>
    </row>
    <row r="786" spans="1:10">
      <c r="A786" s="22"/>
      <c r="B786" s="22"/>
      <c r="C786" s="22"/>
      <c r="D786" s="22"/>
      <c r="E786" s="22"/>
      <c r="F786" s="22"/>
      <c r="G786" s="22"/>
      <c r="H786" s="22"/>
      <c r="I786" s="22"/>
      <c r="J786" s="70"/>
    </row>
    <row r="787" spans="1:10">
      <c r="A787" s="22"/>
      <c r="B787" s="22"/>
      <c r="C787" s="22"/>
      <c r="D787" s="22"/>
      <c r="E787" s="22"/>
      <c r="F787" s="22"/>
      <c r="G787" s="22"/>
      <c r="H787" s="22"/>
      <c r="I787" s="22"/>
      <c r="J787" s="70"/>
    </row>
    <row r="788" spans="1:10">
      <c r="A788" s="22"/>
      <c r="B788" s="22"/>
      <c r="C788" s="22"/>
      <c r="D788" s="22"/>
      <c r="E788" s="22"/>
      <c r="F788" s="22"/>
      <c r="G788" s="22"/>
      <c r="H788" s="22"/>
      <c r="I788" s="22"/>
      <c r="J788" s="70"/>
    </row>
    <row r="789" spans="1:10">
      <c r="A789" s="22"/>
      <c r="B789" s="22"/>
      <c r="C789" s="22"/>
      <c r="D789" s="22"/>
      <c r="E789" s="22"/>
      <c r="F789" s="22"/>
      <c r="G789" s="22"/>
      <c r="H789" s="22"/>
      <c r="I789" s="22"/>
      <c r="J789" s="70"/>
    </row>
    <row r="790" spans="1:10">
      <c r="A790" s="22"/>
      <c r="B790" s="22"/>
      <c r="C790" s="22"/>
      <c r="D790" s="22"/>
      <c r="E790" s="22"/>
      <c r="F790" s="22"/>
      <c r="G790" s="22"/>
      <c r="H790" s="22"/>
      <c r="I790" s="22"/>
      <c r="J790" s="70"/>
    </row>
    <row r="791" spans="1:10">
      <c r="A791" s="22"/>
      <c r="B791" s="22"/>
      <c r="C791" s="22"/>
      <c r="D791" s="22"/>
      <c r="E791" s="22"/>
      <c r="F791" s="22"/>
      <c r="G791" s="22"/>
      <c r="H791" s="22"/>
      <c r="I791" s="22"/>
      <c r="J791" s="70"/>
    </row>
    <row r="792" spans="1:10">
      <c r="A792" s="22"/>
      <c r="B792" s="22"/>
      <c r="C792" s="22"/>
      <c r="D792" s="22"/>
      <c r="E792" s="22"/>
      <c r="F792" s="22"/>
      <c r="G792" s="22"/>
      <c r="H792" s="22"/>
      <c r="I792" s="22"/>
      <c r="J792" s="70"/>
    </row>
    <row r="793" spans="1:10">
      <c r="A793" s="22"/>
      <c r="B793" s="22"/>
      <c r="C793" s="22"/>
      <c r="D793" s="22"/>
      <c r="E793" s="22"/>
      <c r="F793" s="22"/>
      <c r="G793" s="22"/>
      <c r="H793" s="22"/>
      <c r="I793" s="22"/>
      <c r="J793" s="70"/>
    </row>
    <row r="794" spans="1:10">
      <c r="A794" s="22"/>
      <c r="B794" s="22"/>
      <c r="C794" s="22"/>
      <c r="D794" s="22"/>
      <c r="E794" s="22"/>
      <c r="F794" s="22"/>
      <c r="G794" s="22"/>
      <c r="H794" s="22"/>
      <c r="I794" s="22"/>
      <c r="J794" s="70"/>
    </row>
    <row r="795" spans="1:10">
      <c r="A795" s="22"/>
      <c r="B795" s="22"/>
      <c r="C795" s="22"/>
      <c r="D795" s="22"/>
      <c r="E795" s="22"/>
      <c r="F795" s="22"/>
      <c r="G795" s="22"/>
      <c r="H795" s="22"/>
      <c r="I795" s="22"/>
      <c r="J795" s="70"/>
    </row>
    <row r="796" spans="1:10">
      <c r="A796" s="22"/>
      <c r="B796" s="22"/>
      <c r="C796" s="22"/>
      <c r="D796" s="22"/>
      <c r="E796" s="22"/>
      <c r="F796" s="22"/>
      <c r="G796" s="22"/>
      <c r="H796" s="22"/>
      <c r="I796" s="22"/>
      <c r="J796" s="70"/>
    </row>
    <row r="797" spans="1:10">
      <c r="A797" s="22"/>
      <c r="B797" s="22"/>
      <c r="C797" s="22"/>
      <c r="D797" s="22"/>
      <c r="E797" s="22"/>
      <c r="F797" s="22"/>
      <c r="G797" s="22"/>
      <c r="H797" s="22"/>
      <c r="I797" s="22"/>
      <c r="J797" s="70"/>
    </row>
    <row r="798" spans="1:10">
      <c r="A798" s="22"/>
      <c r="B798" s="22"/>
      <c r="C798" s="22"/>
      <c r="D798" s="22"/>
      <c r="E798" s="22"/>
      <c r="F798" s="22"/>
      <c r="G798" s="22"/>
      <c r="H798" s="22"/>
      <c r="I798" s="22"/>
      <c r="J798" s="70"/>
    </row>
    <row r="799" spans="1:10">
      <c r="A799" s="22"/>
      <c r="B799" s="22"/>
      <c r="C799" s="22"/>
      <c r="D799" s="22"/>
      <c r="E799" s="22"/>
      <c r="F799" s="22"/>
      <c r="G799" s="22"/>
      <c r="H799" s="22"/>
      <c r="I799" s="22"/>
      <c r="J799" s="70"/>
    </row>
    <row r="800" spans="1:10">
      <c r="A800" s="22"/>
      <c r="B800" s="22"/>
      <c r="C800" s="22"/>
      <c r="D800" s="22"/>
      <c r="E800" s="22"/>
      <c r="F800" s="22"/>
      <c r="G800" s="22"/>
      <c r="H800" s="22"/>
      <c r="I800" s="22"/>
      <c r="J800" s="70"/>
    </row>
    <row r="801" spans="1:10">
      <c r="A801" s="22"/>
      <c r="B801" s="22"/>
      <c r="C801" s="22"/>
      <c r="D801" s="22"/>
      <c r="E801" s="22"/>
      <c r="F801" s="22"/>
      <c r="G801" s="22"/>
      <c r="H801" s="22"/>
      <c r="I801" s="22"/>
      <c r="J801" s="70"/>
    </row>
    <row r="802" spans="1:10">
      <c r="A802" s="22"/>
      <c r="B802" s="22"/>
      <c r="C802" s="22"/>
      <c r="D802" s="22"/>
      <c r="E802" s="22"/>
      <c r="F802" s="22"/>
      <c r="G802" s="22"/>
      <c r="H802" s="22"/>
      <c r="I802" s="22"/>
      <c r="J802" s="70"/>
    </row>
    <row r="803" spans="1:10">
      <c r="A803" s="22"/>
      <c r="B803" s="22"/>
      <c r="C803" s="22"/>
      <c r="D803" s="22"/>
      <c r="E803" s="22"/>
      <c r="F803" s="22"/>
      <c r="G803" s="22"/>
      <c r="H803" s="22"/>
      <c r="I803" s="22"/>
      <c r="J803" s="70"/>
    </row>
    <row r="804" spans="1:10">
      <c r="A804" s="22"/>
      <c r="B804" s="22"/>
      <c r="C804" s="22"/>
      <c r="D804" s="22"/>
      <c r="E804" s="22"/>
      <c r="F804" s="22"/>
      <c r="G804" s="22"/>
      <c r="H804" s="22"/>
      <c r="I804" s="22"/>
      <c r="J804" s="70"/>
    </row>
    <row r="805" spans="1:10">
      <c r="A805" s="22"/>
      <c r="B805" s="22"/>
      <c r="C805" s="22"/>
      <c r="D805" s="22"/>
      <c r="E805" s="22"/>
      <c r="F805" s="22"/>
      <c r="G805" s="22"/>
      <c r="H805" s="22"/>
      <c r="I805" s="22"/>
      <c r="J805" s="70"/>
    </row>
    <row r="806" spans="1:10">
      <c r="A806" s="22"/>
      <c r="B806" s="22"/>
      <c r="C806" s="22"/>
      <c r="D806" s="22"/>
      <c r="E806" s="22"/>
      <c r="F806" s="22"/>
      <c r="G806" s="22"/>
      <c r="H806" s="22"/>
      <c r="I806" s="22"/>
      <c r="J806" s="70"/>
    </row>
    <row r="807" spans="1:10">
      <c r="A807" s="22"/>
      <c r="B807" s="22"/>
      <c r="C807" s="22"/>
      <c r="D807" s="22"/>
      <c r="E807" s="22"/>
      <c r="F807" s="22"/>
      <c r="G807" s="22"/>
      <c r="H807" s="22"/>
      <c r="I807" s="22"/>
      <c r="J807" s="70"/>
    </row>
    <row r="808" spans="1:10">
      <c r="A808" s="22"/>
      <c r="B808" s="22"/>
      <c r="C808" s="22"/>
      <c r="D808" s="22"/>
      <c r="E808" s="22"/>
      <c r="F808" s="22"/>
      <c r="G808" s="22"/>
      <c r="H808" s="22"/>
      <c r="I808" s="22"/>
      <c r="J808" s="70"/>
    </row>
    <row r="809" spans="1:10">
      <c r="A809" s="22"/>
      <c r="B809" s="22"/>
      <c r="C809" s="22"/>
      <c r="D809" s="22"/>
      <c r="E809" s="22"/>
      <c r="F809" s="22"/>
      <c r="G809" s="22"/>
      <c r="H809" s="22"/>
      <c r="I809" s="22"/>
      <c r="J809" s="70"/>
    </row>
    <row r="810" spans="1:10">
      <c r="A810" s="22"/>
      <c r="B810" s="22"/>
      <c r="C810" s="22"/>
      <c r="D810" s="22"/>
      <c r="E810" s="22"/>
      <c r="F810" s="22"/>
      <c r="G810" s="22"/>
      <c r="H810" s="22"/>
      <c r="I810" s="22"/>
      <c r="J810" s="70"/>
    </row>
    <row r="811" spans="1:10">
      <c r="A811" s="22"/>
      <c r="B811" s="22"/>
      <c r="C811" s="22"/>
      <c r="D811" s="22"/>
      <c r="E811" s="22"/>
      <c r="F811" s="22"/>
      <c r="G811" s="22"/>
      <c r="H811" s="22"/>
      <c r="I811" s="22"/>
      <c r="J811" s="70"/>
    </row>
    <row r="812" spans="1:10">
      <c r="A812" s="22"/>
      <c r="B812" s="22"/>
      <c r="C812" s="22"/>
      <c r="D812" s="22"/>
      <c r="E812" s="22"/>
      <c r="F812" s="22"/>
      <c r="G812" s="22"/>
      <c r="H812" s="22"/>
      <c r="I812" s="22"/>
      <c r="J812" s="70"/>
    </row>
    <row r="813" spans="1:10">
      <c r="A813" s="22"/>
      <c r="B813" s="22"/>
      <c r="C813" s="22"/>
      <c r="D813" s="22"/>
      <c r="E813" s="22"/>
      <c r="F813" s="22"/>
      <c r="G813" s="22"/>
      <c r="H813" s="22"/>
      <c r="I813" s="22"/>
      <c r="J813" s="70"/>
    </row>
    <row r="814" spans="1:10">
      <c r="A814" s="22"/>
      <c r="B814" s="22"/>
      <c r="C814" s="22"/>
      <c r="D814" s="22"/>
      <c r="E814" s="22"/>
      <c r="F814" s="22"/>
      <c r="G814" s="22"/>
      <c r="H814" s="22"/>
      <c r="I814" s="22"/>
      <c r="J814" s="70"/>
    </row>
    <row r="815" spans="1:10">
      <c r="A815" s="22"/>
      <c r="B815" s="22"/>
      <c r="C815" s="22"/>
      <c r="D815" s="22"/>
      <c r="E815" s="22"/>
      <c r="F815" s="22"/>
      <c r="G815" s="22"/>
      <c r="H815" s="22"/>
      <c r="I815" s="22"/>
      <c r="J815" s="70"/>
    </row>
    <row r="816" spans="1:10">
      <c r="A816" s="22"/>
      <c r="B816" s="22"/>
      <c r="C816" s="22"/>
      <c r="D816" s="22"/>
      <c r="E816" s="22"/>
      <c r="F816" s="22"/>
      <c r="G816" s="22"/>
      <c r="H816" s="22"/>
      <c r="I816" s="22"/>
      <c r="J816" s="70"/>
    </row>
    <row r="817" spans="1:10">
      <c r="A817" s="22"/>
      <c r="B817" s="22"/>
      <c r="C817" s="22"/>
      <c r="D817" s="22"/>
      <c r="E817" s="22"/>
      <c r="F817" s="22"/>
      <c r="G817" s="22"/>
      <c r="H817" s="22"/>
      <c r="I817" s="22"/>
      <c r="J817" s="70"/>
    </row>
    <row r="818" spans="1:10">
      <c r="A818" s="22"/>
      <c r="B818" s="22"/>
      <c r="C818" s="22"/>
      <c r="D818" s="22"/>
      <c r="E818" s="22"/>
      <c r="F818" s="22"/>
      <c r="G818" s="22"/>
      <c r="H818" s="22"/>
      <c r="I818" s="22"/>
      <c r="J818" s="70"/>
    </row>
    <row r="819" spans="1:10">
      <c r="A819" s="22"/>
      <c r="B819" s="22"/>
      <c r="C819" s="22"/>
      <c r="D819" s="22"/>
      <c r="E819" s="22"/>
      <c r="F819" s="22"/>
      <c r="G819" s="22"/>
      <c r="H819" s="22"/>
      <c r="I819" s="22"/>
      <c r="J819" s="70"/>
    </row>
    <row r="820" spans="1:10">
      <c r="A820" s="22"/>
      <c r="B820" s="22"/>
      <c r="C820" s="22"/>
      <c r="D820" s="22"/>
      <c r="E820" s="22"/>
      <c r="F820" s="22"/>
      <c r="G820" s="22"/>
      <c r="H820" s="22"/>
      <c r="I820" s="22"/>
      <c r="J820" s="70"/>
    </row>
    <row r="821" spans="1:10">
      <c r="A821" s="22"/>
      <c r="B821" s="22"/>
      <c r="C821" s="22"/>
      <c r="D821" s="22"/>
      <c r="E821" s="22"/>
      <c r="F821" s="22"/>
      <c r="G821" s="22"/>
      <c r="H821" s="22"/>
      <c r="I821" s="22"/>
      <c r="J821" s="70"/>
    </row>
    <row r="822" spans="1:10">
      <c r="A822" s="22"/>
      <c r="B822" s="22"/>
      <c r="C822" s="22"/>
      <c r="D822" s="22"/>
      <c r="E822" s="22"/>
      <c r="F822" s="22"/>
      <c r="G822" s="22"/>
      <c r="H822" s="22"/>
      <c r="I822" s="22"/>
      <c r="J822" s="70"/>
    </row>
    <row r="823" spans="1:10">
      <c r="A823" s="22"/>
      <c r="B823" s="22"/>
      <c r="C823" s="22"/>
      <c r="D823" s="22"/>
      <c r="E823" s="22"/>
      <c r="F823" s="22"/>
      <c r="G823" s="22"/>
      <c r="H823" s="22"/>
      <c r="I823" s="22"/>
      <c r="J823" s="70"/>
    </row>
    <row r="824" spans="1:10">
      <c r="A824" s="22"/>
      <c r="B824" s="22"/>
      <c r="C824" s="22"/>
      <c r="D824" s="22"/>
      <c r="E824" s="22"/>
      <c r="F824" s="22"/>
      <c r="G824" s="22"/>
      <c r="H824" s="22"/>
      <c r="I824" s="22"/>
      <c r="J824" s="70"/>
    </row>
    <row r="825" spans="1:10">
      <c r="A825" s="22"/>
      <c r="B825" s="22"/>
      <c r="C825" s="22"/>
      <c r="D825" s="22"/>
      <c r="E825" s="22"/>
      <c r="F825" s="22"/>
      <c r="G825" s="22"/>
      <c r="H825" s="22"/>
      <c r="I825" s="22"/>
      <c r="J825" s="70"/>
    </row>
    <row r="826" spans="1:10">
      <c r="A826" s="22"/>
      <c r="B826" s="22"/>
      <c r="C826" s="22"/>
      <c r="D826" s="22"/>
      <c r="E826" s="22"/>
      <c r="F826" s="22"/>
      <c r="G826" s="22"/>
      <c r="H826" s="22"/>
      <c r="I826" s="22"/>
      <c r="J826" s="70"/>
    </row>
    <row r="827" spans="1:10">
      <c r="A827" s="22"/>
      <c r="B827" s="22"/>
      <c r="C827" s="22"/>
      <c r="D827" s="22"/>
      <c r="E827" s="22"/>
      <c r="F827" s="22"/>
      <c r="G827" s="22"/>
      <c r="H827" s="22"/>
      <c r="I827" s="22"/>
      <c r="J827" s="70"/>
    </row>
    <row r="828" spans="1:10">
      <c r="A828" s="22"/>
      <c r="B828" s="22"/>
      <c r="C828" s="22"/>
      <c r="D828" s="22"/>
      <c r="E828" s="22"/>
      <c r="F828" s="22"/>
      <c r="G828" s="22"/>
      <c r="H828" s="22"/>
      <c r="I828" s="22"/>
      <c r="J828" s="70"/>
    </row>
    <row r="829" spans="1:10">
      <c r="A829" s="22"/>
      <c r="B829" s="22"/>
      <c r="C829" s="22"/>
      <c r="D829" s="22"/>
      <c r="E829" s="22"/>
      <c r="F829" s="22"/>
      <c r="G829" s="22"/>
      <c r="H829" s="22"/>
      <c r="I829" s="22"/>
      <c r="J829" s="70"/>
    </row>
    <row r="830" spans="1:10">
      <c r="A830" s="22"/>
      <c r="B830" s="22"/>
      <c r="C830" s="22"/>
      <c r="D830" s="22"/>
      <c r="E830" s="22"/>
      <c r="F830" s="22"/>
      <c r="G830" s="22"/>
      <c r="H830" s="22"/>
      <c r="I830" s="22"/>
      <c r="J830" s="70"/>
    </row>
    <row r="831" spans="1:10">
      <c r="A831" s="22"/>
      <c r="B831" s="22"/>
      <c r="C831" s="22"/>
      <c r="D831" s="22"/>
      <c r="E831" s="22"/>
      <c r="F831" s="22"/>
      <c r="G831" s="22"/>
      <c r="H831" s="22"/>
      <c r="I831" s="22"/>
      <c r="J831" s="70"/>
    </row>
    <row r="832" spans="1:10">
      <c r="A832" s="22"/>
      <c r="B832" s="22"/>
      <c r="C832" s="22"/>
      <c r="D832" s="22"/>
      <c r="E832" s="22"/>
      <c r="F832" s="22"/>
      <c r="G832" s="22"/>
      <c r="H832" s="22"/>
      <c r="I832" s="22"/>
      <c r="J832" s="70"/>
    </row>
    <row r="833" spans="1:10">
      <c r="A833" s="22"/>
      <c r="B833" s="22"/>
      <c r="C833" s="22"/>
      <c r="D833" s="22"/>
      <c r="E833" s="22"/>
      <c r="F833" s="22"/>
      <c r="G833" s="22"/>
      <c r="H833" s="22"/>
      <c r="I833" s="22"/>
      <c r="J833" s="70"/>
    </row>
    <row r="834" spans="1:10">
      <c r="A834" s="22"/>
      <c r="B834" s="22"/>
      <c r="C834" s="22"/>
      <c r="D834" s="22"/>
      <c r="E834" s="22"/>
      <c r="F834" s="22"/>
      <c r="G834" s="22"/>
      <c r="H834" s="22"/>
      <c r="I834" s="22"/>
      <c r="J834" s="70"/>
    </row>
    <row r="835" spans="1:10">
      <c r="A835" s="22"/>
      <c r="B835" s="22"/>
      <c r="C835" s="22"/>
      <c r="D835" s="22"/>
      <c r="E835" s="22"/>
      <c r="F835" s="22"/>
      <c r="G835" s="22"/>
      <c r="H835" s="22"/>
      <c r="I835" s="22"/>
      <c r="J835" s="70"/>
    </row>
    <row r="836" spans="1:10">
      <c r="A836" s="22"/>
      <c r="B836" s="22"/>
      <c r="C836" s="22"/>
      <c r="D836" s="22"/>
      <c r="E836" s="22"/>
      <c r="F836" s="22"/>
      <c r="G836" s="22"/>
      <c r="H836" s="22"/>
      <c r="I836" s="22"/>
      <c r="J836" s="70"/>
    </row>
    <row r="837" spans="1:10">
      <c r="A837" s="22"/>
      <c r="B837" s="22"/>
      <c r="C837" s="22"/>
      <c r="D837" s="22"/>
      <c r="E837" s="22"/>
      <c r="F837" s="22"/>
      <c r="G837" s="22"/>
      <c r="H837" s="22"/>
      <c r="I837" s="22"/>
      <c r="J837" s="70"/>
    </row>
    <row r="838" spans="1:10">
      <c r="A838" s="22"/>
      <c r="B838" s="22"/>
      <c r="C838" s="22"/>
      <c r="D838" s="22"/>
      <c r="E838" s="22"/>
      <c r="F838" s="22"/>
      <c r="G838" s="22"/>
      <c r="H838" s="22"/>
      <c r="I838" s="22"/>
      <c r="J838" s="70"/>
    </row>
    <row r="839" spans="1:10">
      <c r="A839" s="22"/>
      <c r="B839" s="22"/>
      <c r="C839" s="22"/>
      <c r="D839" s="22"/>
      <c r="E839" s="22"/>
      <c r="F839" s="22"/>
      <c r="G839" s="22"/>
      <c r="H839" s="22"/>
      <c r="I839" s="22"/>
      <c r="J839" s="70"/>
    </row>
    <row r="840" spans="1:10">
      <c r="A840" s="22"/>
      <c r="B840" s="22"/>
      <c r="C840" s="22"/>
      <c r="D840" s="22"/>
      <c r="E840" s="22"/>
      <c r="F840" s="22"/>
      <c r="G840" s="22"/>
      <c r="H840" s="22"/>
      <c r="I840" s="22"/>
      <c r="J840" s="70"/>
    </row>
    <row r="841" spans="1:10">
      <c r="A841" s="22"/>
      <c r="B841" s="22"/>
      <c r="C841" s="22"/>
      <c r="D841" s="22"/>
      <c r="E841" s="22"/>
      <c r="F841" s="22"/>
      <c r="G841" s="22"/>
      <c r="H841" s="22"/>
      <c r="I841" s="22"/>
      <c r="J841" s="70"/>
    </row>
    <row r="842" spans="1:10">
      <c r="A842" s="22"/>
      <c r="B842" s="22"/>
      <c r="C842" s="22"/>
      <c r="D842" s="22"/>
      <c r="E842" s="22"/>
      <c r="F842" s="22"/>
      <c r="G842" s="22"/>
      <c r="H842" s="22"/>
      <c r="I842" s="22"/>
      <c r="J842" s="70"/>
    </row>
    <row r="843" spans="1:10">
      <c r="A843" s="22"/>
      <c r="B843" s="22"/>
      <c r="C843" s="22"/>
      <c r="D843" s="22"/>
      <c r="E843" s="22"/>
      <c r="F843" s="22"/>
      <c r="G843" s="22"/>
      <c r="H843" s="22"/>
      <c r="I843" s="22"/>
      <c r="J843" s="70"/>
    </row>
    <row r="844" spans="1:10">
      <c r="A844" s="22"/>
      <c r="B844" s="22"/>
      <c r="C844" s="22"/>
      <c r="D844" s="22"/>
      <c r="E844" s="22"/>
      <c r="F844" s="22"/>
      <c r="G844" s="22"/>
      <c r="H844" s="22"/>
      <c r="I844" s="22"/>
      <c r="J844" s="70"/>
    </row>
    <row r="845" spans="1:10">
      <c r="A845" s="22"/>
      <c r="B845" s="22"/>
      <c r="C845" s="22"/>
      <c r="D845" s="22"/>
      <c r="E845" s="22"/>
      <c r="F845" s="22"/>
      <c r="G845" s="22"/>
      <c r="H845" s="22"/>
      <c r="I845" s="22"/>
      <c r="J845" s="70"/>
    </row>
    <row r="846" spans="1:10">
      <c r="A846" s="22"/>
      <c r="B846" s="22"/>
      <c r="C846" s="22"/>
      <c r="D846" s="22"/>
      <c r="E846" s="22"/>
      <c r="F846" s="22"/>
      <c r="G846" s="22"/>
      <c r="H846" s="22"/>
      <c r="I846" s="22"/>
      <c r="J846" s="70"/>
    </row>
    <row r="847" spans="1:10">
      <c r="A847" s="22"/>
      <c r="B847" s="22"/>
      <c r="C847" s="22"/>
      <c r="D847" s="22"/>
      <c r="E847" s="22"/>
      <c r="F847" s="22"/>
      <c r="G847" s="22"/>
      <c r="H847" s="22"/>
      <c r="I847" s="22"/>
      <c r="J847" s="70"/>
    </row>
    <row r="848" spans="1:10">
      <c r="A848" s="22"/>
      <c r="B848" s="22"/>
      <c r="C848" s="22"/>
      <c r="D848" s="22"/>
      <c r="E848" s="22"/>
      <c r="F848" s="22"/>
      <c r="G848" s="22"/>
      <c r="H848" s="22"/>
      <c r="I848" s="22"/>
      <c r="J848" s="70"/>
    </row>
    <row r="849" spans="1:10">
      <c r="A849" s="22"/>
      <c r="B849" s="22"/>
      <c r="C849" s="22"/>
      <c r="D849" s="22"/>
      <c r="E849" s="22"/>
      <c r="F849" s="22"/>
      <c r="G849" s="22"/>
      <c r="H849" s="22"/>
      <c r="I849" s="22"/>
      <c r="J849" s="70"/>
    </row>
    <row r="850" spans="1:10">
      <c r="A850" s="22"/>
      <c r="B850" s="22"/>
      <c r="C850" s="22"/>
      <c r="D850" s="22"/>
      <c r="E850" s="22"/>
      <c r="F850" s="22"/>
      <c r="G850" s="22"/>
      <c r="H850" s="22"/>
      <c r="I850" s="22"/>
      <c r="J850" s="70"/>
    </row>
    <row r="851" spans="1:10">
      <c r="A851" s="22"/>
      <c r="B851" s="22"/>
      <c r="C851" s="22"/>
      <c r="D851" s="22"/>
      <c r="E851" s="22"/>
      <c r="F851" s="22"/>
      <c r="G851" s="22"/>
      <c r="H851" s="22"/>
      <c r="I851" s="22"/>
      <c r="J851" s="70"/>
    </row>
    <row r="852" spans="1:10">
      <c r="A852" s="22"/>
      <c r="B852" s="22"/>
      <c r="C852" s="22"/>
      <c r="D852" s="22"/>
      <c r="E852" s="22"/>
      <c r="F852" s="22"/>
      <c r="G852" s="22"/>
      <c r="H852" s="22"/>
      <c r="I852" s="22"/>
      <c r="J852" s="70"/>
    </row>
    <row r="853" spans="1:10">
      <c r="A853" s="22"/>
      <c r="B853" s="22"/>
      <c r="C853" s="22"/>
      <c r="D853" s="22"/>
      <c r="E853" s="22"/>
      <c r="F853" s="22"/>
      <c r="G853" s="22"/>
      <c r="H853" s="22"/>
      <c r="I853" s="22"/>
      <c r="J853" s="70"/>
    </row>
    <row r="854" spans="1:10">
      <c r="A854" s="22"/>
      <c r="B854" s="22"/>
      <c r="C854" s="22"/>
      <c r="D854" s="22"/>
      <c r="E854" s="22"/>
      <c r="F854" s="22"/>
      <c r="G854" s="22"/>
      <c r="H854" s="22"/>
      <c r="I854" s="22"/>
      <c r="J854" s="70"/>
    </row>
    <row r="855" spans="1:10">
      <c r="A855" s="22"/>
      <c r="B855" s="22"/>
      <c r="C855" s="22"/>
      <c r="D855" s="22"/>
      <c r="E855" s="22"/>
      <c r="F855" s="22"/>
      <c r="G855" s="22"/>
      <c r="H855" s="22"/>
      <c r="I855" s="22"/>
      <c r="J855" s="70"/>
    </row>
    <row r="856" spans="1:10">
      <c r="A856" s="22"/>
      <c r="B856" s="22"/>
      <c r="C856" s="22"/>
      <c r="D856" s="22"/>
      <c r="E856" s="22"/>
      <c r="F856" s="22"/>
      <c r="G856" s="22"/>
      <c r="H856" s="22"/>
      <c r="I856" s="22"/>
      <c r="J856" s="70"/>
    </row>
    <row r="857" spans="1:10">
      <c r="A857" s="22"/>
      <c r="B857" s="22"/>
      <c r="C857" s="22"/>
      <c r="D857" s="22"/>
      <c r="E857" s="22"/>
      <c r="F857" s="22"/>
      <c r="G857" s="22"/>
      <c r="H857" s="22"/>
      <c r="I857" s="22"/>
      <c r="J857" s="70"/>
    </row>
    <row r="858" spans="1:10">
      <c r="A858" s="22"/>
      <c r="B858" s="22"/>
      <c r="C858" s="22"/>
      <c r="D858" s="22"/>
      <c r="E858" s="22"/>
      <c r="F858" s="22"/>
      <c r="G858" s="22"/>
      <c r="H858" s="22"/>
      <c r="I858" s="22"/>
      <c r="J858" s="70"/>
    </row>
    <row r="859" spans="1:10">
      <c r="A859" s="22"/>
      <c r="B859" s="22"/>
      <c r="C859" s="22"/>
      <c r="D859" s="22"/>
      <c r="E859" s="22"/>
      <c r="F859" s="22"/>
      <c r="G859" s="22"/>
      <c r="H859" s="22"/>
      <c r="I859" s="22"/>
      <c r="J859" s="70"/>
    </row>
    <row r="860" spans="1:10">
      <c r="A860" s="22"/>
      <c r="B860" s="22"/>
      <c r="C860" s="22"/>
      <c r="D860" s="22"/>
      <c r="E860" s="22"/>
      <c r="F860" s="22"/>
      <c r="G860" s="22"/>
      <c r="H860" s="22"/>
      <c r="I860" s="22"/>
      <c r="J860" s="70"/>
    </row>
    <row r="861" spans="1:10">
      <c r="A861" s="22"/>
      <c r="B861" s="22"/>
      <c r="C861" s="22"/>
      <c r="D861" s="22"/>
      <c r="E861" s="22"/>
      <c r="F861" s="22"/>
      <c r="G861" s="22"/>
      <c r="H861" s="22"/>
      <c r="I861" s="22"/>
      <c r="J861" s="70"/>
    </row>
    <row r="862" spans="1:10">
      <c r="A862" s="22"/>
      <c r="B862" s="22"/>
      <c r="C862" s="22"/>
      <c r="D862" s="22"/>
      <c r="E862" s="22"/>
      <c r="F862" s="22"/>
      <c r="G862" s="22"/>
      <c r="H862" s="22"/>
      <c r="I862" s="22"/>
      <c r="J862" s="70"/>
    </row>
    <row r="863" spans="1:10">
      <c r="A863" s="22"/>
      <c r="B863" s="22"/>
      <c r="C863" s="22"/>
      <c r="D863" s="22"/>
      <c r="E863" s="22"/>
      <c r="F863" s="22"/>
      <c r="G863" s="22"/>
      <c r="H863" s="22"/>
      <c r="I863" s="22"/>
      <c r="J863" s="70"/>
    </row>
    <row r="864" spans="1:10">
      <c r="A864" s="22"/>
      <c r="B864" s="22"/>
      <c r="C864" s="22"/>
      <c r="D864" s="22"/>
      <c r="E864" s="22"/>
      <c r="F864" s="22"/>
      <c r="G864" s="22"/>
      <c r="H864" s="22"/>
      <c r="I864" s="22"/>
      <c r="J864" s="70"/>
    </row>
    <row r="865" spans="1:10">
      <c r="A865" s="22"/>
      <c r="B865" s="22"/>
      <c r="C865" s="22"/>
      <c r="D865" s="22"/>
      <c r="E865" s="22"/>
      <c r="F865" s="22"/>
      <c r="G865" s="22"/>
      <c r="H865" s="22"/>
      <c r="I865" s="22"/>
      <c r="J865" s="70"/>
    </row>
    <row r="866" spans="1:10">
      <c r="A866" s="22"/>
      <c r="B866" s="22"/>
      <c r="C866" s="22"/>
      <c r="D866" s="22"/>
      <c r="E866" s="22"/>
      <c r="F866" s="22"/>
      <c r="G866" s="22"/>
      <c r="H866" s="22"/>
      <c r="I866" s="22"/>
      <c r="J866" s="70"/>
    </row>
    <row r="867" spans="1:10">
      <c r="A867" s="22"/>
      <c r="B867" s="22"/>
      <c r="C867" s="22"/>
      <c r="D867" s="22"/>
      <c r="E867" s="22"/>
      <c r="F867" s="22"/>
      <c r="G867" s="22"/>
      <c r="H867" s="22"/>
      <c r="I867" s="22"/>
      <c r="J867" s="70"/>
    </row>
    <row r="868" spans="1:10">
      <c r="A868" s="22"/>
      <c r="B868" s="22"/>
      <c r="C868" s="22"/>
      <c r="D868" s="22"/>
      <c r="E868" s="22"/>
      <c r="F868" s="22"/>
      <c r="G868" s="22"/>
      <c r="H868" s="22"/>
      <c r="I868" s="22"/>
      <c r="J868" s="70"/>
    </row>
    <row r="869" spans="1:10">
      <c r="A869" s="22"/>
      <c r="B869" s="22"/>
      <c r="C869" s="22"/>
      <c r="D869" s="22"/>
      <c r="E869" s="22"/>
      <c r="F869" s="22"/>
      <c r="G869" s="22"/>
      <c r="H869" s="22"/>
      <c r="I869" s="22"/>
      <c r="J869" s="70"/>
    </row>
    <row r="870" spans="1:10">
      <c r="A870" s="22"/>
      <c r="B870" s="22"/>
      <c r="C870" s="22"/>
      <c r="D870" s="22"/>
      <c r="E870" s="22"/>
      <c r="F870" s="22"/>
      <c r="G870" s="22"/>
      <c r="H870" s="22"/>
      <c r="I870" s="22"/>
      <c r="J870" s="70"/>
    </row>
    <row r="871" spans="1:10">
      <c r="A871" s="22"/>
      <c r="B871" s="22"/>
      <c r="C871" s="22"/>
      <c r="D871" s="22"/>
      <c r="E871" s="22"/>
      <c r="F871" s="22"/>
      <c r="G871" s="22"/>
      <c r="H871" s="22"/>
      <c r="I871" s="22"/>
      <c r="J871" s="70"/>
    </row>
    <row r="872" spans="1:10">
      <c r="A872" s="22"/>
      <c r="B872" s="22"/>
      <c r="C872" s="22"/>
      <c r="D872" s="22"/>
      <c r="E872" s="22"/>
      <c r="F872" s="22"/>
      <c r="G872" s="22"/>
      <c r="H872" s="22"/>
      <c r="I872" s="22"/>
      <c r="J872" s="70"/>
    </row>
    <row r="873" spans="1:10">
      <c r="A873" s="22"/>
      <c r="B873" s="22"/>
      <c r="C873" s="22"/>
      <c r="D873" s="22"/>
      <c r="E873" s="22"/>
      <c r="F873" s="22"/>
      <c r="G873" s="22"/>
      <c r="H873" s="22"/>
      <c r="I873" s="22"/>
      <c r="J873" s="70"/>
    </row>
    <row r="874" spans="1:10">
      <c r="A874" s="22"/>
      <c r="B874" s="22"/>
      <c r="C874" s="22"/>
      <c r="D874" s="22"/>
      <c r="E874" s="22"/>
      <c r="F874" s="22"/>
      <c r="G874" s="22"/>
      <c r="H874" s="22"/>
      <c r="I874" s="22"/>
      <c r="J874" s="70"/>
    </row>
    <row r="875" spans="1:10">
      <c r="A875" s="22"/>
      <c r="B875" s="22"/>
      <c r="C875" s="22"/>
      <c r="D875" s="22"/>
      <c r="E875" s="22"/>
      <c r="F875" s="22"/>
      <c r="G875" s="22"/>
      <c r="H875" s="22"/>
      <c r="I875" s="22"/>
      <c r="J875" s="70"/>
    </row>
    <row r="876" spans="1:10">
      <c r="A876" s="22"/>
      <c r="B876" s="22"/>
      <c r="C876" s="22"/>
      <c r="D876" s="22"/>
      <c r="E876" s="22"/>
      <c r="F876" s="22"/>
      <c r="G876" s="22"/>
      <c r="H876" s="22"/>
      <c r="I876" s="22"/>
      <c r="J876" s="70"/>
    </row>
    <row r="877" spans="1:10">
      <c r="A877" s="22"/>
      <c r="B877" s="22"/>
      <c r="C877" s="22"/>
      <c r="D877" s="22"/>
      <c r="E877" s="22"/>
      <c r="F877" s="22"/>
      <c r="G877" s="22"/>
      <c r="H877" s="22"/>
      <c r="I877" s="22"/>
      <c r="J877" s="70"/>
    </row>
    <row r="878" spans="1:10">
      <c r="A878" s="22"/>
      <c r="B878" s="22"/>
      <c r="C878" s="22"/>
      <c r="D878" s="22"/>
      <c r="E878" s="22"/>
      <c r="F878" s="22"/>
      <c r="G878" s="22"/>
      <c r="H878" s="22"/>
      <c r="I878" s="22"/>
      <c r="J878" s="70"/>
    </row>
    <row r="879" spans="1:10">
      <c r="A879" s="22"/>
      <c r="B879" s="22"/>
      <c r="C879" s="22"/>
      <c r="D879" s="22"/>
      <c r="E879" s="22"/>
      <c r="F879" s="22"/>
      <c r="G879" s="22"/>
      <c r="H879" s="22"/>
      <c r="I879" s="22"/>
      <c r="J879" s="70"/>
    </row>
    <row r="880" spans="1:10">
      <c r="A880" s="22"/>
      <c r="B880" s="22"/>
      <c r="C880" s="22"/>
      <c r="D880" s="22"/>
      <c r="E880" s="22"/>
      <c r="F880" s="22"/>
      <c r="G880" s="22"/>
      <c r="H880" s="22"/>
      <c r="I880" s="22"/>
      <c r="J880" s="70"/>
    </row>
    <row r="881" spans="1:10">
      <c r="A881" s="22"/>
      <c r="B881" s="22"/>
      <c r="C881" s="22"/>
      <c r="D881" s="22"/>
      <c r="E881" s="22"/>
      <c r="F881" s="22"/>
      <c r="G881" s="22"/>
      <c r="H881" s="22"/>
      <c r="I881" s="22"/>
      <c r="J881" s="70"/>
    </row>
    <row r="882" spans="1:10">
      <c r="A882" s="22"/>
      <c r="B882" s="22"/>
      <c r="C882" s="22"/>
      <c r="D882" s="22"/>
      <c r="E882" s="22"/>
      <c r="F882" s="22"/>
      <c r="G882" s="22"/>
      <c r="H882" s="22"/>
      <c r="I882" s="22"/>
      <c r="J882" s="70"/>
    </row>
    <row r="883" spans="1:10">
      <c r="A883" s="22"/>
      <c r="B883" s="22"/>
      <c r="C883" s="22"/>
      <c r="D883" s="22"/>
      <c r="E883" s="22"/>
      <c r="F883" s="22"/>
      <c r="G883" s="22"/>
      <c r="H883" s="22"/>
      <c r="I883" s="22"/>
      <c r="J883" s="70"/>
    </row>
    <row r="884" spans="1:10">
      <c r="A884" s="22"/>
      <c r="B884" s="22"/>
      <c r="C884" s="22"/>
      <c r="D884" s="22"/>
      <c r="E884" s="22"/>
      <c r="F884" s="22"/>
      <c r="G884" s="22"/>
      <c r="H884" s="22"/>
      <c r="I884" s="22"/>
      <c r="J884" s="70"/>
    </row>
    <row r="885" spans="1:10">
      <c r="A885" s="22"/>
      <c r="B885" s="22"/>
      <c r="C885" s="22"/>
      <c r="D885" s="22"/>
      <c r="E885" s="22"/>
      <c r="F885" s="22"/>
      <c r="G885" s="22"/>
      <c r="H885" s="22"/>
      <c r="I885" s="22"/>
      <c r="J885" s="70"/>
    </row>
    <row r="886" spans="1:10">
      <c r="A886" s="22"/>
      <c r="B886" s="22"/>
      <c r="C886" s="22"/>
      <c r="D886" s="22"/>
      <c r="E886" s="22"/>
      <c r="F886" s="22"/>
      <c r="G886" s="22"/>
      <c r="H886" s="22"/>
      <c r="I886" s="22"/>
      <c r="J886" s="70"/>
    </row>
    <row r="887" spans="1:10">
      <c r="A887" s="22"/>
      <c r="B887" s="22"/>
      <c r="C887" s="22"/>
      <c r="D887" s="22"/>
      <c r="E887" s="22"/>
      <c r="F887" s="22"/>
      <c r="G887" s="22"/>
      <c r="H887" s="22"/>
      <c r="I887" s="22"/>
      <c r="J887" s="70"/>
    </row>
    <row r="888" spans="1:10">
      <c r="A888" s="22"/>
      <c r="B888" s="22"/>
      <c r="C888" s="22"/>
      <c r="D888" s="22"/>
      <c r="E888" s="22"/>
      <c r="F888" s="22"/>
      <c r="G888" s="22"/>
      <c r="H888" s="22"/>
      <c r="I888" s="22"/>
      <c r="J888" s="70"/>
    </row>
    <row r="889" spans="1:10">
      <c r="A889" s="22"/>
      <c r="B889" s="22"/>
      <c r="C889" s="22"/>
      <c r="D889" s="22"/>
      <c r="E889" s="22"/>
      <c r="F889" s="22"/>
      <c r="G889" s="22"/>
      <c r="H889" s="22"/>
      <c r="I889" s="22"/>
      <c r="J889" s="70"/>
    </row>
    <row r="890" spans="1:10">
      <c r="A890" s="22"/>
      <c r="B890" s="22"/>
      <c r="C890" s="22"/>
      <c r="D890" s="22"/>
      <c r="E890" s="22"/>
      <c r="F890" s="22"/>
      <c r="G890" s="22"/>
      <c r="H890" s="22"/>
      <c r="I890" s="22"/>
      <c r="J890" s="70"/>
    </row>
    <row r="891" spans="1:10">
      <c r="A891" s="22"/>
      <c r="B891" s="22"/>
      <c r="C891" s="22"/>
      <c r="D891" s="22"/>
      <c r="E891" s="22"/>
      <c r="F891" s="22"/>
      <c r="G891" s="22"/>
      <c r="H891" s="22"/>
      <c r="I891" s="22"/>
      <c r="J891" s="70"/>
    </row>
    <row r="892" spans="1:10">
      <c r="A892" s="22"/>
      <c r="B892" s="22"/>
      <c r="C892" s="22"/>
      <c r="D892" s="22"/>
      <c r="E892" s="22"/>
      <c r="F892" s="22"/>
      <c r="G892" s="22"/>
      <c r="H892" s="22"/>
      <c r="I892" s="22"/>
      <c r="J892" s="70"/>
    </row>
    <row r="893" spans="1:10">
      <c r="A893" s="22"/>
      <c r="B893" s="22"/>
      <c r="C893" s="22"/>
      <c r="D893" s="22"/>
      <c r="E893" s="22"/>
      <c r="F893" s="22"/>
      <c r="G893" s="22"/>
      <c r="H893" s="22"/>
      <c r="I893" s="22"/>
      <c r="J893" s="70"/>
    </row>
    <row r="894" spans="1:10">
      <c r="A894" s="22"/>
      <c r="B894" s="22"/>
      <c r="C894" s="22"/>
      <c r="D894" s="22"/>
      <c r="E894" s="22"/>
      <c r="F894" s="22"/>
      <c r="G894" s="22"/>
      <c r="H894" s="22"/>
      <c r="I894" s="22"/>
      <c r="J894" s="70"/>
    </row>
    <row r="895" spans="1:10">
      <c r="A895" s="22"/>
      <c r="B895" s="22"/>
      <c r="C895" s="22"/>
      <c r="D895" s="22"/>
      <c r="E895" s="22"/>
      <c r="F895" s="22"/>
      <c r="G895" s="22"/>
      <c r="H895" s="22"/>
      <c r="I895" s="22"/>
      <c r="J895" s="70"/>
    </row>
    <row r="896" spans="1:10">
      <c r="A896" s="22"/>
      <c r="B896" s="22"/>
      <c r="C896" s="22"/>
      <c r="D896" s="22"/>
      <c r="E896" s="22"/>
      <c r="F896" s="22"/>
      <c r="G896" s="22"/>
      <c r="H896" s="22"/>
      <c r="I896" s="22"/>
      <c r="J896" s="70"/>
    </row>
    <row r="897" spans="1:10">
      <c r="A897" s="22"/>
      <c r="B897" s="22"/>
      <c r="C897" s="22"/>
      <c r="D897" s="22"/>
      <c r="E897" s="22"/>
      <c r="F897" s="22"/>
      <c r="G897" s="22"/>
      <c r="H897" s="22"/>
      <c r="I897" s="22"/>
      <c r="J897" s="70"/>
    </row>
    <row r="898" spans="1:10">
      <c r="A898" s="22"/>
      <c r="B898" s="22"/>
      <c r="C898" s="22"/>
      <c r="D898" s="22"/>
      <c r="E898" s="22"/>
      <c r="F898" s="22"/>
      <c r="G898" s="22"/>
      <c r="H898" s="22"/>
      <c r="I898" s="22"/>
      <c r="J898" s="70"/>
    </row>
    <row r="899" spans="1:10">
      <c r="A899" s="22"/>
      <c r="B899" s="22"/>
      <c r="C899" s="22"/>
      <c r="D899" s="22"/>
      <c r="E899" s="22"/>
      <c r="F899" s="22"/>
      <c r="G899" s="22"/>
      <c r="H899" s="22"/>
      <c r="I899" s="22"/>
      <c r="J899" s="70"/>
    </row>
    <row r="900" spans="1:10">
      <c r="A900" s="22"/>
      <c r="B900" s="22"/>
      <c r="C900" s="22"/>
      <c r="D900" s="22"/>
      <c r="E900" s="22"/>
      <c r="F900" s="22"/>
      <c r="G900" s="22"/>
      <c r="H900" s="22"/>
      <c r="I900" s="22"/>
      <c r="J900" s="70"/>
    </row>
    <row r="901" spans="1:10">
      <c r="A901" s="22"/>
      <c r="B901" s="22"/>
      <c r="C901" s="22"/>
      <c r="D901" s="22"/>
      <c r="E901" s="22"/>
      <c r="F901" s="22"/>
      <c r="G901" s="22"/>
      <c r="H901" s="22"/>
      <c r="I901" s="22"/>
      <c r="J901" s="70"/>
    </row>
    <row r="902" spans="1:10">
      <c r="A902" s="22"/>
      <c r="B902" s="22"/>
      <c r="C902" s="22"/>
      <c r="D902" s="22"/>
      <c r="E902" s="22"/>
      <c r="F902" s="22"/>
      <c r="G902" s="22"/>
      <c r="H902" s="22"/>
      <c r="I902" s="22"/>
      <c r="J902" s="70"/>
    </row>
    <row r="903" spans="1:10">
      <c r="A903" s="22"/>
      <c r="B903" s="22"/>
      <c r="C903" s="22"/>
      <c r="D903" s="22"/>
      <c r="E903" s="22"/>
      <c r="F903" s="22"/>
      <c r="G903" s="22"/>
      <c r="H903" s="22"/>
      <c r="I903" s="22"/>
      <c r="J903" s="70"/>
    </row>
    <row r="904" spans="1:10">
      <c r="A904" s="22"/>
      <c r="B904" s="22"/>
      <c r="C904" s="22"/>
      <c r="D904" s="22"/>
      <c r="E904" s="22"/>
      <c r="F904" s="22"/>
      <c r="G904" s="22"/>
      <c r="H904" s="22"/>
      <c r="I904" s="22"/>
      <c r="J904" s="70"/>
    </row>
    <row r="905" spans="1:10">
      <c r="A905" s="22"/>
      <c r="B905" s="22"/>
      <c r="C905" s="22"/>
      <c r="D905" s="22"/>
      <c r="E905" s="22"/>
      <c r="F905" s="22"/>
      <c r="G905" s="22"/>
      <c r="H905" s="22"/>
      <c r="I905" s="22"/>
      <c r="J905" s="70"/>
    </row>
    <row r="906" spans="1:10">
      <c r="A906" s="22"/>
      <c r="B906" s="22"/>
      <c r="C906" s="22"/>
      <c r="D906" s="22"/>
      <c r="E906" s="22"/>
      <c r="F906" s="22"/>
      <c r="G906" s="22"/>
      <c r="H906" s="22"/>
      <c r="I906" s="22"/>
      <c r="J906" s="70"/>
    </row>
    <row r="907" spans="1:10">
      <c r="A907" s="22"/>
      <c r="B907" s="22"/>
      <c r="C907" s="22"/>
      <c r="D907" s="22"/>
      <c r="E907" s="22"/>
      <c r="F907" s="22"/>
      <c r="G907" s="22"/>
      <c r="H907" s="22"/>
      <c r="I907" s="22"/>
      <c r="J907" s="70"/>
    </row>
    <row r="908" spans="1:10">
      <c r="A908" s="22"/>
      <c r="B908" s="22"/>
      <c r="C908" s="22"/>
      <c r="D908" s="22"/>
      <c r="E908" s="22"/>
      <c r="F908" s="22"/>
      <c r="G908" s="22"/>
      <c r="H908" s="22"/>
      <c r="I908" s="22"/>
      <c r="J908" s="70"/>
    </row>
    <row r="909" spans="1:10">
      <c r="A909" s="22"/>
      <c r="B909" s="22"/>
      <c r="C909" s="22"/>
      <c r="D909" s="22"/>
      <c r="E909" s="22"/>
      <c r="F909" s="22"/>
      <c r="G909" s="22"/>
      <c r="H909" s="22"/>
      <c r="I909" s="22"/>
      <c r="J909" s="70"/>
    </row>
    <row r="910" spans="1:10">
      <c r="A910" s="22"/>
      <c r="B910" s="22"/>
      <c r="C910" s="22"/>
      <c r="D910" s="22"/>
      <c r="E910" s="22"/>
      <c r="F910" s="22"/>
      <c r="G910" s="22"/>
      <c r="H910" s="22"/>
      <c r="I910" s="22"/>
      <c r="J910" s="70"/>
    </row>
    <row r="911" spans="1:10">
      <c r="A911" s="22"/>
      <c r="B911" s="22"/>
      <c r="C911" s="22"/>
      <c r="D911" s="22"/>
      <c r="E911" s="22"/>
      <c r="F911" s="22"/>
      <c r="G911" s="22"/>
      <c r="H911" s="22"/>
      <c r="I911" s="22"/>
      <c r="J911" s="70"/>
    </row>
    <row r="912" spans="1:10">
      <c r="A912" s="22"/>
      <c r="B912" s="22"/>
      <c r="C912" s="22"/>
      <c r="D912" s="22"/>
      <c r="E912" s="22"/>
      <c r="F912" s="22"/>
      <c r="G912" s="22"/>
      <c r="H912" s="22"/>
      <c r="I912" s="22"/>
      <c r="J912" s="70"/>
    </row>
    <row r="913" spans="1:10">
      <c r="A913" s="22"/>
      <c r="B913" s="22"/>
      <c r="C913" s="22"/>
      <c r="D913" s="22"/>
      <c r="E913" s="22"/>
      <c r="F913" s="22"/>
      <c r="G913" s="22"/>
      <c r="H913" s="22"/>
      <c r="I913" s="22"/>
      <c r="J913" s="70"/>
    </row>
    <row r="914" spans="1:10">
      <c r="A914" s="22"/>
      <c r="B914" s="22"/>
      <c r="C914" s="22"/>
      <c r="D914" s="22"/>
      <c r="E914" s="22"/>
      <c r="F914" s="22"/>
      <c r="G914" s="22"/>
      <c r="H914" s="22"/>
      <c r="I914" s="22"/>
      <c r="J914" s="70"/>
    </row>
    <row r="915" spans="1:10">
      <c r="A915" s="22"/>
      <c r="B915" s="22"/>
      <c r="C915" s="22"/>
      <c r="D915" s="22"/>
      <c r="E915" s="22"/>
      <c r="F915" s="22"/>
      <c r="G915" s="22"/>
      <c r="H915" s="22"/>
      <c r="I915" s="22"/>
      <c r="J915" s="70"/>
    </row>
    <row r="916" spans="1:10">
      <c r="A916" s="22"/>
      <c r="B916" s="22"/>
      <c r="C916" s="22"/>
      <c r="D916" s="22"/>
      <c r="E916" s="22"/>
      <c r="F916" s="22"/>
      <c r="G916" s="22"/>
      <c r="H916" s="22"/>
      <c r="I916" s="22"/>
      <c r="J916" s="70"/>
    </row>
    <row r="917" spans="1:10">
      <c r="A917" s="22"/>
      <c r="B917" s="22"/>
      <c r="C917" s="22"/>
      <c r="D917" s="22"/>
      <c r="E917" s="22"/>
      <c r="F917" s="22"/>
      <c r="G917" s="22"/>
      <c r="H917" s="22"/>
      <c r="I917" s="22"/>
      <c r="J917" s="70"/>
    </row>
    <row r="918" spans="1:10">
      <c r="A918" s="22"/>
      <c r="B918" s="22"/>
      <c r="C918" s="22"/>
      <c r="D918" s="22"/>
      <c r="E918" s="22"/>
      <c r="F918" s="22"/>
      <c r="G918" s="22"/>
      <c r="H918" s="22"/>
      <c r="I918" s="22"/>
      <c r="J918" s="70"/>
    </row>
    <row r="919" spans="1:10">
      <c r="A919" s="22"/>
      <c r="B919" s="22"/>
      <c r="C919" s="22"/>
      <c r="D919" s="22"/>
      <c r="E919" s="22"/>
      <c r="F919" s="22"/>
      <c r="G919" s="22"/>
      <c r="H919" s="22"/>
      <c r="I919" s="22"/>
      <c r="J919" s="70"/>
    </row>
    <row r="920" spans="1:10">
      <c r="A920" s="22"/>
      <c r="B920" s="22"/>
      <c r="C920" s="22"/>
      <c r="D920" s="22"/>
      <c r="E920" s="22"/>
      <c r="F920" s="22"/>
      <c r="G920" s="22"/>
      <c r="H920" s="22"/>
      <c r="I920" s="22"/>
      <c r="J920" s="70"/>
    </row>
    <row r="921" spans="1:10">
      <c r="A921" s="22"/>
      <c r="B921" s="22"/>
      <c r="C921" s="22"/>
      <c r="D921" s="22"/>
      <c r="E921" s="22"/>
      <c r="F921" s="22"/>
      <c r="G921" s="22"/>
      <c r="H921" s="22"/>
      <c r="I921" s="22"/>
      <c r="J921" s="70"/>
    </row>
    <row r="922" spans="1:10">
      <c r="A922" s="22"/>
      <c r="B922" s="22"/>
      <c r="C922" s="22"/>
      <c r="D922" s="22"/>
      <c r="E922" s="22"/>
      <c r="F922" s="22"/>
      <c r="G922" s="22"/>
      <c r="H922" s="22"/>
      <c r="I922" s="22"/>
      <c r="J922" s="70"/>
    </row>
    <row r="923" spans="1:10">
      <c r="A923" s="22"/>
      <c r="B923" s="22"/>
      <c r="C923" s="22"/>
      <c r="D923" s="22"/>
      <c r="E923" s="22"/>
      <c r="F923" s="22"/>
      <c r="G923" s="22"/>
      <c r="H923" s="22"/>
      <c r="I923" s="22"/>
      <c r="J923" s="70"/>
    </row>
    <row r="924" spans="1:10">
      <c r="A924" s="22"/>
      <c r="B924" s="22"/>
      <c r="C924" s="22"/>
      <c r="D924" s="22"/>
      <c r="E924" s="22"/>
      <c r="F924" s="22"/>
      <c r="G924" s="22"/>
      <c r="H924" s="22"/>
      <c r="I924" s="22"/>
      <c r="J924" s="70"/>
    </row>
    <row r="925" spans="1:10">
      <c r="A925" s="22"/>
      <c r="B925" s="22"/>
      <c r="C925" s="22"/>
      <c r="D925" s="22"/>
      <c r="E925" s="22"/>
      <c r="F925" s="22"/>
      <c r="G925" s="22"/>
      <c r="H925" s="22"/>
      <c r="I925" s="22"/>
      <c r="J925" s="70"/>
    </row>
    <row r="926" spans="1:10">
      <c r="A926" s="22"/>
      <c r="B926" s="22"/>
      <c r="C926" s="22"/>
      <c r="D926" s="22"/>
      <c r="E926" s="22"/>
      <c r="F926" s="22"/>
      <c r="G926" s="22"/>
      <c r="H926" s="22"/>
      <c r="I926" s="22"/>
      <c r="J926" s="70"/>
    </row>
    <row r="927" spans="1:10">
      <c r="A927" s="22"/>
      <c r="B927" s="22"/>
      <c r="C927" s="22"/>
      <c r="D927" s="22"/>
      <c r="E927" s="22"/>
      <c r="F927" s="22"/>
      <c r="G927" s="22"/>
      <c r="H927" s="22"/>
      <c r="I927" s="22"/>
      <c r="J927" s="70"/>
    </row>
    <row r="928" spans="1:10">
      <c r="A928" s="22"/>
      <c r="B928" s="22"/>
      <c r="C928" s="22"/>
      <c r="D928" s="22"/>
      <c r="E928" s="22"/>
      <c r="F928" s="22"/>
      <c r="G928" s="22"/>
      <c r="H928" s="22"/>
      <c r="I928" s="22"/>
      <c r="J928" s="70"/>
    </row>
    <row r="929" spans="1:10">
      <c r="A929" s="22"/>
      <c r="B929" s="22"/>
      <c r="C929" s="22"/>
      <c r="D929" s="22"/>
      <c r="E929" s="22"/>
      <c r="F929" s="22"/>
      <c r="G929" s="22"/>
      <c r="H929" s="22"/>
      <c r="I929" s="22"/>
      <c r="J929" s="70"/>
    </row>
    <row r="930" spans="1:10">
      <c r="A930" s="22"/>
      <c r="B930" s="22"/>
      <c r="C930" s="22"/>
      <c r="D930" s="22"/>
      <c r="E930" s="22"/>
      <c r="F930" s="22"/>
      <c r="G930" s="22"/>
      <c r="H930" s="22"/>
      <c r="I930" s="22"/>
      <c r="J930" s="70"/>
    </row>
    <row r="931" spans="1:10">
      <c r="A931" s="22"/>
      <c r="B931" s="22"/>
      <c r="C931" s="22"/>
      <c r="D931" s="22"/>
      <c r="E931" s="22"/>
      <c r="F931" s="22"/>
      <c r="G931" s="22"/>
      <c r="H931" s="22"/>
      <c r="I931" s="22"/>
      <c r="J931" s="70"/>
    </row>
    <row r="932" spans="1:10">
      <c r="A932" s="22"/>
      <c r="B932" s="22"/>
      <c r="C932" s="22"/>
      <c r="D932" s="22"/>
      <c r="E932" s="22"/>
      <c r="F932" s="22"/>
      <c r="G932" s="22"/>
      <c r="H932" s="22"/>
      <c r="I932" s="22"/>
      <c r="J932" s="70"/>
    </row>
    <row r="933" spans="1:10">
      <c r="A933" s="22"/>
      <c r="B933" s="22"/>
      <c r="C933" s="22"/>
      <c r="D933" s="22"/>
      <c r="E933" s="22"/>
      <c r="F933" s="22"/>
      <c r="G933" s="22"/>
      <c r="H933" s="22"/>
      <c r="I933" s="22"/>
      <c r="J933" s="70"/>
    </row>
    <row r="934" spans="1:10">
      <c r="A934" s="22"/>
      <c r="B934" s="22"/>
      <c r="C934" s="22"/>
      <c r="D934" s="22"/>
      <c r="E934" s="22"/>
      <c r="F934" s="22"/>
      <c r="G934" s="22"/>
      <c r="H934" s="22"/>
      <c r="I934" s="22"/>
      <c r="J934" s="70"/>
    </row>
    <row r="935" spans="1:10">
      <c r="A935" s="22"/>
      <c r="B935" s="22"/>
      <c r="C935" s="22"/>
      <c r="D935" s="22"/>
      <c r="E935" s="22"/>
      <c r="F935" s="22"/>
      <c r="G935" s="22"/>
      <c r="H935" s="22"/>
      <c r="I935" s="22"/>
      <c r="J935" s="70"/>
    </row>
    <row r="936" spans="1:10">
      <c r="A936" s="22"/>
      <c r="B936" s="22"/>
      <c r="C936" s="22"/>
      <c r="D936" s="22"/>
      <c r="E936" s="22"/>
      <c r="F936" s="22"/>
      <c r="G936" s="22"/>
      <c r="H936" s="22"/>
      <c r="I936" s="22"/>
      <c r="J936" s="70"/>
    </row>
    <row r="937" spans="1:10">
      <c r="A937" s="22"/>
      <c r="B937" s="22"/>
      <c r="C937" s="22"/>
      <c r="D937" s="22"/>
      <c r="E937" s="22"/>
      <c r="F937" s="22"/>
      <c r="G937" s="22"/>
      <c r="H937" s="22"/>
      <c r="I937" s="22"/>
      <c r="J937" s="70"/>
    </row>
    <row r="938" spans="1:10">
      <c r="A938" s="22"/>
      <c r="B938" s="22"/>
      <c r="C938" s="22"/>
      <c r="D938" s="22"/>
      <c r="E938" s="22"/>
      <c r="F938" s="22"/>
      <c r="G938" s="22"/>
      <c r="H938" s="22"/>
      <c r="I938" s="22"/>
      <c r="J938" s="70"/>
    </row>
    <row r="939" spans="1:10">
      <c r="A939" s="22"/>
      <c r="B939" s="22"/>
      <c r="C939" s="22"/>
      <c r="D939" s="22"/>
      <c r="E939" s="22"/>
      <c r="F939" s="22"/>
      <c r="G939" s="22"/>
      <c r="H939" s="22"/>
      <c r="I939" s="22"/>
      <c r="J939" s="70"/>
    </row>
    <row r="940" spans="1:10">
      <c r="A940" s="22"/>
      <c r="B940" s="22"/>
      <c r="C940" s="22"/>
      <c r="D940" s="22"/>
      <c r="E940" s="22"/>
      <c r="F940" s="22"/>
      <c r="G940" s="22"/>
      <c r="H940" s="22"/>
      <c r="I940" s="22"/>
      <c r="J940" s="70"/>
    </row>
    <row r="941" spans="1:10">
      <c r="A941" s="22"/>
      <c r="B941" s="22"/>
      <c r="C941" s="22"/>
      <c r="D941" s="22"/>
      <c r="E941" s="22"/>
      <c r="F941" s="22"/>
      <c r="G941" s="22"/>
      <c r="H941" s="22"/>
      <c r="I941" s="22"/>
      <c r="J941" s="70"/>
    </row>
    <row r="942" spans="1:10">
      <c r="A942" s="22"/>
      <c r="B942" s="22"/>
      <c r="C942" s="22"/>
      <c r="D942" s="22"/>
      <c r="E942" s="22"/>
      <c r="F942" s="22"/>
      <c r="G942" s="22"/>
      <c r="H942" s="22"/>
      <c r="I942" s="22"/>
      <c r="J942" s="70"/>
    </row>
    <row r="943" spans="1:10">
      <c r="A943" s="22"/>
      <c r="B943" s="22"/>
      <c r="C943" s="22"/>
      <c r="D943" s="22"/>
      <c r="E943" s="22"/>
      <c r="F943" s="22"/>
      <c r="G943" s="22"/>
      <c r="H943" s="22"/>
      <c r="I943" s="22"/>
      <c r="J943" s="70"/>
    </row>
    <row r="944" spans="1:10">
      <c r="A944" s="22"/>
      <c r="B944" s="22"/>
      <c r="C944" s="22"/>
      <c r="D944" s="22"/>
      <c r="E944" s="22"/>
      <c r="F944" s="22"/>
      <c r="G944" s="22"/>
      <c r="H944" s="22"/>
      <c r="I944" s="22"/>
      <c r="J944" s="70"/>
    </row>
    <row r="945" spans="1:10">
      <c r="A945" s="22"/>
      <c r="B945" s="22"/>
      <c r="C945" s="22"/>
      <c r="D945" s="22"/>
      <c r="E945" s="22"/>
      <c r="F945" s="22"/>
      <c r="G945" s="22"/>
      <c r="H945" s="22"/>
      <c r="I945" s="22"/>
      <c r="J945" s="70"/>
    </row>
    <row r="946" spans="1:10">
      <c r="A946" s="22"/>
      <c r="B946" s="22"/>
      <c r="C946" s="22"/>
      <c r="D946" s="22"/>
      <c r="E946" s="22"/>
      <c r="F946" s="22"/>
      <c r="G946" s="22"/>
      <c r="H946" s="22"/>
      <c r="I946" s="22"/>
      <c r="J946" s="70"/>
    </row>
    <row r="947" spans="1:10">
      <c r="A947" s="22"/>
      <c r="B947" s="22"/>
      <c r="C947" s="22"/>
      <c r="D947" s="22"/>
      <c r="E947" s="22"/>
      <c r="F947" s="22"/>
      <c r="G947" s="22"/>
      <c r="H947" s="22"/>
      <c r="I947" s="22"/>
      <c r="J947" s="70"/>
    </row>
    <row r="948" spans="1:10">
      <c r="A948" s="22"/>
      <c r="B948" s="22"/>
      <c r="C948" s="22"/>
      <c r="D948" s="22"/>
      <c r="E948" s="22"/>
      <c r="F948" s="22"/>
      <c r="G948" s="22"/>
      <c r="H948" s="22"/>
      <c r="I948" s="22"/>
      <c r="J948" s="70"/>
    </row>
    <row r="949" spans="1:10">
      <c r="A949" s="22"/>
      <c r="B949" s="22"/>
      <c r="C949" s="22"/>
      <c r="D949" s="22"/>
      <c r="E949" s="22"/>
      <c r="F949" s="22"/>
      <c r="G949" s="22"/>
      <c r="H949" s="22"/>
      <c r="I949" s="22"/>
      <c r="J949" s="70"/>
    </row>
    <row r="950" spans="1:10">
      <c r="A950" s="22"/>
      <c r="B950" s="22"/>
      <c r="C950" s="22"/>
      <c r="D950" s="22"/>
      <c r="E950" s="22"/>
      <c r="F950" s="22"/>
      <c r="G950" s="22"/>
      <c r="H950" s="22"/>
      <c r="I950" s="22"/>
      <c r="J950" s="70"/>
    </row>
    <row r="951" spans="1:10">
      <c r="A951" s="22"/>
      <c r="B951" s="22"/>
      <c r="C951" s="22"/>
      <c r="D951" s="22"/>
      <c r="E951" s="22"/>
      <c r="F951" s="22"/>
      <c r="G951" s="22"/>
      <c r="H951" s="22"/>
      <c r="I951" s="22"/>
      <c r="J951" s="70"/>
    </row>
    <row r="952" spans="1:10">
      <c r="A952" s="22"/>
      <c r="B952" s="22"/>
      <c r="C952" s="22"/>
      <c r="D952" s="22"/>
      <c r="E952" s="22"/>
      <c r="F952" s="22"/>
      <c r="G952" s="22"/>
      <c r="H952" s="22"/>
      <c r="I952" s="22"/>
      <c r="J952" s="70"/>
    </row>
    <row r="953" spans="1:10">
      <c r="A953" s="22"/>
      <c r="B953" s="22"/>
      <c r="C953" s="22"/>
      <c r="D953" s="22"/>
      <c r="E953" s="22"/>
      <c r="F953" s="22"/>
      <c r="G953" s="22"/>
      <c r="H953" s="22"/>
      <c r="I953" s="22"/>
      <c r="J953" s="70"/>
    </row>
    <row r="954" spans="1:10">
      <c r="A954" s="22"/>
      <c r="B954" s="22"/>
      <c r="C954" s="22"/>
      <c r="D954" s="22"/>
      <c r="E954" s="22"/>
      <c r="F954" s="22"/>
      <c r="G954" s="22"/>
      <c r="H954" s="22"/>
      <c r="I954" s="22"/>
      <c r="J954" s="70"/>
    </row>
    <row r="955" spans="1:10">
      <c r="A955" s="22"/>
      <c r="B955" s="22"/>
      <c r="C955" s="22"/>
      <c r="D955" s="22"/>
      <c r="E955" s="22"/>
      <c r="F955" s="22"/>
      <c r="G955" s="22"/>
      <c r="H955" s="22"/>
      <c r="I955" s="22"/>
      <c r="J955" s="70"/>
    </row>
    <row r="956" spans="1:10">
      <c r="A956" s="22"/>
      <c r="B956" s="22"/>
      <c r="C956" s="22"/>
      <c r="D956" s="22"/>
      <c r="E956" s="22"/>
      <c r="F956" s="22"/>
      <c r="G956" s="22"/>
      <c r="H956" s="22"/>
      <c r="I956" s="22"/>
      <c r="J956" s="70"/>
    </row>
    <row r="957" spans="1:10">
      <c r="A957" s="22"/>
      <c r="B957" s="22"/>
      <c r="C957" s="22"/>
      <c r="D957" s="22"/>
      <c r="E957" s="22"/>
      <c r="F957" s="22"/>
      <c r="G957" s="22"/>
      <c r="H957" s="22"/>
      <c r="I957" s="22"/>
      <c r="J957" s="70"/>
    </row>
    <row r="958" spans="1:10">
      <c r="A958" s="22"/>
      <c r="B958" s="22"/>
      <c r="C958" s="22"/>
      <c r="D958" s="22"/>
      <c r="E958" s="22"/>
      <c r="F958" s="22"/>
      <c r="G958" s="22"/>
      <c r="H958" s="22"/>
      <c r="I958" s="22"/>
      <c r="J958" s="70"/>
    </row>
    <row r="959" spans="1:10">
      <c r="A959" s="22"/>
      <c r="B959" s="22"/>
      <c r="C959" s="22"/>
      <c r="D959" s="22"/>
      <c r="E959" s="22"/>
      <c r="F959" s="22"/>
      <c r="G959" s="22"/>
      <c r="H959" s="22"/>
      <c r="I959" s="22"/>
      <c r="J959" s="70"/>
    </row>
    <row r="960" spans="1:10">
      <c r="A960" s="22"/>
      <c r="B960" s="22"/>
      <c r="C960" s="22"/>
      <c r="D960" s="22"/>
      <c r="E960" s="22"/>
      <c r="F960" s="22"/>
      <c r="G960" s="22"/>
      <c r="H960" s="22"/>
      <c r="I960" s="22"/>
      <c r="J960" s="70"/>
    </row>
    <row r="961" spans="1:10">
      <c r="A961" s="22"/>
      <c r="B961" s="22"/>
      <c r="C961" s="22"/>
      <c r="D961" s="22"/>
      <c r="E961" s="22"/>
      <c r="F961" s="22"/>
      <c r="G961" s="22"/>
      <c r="H961" s="22"/>
      <c r="I961" s="22"/>
      <c r="J961" s="70"/>
    </row>
    <row r="962" spans="1:10">
      <c r="A962" s="22"/>
      <c r="B962" s="22"/>
      <c r="C962" s="22"/>
      <c r="D962" s="22"/>
      <c r="E962" s="22"/>
      <c r="F962" s="22"/>
      <c r="G962" s="22"/>
      <c r="H962" s="22"/>
      <c r="I962" s="22"/>
      <c r="J962" s="70"/>
    </row>
    <row r="963" spans="1:10">
      <c r="A963" s="22"/>
      <c r="B963" s="22"/>
      <c r="C963" s="22"/>
      <c r="D963" s="22"/>
      <c r="E963" s="22"/>
      <c r="F963" s="22"/>
      <c r="G963" s="22"/>
      <c r="H963" s="22"/>
      <c r="I963" s="22"/>
      <c r="J963" s="70"/>
    </row>
    <row r="964" spans="1:10">
      <c r="A964" s="22"/>
      <c r="B964" s="22"/>
      <c r="C964" s="22"/>
      <c r="D964" s="22"/>
      <c r="E964" s="22"/>
      <c r="F964" s="22"/>
      <c r="G964" s="22"/>
      <c r="H964" s="22"/>
      <c r="I964" s="22"/>
      <c r="J964" s="70"/>
    </row>
    <row r="965" spans="1:10">
      <c r="A965" s="22"/>
      <c r="B965" s="22"/>
      <c r="C965" s="22"/>
      <c r="D965" s="22"/>
      <c r="E965" s="22"/>
      <c r="F965" s="22"/>
      <c r="G965" s="22"/>
      <c r="H965" s="22"/>
      <c r="I965" s="22"/>
      <c r="J965" s="70"/>
    </row>
    <row r="966" spans="1:10">
      <c r="A966" s="22"/>
      <c r="B966" s="22"/>
      <c r="C966" s="22"/>
      <c r="D966" s="22"/>
      <c r="E966" s="22"/>
      <c r="F966" s="22"/>
      <c r="G966" s="22"/>
      <c r="H966" s="22"/>
      <c r="I966" s="22"/>
      <c r="J966" s="70"/>
    </row>
    <row r="967" spans="1:10">
      <c r="A967" s="22"/>
      <c r="B967" s="22"/>
      <c r="C967" s="22"/>
      <c r="D967" s="22"/>
      <c r="E967" s="22"/>
      <c r="F967" s="22"/>
      <c r="G967" s="22"/>
      <c r="H967" s="22"/>
      <c r="I967" s="22"/>
      <c r="J967" s="70"/>
    </row>
    <row r="968" spans="1:10">
      <c r="A968" s="22"/>
      <c r="B968" s="22"/>
      <c r="C968" s="22"/>
      <c r="D968" s="22"/>
      <c r="E968" s="22"/>
      <c r="F968" s="22"/>
      <c r="G968" s="22"/>
      <c r="H968" s="22"/>
      <c r="I968" s="22"/>
      <c r="J968" s="70"/>
    </row>
    <row r="969" spans="1:10">
      <c r="A969" s="22"/>
      <c r="B969" s="22"/>
      <c r="C969" s="22"/>
      <c r="D969" s="22"/>
      <c r="E969" s="22"/>
      <c r="F969" s="22"/>
      <c r="G969" s="22"/>
      <c r="H969" s="22"/>
      <c r="I969" s="22"/>
      <c r="J969" s="70"/>
    </row>
    <row r="970" spans="1:10">
      <c r="A970" s="22"/>
      <c r="B970" s="22"/>
      <c r="C970" s="22"/>
      <c r="D970" s="22"/>
      <c r="E970" s="22"/>
      <c r="F970" s="22"/>
      <c r="G970" s="22"/>
      <c r="H970" s="22"/>
      <c r="I970" s="22"/>
      <c r="J970" s="70"/>
    </row>
    <row r="971" spans="1:10">
      <c r="A971" s="22"/>
      <c r="B971" s="22"/>
      <c r="C971" s="22"/>
      <c r="D971" s="22"/>
      <c r="E971" s="22"/>
      <c r="F971" s="22"/>
      <c r="G971" s="22"/>
      <c r="H971" s="22"/>
      <c r="I971" s="22"/>
      <c r="J971" s="70"/>
    </row>
    <row r="972" spans="1:10">
      <c r="A972" s="22"/>
      <c r="B972" s="22"/>
      <c r="C972" s="22"/>
      <c r="D972" s="22"/>
      <c r="E972" s="22"/>
      <c r="F972" s="22"/>
      <c r="G972" s="22"/>
      <c r="H972" s="22"/>
      <c r="I972" s="22"/>
      <c r="J972" s="70"/>
    </row>
    <row r="973" spans="1:10">
      <c r="A973" s="22"/>
      <c r="B973" s="22"/>
      <c r="C973" s="22"/>
      <c r="D973" s="22"/>
      <c r="E973" s="22"/>
      <c r="F973" s="22"/>
      <c r="G973" s="22"/>
      <c r="H973" s="22"/>
      <c r="I973" s="22"/>
      <c r="J973" s="70"/>
    </row>
    <row r="974" spans="1:10">
      <c r="A974" s="22"/>
      <c r="B974" s="22"/>
      <c r="C974" s="22"/>
      <c r="D974" s="22"/>
      <c r="E974" s="22"/>
      <c r="F974" s="22"/>
      <c r="G974" s="22"/>
      <c r="H974" s="22"/>
      <c r="I974" s="22"/>
      <c r="J974" s="70"/>
    </row>
    <row r="975" spans="1:10">
      <c r="A975" s="22"/>
      <c r="B975" s="22"/>
      <c r="C975" s="22"/>
      <c r="D975" s="22"/>
      <c r="E975" s="22"/>
      <c r="F975" s="22"/>
      <c r="G975" s="22"/>
      <c r="H975" s="22"/>
      <c r="I975" s="22"/>
      <c r="J975" s="70"/>
    </row>
    <row r="976" spans="1:10">
      <c r="A976" s="22"/>
      <c r="B976" s="22"/>
      <c r="C976" s="22"/>
      <c r="D976" s="22"/>
      <c r="E976" s="22"/>
      <c r="F976" s="22"/>
      <c r="G976" s="22"/>
      <c r="H976" s="22"/>
      <c r="I976" s="22"/>
      <c r="J976" s="70"/>
    </row>
    <row r="977" spans="1:10">
      <c r="A977" s="22"/>
      <c r="B977" s="22"/>
      <c r="C977" s="22"/>
      <c r="D977" s="22"/>
      <c r="E977" s="22"/>
      <c r="F977" s="22"/>
      <c r="G977" s="22"/>
      <c r="H977" s="22"/>
      <c r="I977" s="22"/>
      <c r="J977" s="70"/>
    </row>
    <row r="978" spans="1:10">
      <c r="A978" s="22"/>
      <c r="B978" s="22"/>
      <c r="C978" s="22"/>
      <c r="D978" s="22"/>
      <c r="E978" s="22"/>
      <c r="F978" s="22"/>
      <c r="G978" s="22"/>
      <c r="H978" s="22"/>
      <c r="I978" s="22"/>
      <c r="J978" s="70"/>
    </row>
    <row r="979" spans="1:10">
      <c r="A979" s="22"/>
      <c r="B979" s="22"/>
      <c r="C979" s="22"/>
      <c r="D979" s="22"/>
      <c r="E979" s="22"/>
      <c r="F979" s="22"/>
      <c r="G979" s="22"/>
      <c r="H979" s="22"/>
      <c r="I979" s="22"/>
      <c r="J979" s="70"/>
    </row>
    <row r="980" spans="1:10">
      <c r="A980" s="22"/>
      <c r="B980" s="22"/>
      <c r="C980" s="22"/>
      <c r="D980" s="22"/>
      <c r="E980" s="22"/>
      <c r="F980" s="22"/>
      <c r="G980" s="22"/>
      <c r="H980" s="22"/>
      <c r="I980" s="22"/>
      <c r="J980" s="70"/>
    </row>
    <row r="981" spans="1:10">
      <c r="A981" s="22"/>
      <c r="B981" s="22"/>
      <c r="C981" s="22"/>
      <c r="D981" s="22"/>
      <c r="E981" s="22"/>
      <c r="F981" s="22"/>
      <c r="G981" s="22"/>
      <c r="H981" s="22"/>
      <c r="I981" s="22"/>
      <c r="J981" s="70"/>
    </row>
    <row r="982" spans="1:10">
      <c r="A982" s="22"/>
      <c r="B982" s="22"/>
      <c r="C982" s="22"/>
      <c r="D982" s="22"/>
      <c r="E982" s="22"/>
      <c r="F982" s="22"/>
      <c r="G982" s="22"/>
      <c r="H982" s="22"/>
      <c r="I982" s="22"/>
      <c r="J982" s="70"/>
    </row>
    <row r="983" spans="1:10">
      <c r="A983" s="22"/>
      <c r="B983" s="22"/>
      <c r="C983" s="22"/>
      <c r="D983" s="22"/>
      <c r="E983" s="22"/>
      <c r="F983" s="22"/>
      <c r="G983" s="22"/>
      <c r="H983" s="22"/>
      <c r="I983" s="22"/>
      <c r="J983" s="70"/>
    </row>
    <row r="984" spans="1:10">
      <c r="A984" s="22"/>
      <c r="B984" s="22"/>
      <c r="C984" s="22"/>
      <c r="D984" s="22"/>
      <c r="E984" s="22"/>
      <c r="F984" s="22"/>
      <c r="G984" s="22"/>
      <c r="H984" s="22"/>
      <c r="I984" s="22"/>
      <c r="J984" s="70"/>
    </row>
    <row r="985" spans="1:10">
      <c r="A985" s="22"/>
      <c r="B985" s="22"/>
      <c r="C985" s="22"/>
      <c r="D985" s="22"/>
      <c r="E985" s="22"/>
      <c r="F985" s="22"/>
      <c r="G985" s="22"/>
      <c r="H985" s="22"/>
      <c r="I985" s="22"/>
      <c r="J985" s="70"/>
    </row>
    <row r="986" spans="1:10">
      <c r="A986" s="22"/>
      <c r="B986" s="22"/>
      <c r="C986" s="22"/>
      <c r="D986" s="22"/>
      <c r="E986" s="22"/>
      <c r="F986" s="22"/>
      <c r="G986" s="22"/>
      <c r="H986" s="22"/>
      <c r="I986" s="22"/>
      <c r="J986" s="70"/>
    </row>
    <row r="987" spans="1:10">
      <c r="A987" s="22"/>
      <c r="B987" s="22"/>
      <c r="C987" s="22"/>
      <c r="D987" s="22"/>
      <c r="E987" s="22"/>
      <c r="F987" s="22"/>
      <c r="G987" s="22"/>
      <c r="H987" s="22"/>
      <c r="I987" s="22"/>
      <c r="J987" s="70"/>
    </row>
    <row r="988" spans="1:10">
      <c r="A988" s="22"/>
      <c r="B988" s="22"/>
      <c r="C988" s="22"/>
      <c r="D988" s="22"/>
      <c r="E988" s="22"/>
      <c r="F988" s="22"/>
      <c r="G988" s="22"/>
      <c r="H988" s="22"/>
      <c r="I988" s="22"/>
      <c r="J988" s="70"/>
    </row>
    <row r="989" spans="1:10">
      <c r="A989" s="22"/>
      <c r="B989" s="22"/>
      <c r="C989" s="22"/>
      <c r="D989" s="22"/>
      <c r="E989" s="22"/>
      <c r="F989" s="22"/>
      <c r="G989" s="22"/>
      <c r="H989" s="22"/>
      <c r="I989" s="22"/>
      <c r="J989" s="70"/>
    </row>
    <row r="990" spans="1:10">
      <c r="A990" s="22"/>
      <c r="B990" s="22"/>
      <c r="C990" s="22"/>
      <c r="D990" s="22"/>
      <c r="E990" s="22"/>
      <c r="F990" s="22"/>
      <c r="G990" s="22"/>
      <c r="H990" s="22"/>
      <c r="I990" s="22"/>
      <c r="J990" s="70"/>
    </row>
    <row r="991" spans="1:10">
      <c r="A991" s="22"/>
      <c r="B991" s="22"/>
      <c r="C991" s="22"/>
      <c r="D991" s="22"/>
      <c r="E991" s="22"/>
      <c r="F991" s="22"/>
      <c r="G991" s="22"/>
      <c r="H991" s="22"/>
      <c r="I991" s="22"/>
      <c r="J991" s="70"/>
    </row>
    <row r="992" spans="1:10">
      <c r="A992" s="22"/>
      <c r="B992" s="22"/>
      <c r="C992" s="22"/>
      <c r="D992" s="22"/>
      <c r="E992" s="22"/>
      <c r="F992" s="22"/>
      <c r="G992" s="22"/>
      <c r="H992" s="22"/>
      <c r="I992" s="22"/>
      <c r="J992" s="70"/>
    </row>
    <row r="993" spans="1:10">
      <c r="A993" s="22"/>
      <c r="B993" s="22"/>
      <c r="C993" s="22"/>
      <c r="D993" s="22"/>
      <c r="E993" s="22"/>
      <c r="F993" s="22"/>
      <c r="G993" s="22"/>
      <c r="H993" s="22"/>
      <c r="I993" s="22"/>
      <c r="J993" s="70"/>
    </row>
    <row r="994" spans="1:10">
      <c r="A994" s="22"/>
      <c r="B994" s="22"/>
      <c r="C994" s="22"/>
      <c r="D994" s="22"/>
      <c r="E994" s="22"/>
      <c r="F994" s="22"/>
      <c r="G994" s="22"/>
      <c r="H994" s="22"/>
      <c r="I994" s="22"/>
      <c r="J994" s="70"/>
    </row>
    <row r="995" spans="1:10">
      <c r="A995" s="22"/>
      <c r="B995" s="22"/>
      <c r="C995" s="22"/>
      <c r="D995" s="22"/>
      <c r="E995" s="22"/>
      <c r="F995" s="22"/>
      <c r="G995" s="22"/>
      <c r="H995" s="22"/>
      <c r="I995" s="22"/>
      <c r="J995" s="70"/>
    </row>
    <row r="996" spans="1:10">
      <c r="A996" s="22"/>
      <c r="B996" s="22"/>
      <c r="C996" s="22"/>
      <c r="D996" s="22"/>
      <c r="E996" s="22"/>
      <c r="F996" s="22"/>
      <c r="G996" s="22"/>
      <c r="H996" s="22"/>
      <c r="I996" s="22"/>
      <c r="J996" s="70"/>
    </row>
    <row r="997" spans="1:10">
      <c r="A997" s="22"/>
      <c r="B997" s="22"/>
      <c r="C997" s="22"/>
      <c r="D997" s="22"/>
      <c r="E997" s="22"/>
      <c r="F997" s="22"/>
      <c r="G997" s="22"/>
      <c r="H997" s="22"/>
      <c r="I997" s="22"/>
      <c r="J997" s="70"/>
    </row>
    <row r="998" spans="1:10">
      <c r="A998" s="22"/>
      <c r="B998" s="22"/>
      <c r="C998" s="22"/>
      <c r="D998" s="22"/>
      <c r="E998" s="22"/>
      <c r="F998" s="22"/>
      <c r="G998" s="22"/>
      <c r="H998" s="22"/>
      <c r="I998" s="22"/>
      <c r="J998" s="70"/>
    </row>
    <row r="999" spans="1:10">
      <c r="A999" s="22"/>
      <c r="B999" s="22"/>
      <c r="C999" s="22"/>
      <c r="D999" s="22"/>
      <c r="E999" s="22"/>
      <c r="F999" s="22"/>
      <c r="G999" s="22"/>
      <c r="H999" s="22"/>
      <c r="I999" s="22"/>
      <c r="J999" s="70"/>
    </row>
    <row r="1000" spans="1:10">
      <c r="A1000" s="22"/>
      <c r="B1000" s="22"/>
      <c r="C1000" s="22"/>
      <c r="D1000" s="22"/>
      <c r="E1000" s="22"/>
      <c r="F1000" s="22"/>
      <c r="G1000" s="22"/>
      <c r="H1000" s="22"/>
      <c r="I1000" s="22"/>
      <c r="J1000" s="70"/>
    </row>
    <row r="1001" spans="1:10">
      <c r="A1001" s="22"/>
      <c r="B1001" s="22"/>
      <c r="C1001" s="22"/>
      <c r="D1001" s="22"/>
      <c r="E1001" s="22"/>
      <c r="F1001" s="22"/>
      <c r="G1001" s="22"/>
      <c r="H1001" s="22"/>
      <c r="I1001" s="22"/>
      <c r="J1001" s="70"/>
    </row>
    <row r="1002" spans="1:10">
      <c r="A1002" s="22"/>
      <c r="B1002" s="22"/>
      <c r="C1002" s="22"/>
      <c r="D1002" s="22"/>
      <c r="E1002" s="22"/>
      <c r="F1002" s="22"/>
      <c r="G1002" s="22"/>
      <c r="H1002" s="22"/>
      <c r="I1002" s="22"/>
      <c r="J1002" s="70"/>
    </row>
    <row r="1003" spans="1:10">
      <c r="A1003" s="22"/>
      <c r="B1003" s="22"/>
      <c r="C1003" s="22"/>
      <c r="D1003" s="22"/>
      <c r="E1003" s="22"/>
      <c r="F1003" s="22"/>
      <c r="G1003" s="22"/>
      <c r="H1003" s="22"/>
      <c r="I1003" s="22"/>
      <c r="J1003" s="70"/>
    </row>
    <row r="1004" spans="1:10">
      <c r="A1004" s="22"/>
      <c r="B1004" s="22"/>
      <c r="C1004" s="22"/>
      <c r="D1004" s="22"/>
      <c r="E1004" s="22"/>
      <c r="F1004" s="22"/>
      <c r="G1004" s="22"/>
      <c r="H1004" s="22"/>
      <c r="I1004" s="22"/>
      <c r="J1004" s="70"/>
    </row>
    <row r="1005" spans="1:10">
      <c r="A1005" s="22"/>
      <c r="B1005" s="22"/>
      <c r="C1005" s="22"/>
      <c r="D1005" s="22"/>
      <c r="E1005" s="22"/>
      <c r="F1005" s="22"/>
      <c r="G1005" s="22"/>
      <c r="H1005" s="22"/>
      <c r="I1005" s="22"/>
      <c r="J1005" s="70"/>
    </row>
    <row r="1006" spans="1:10">
      <c r="A1006" s="22"/>
      <c r="B1006" s="22"/>
      <c r="C1006" s="22"/>
      <c r="D1006" s="22"/>
      <c r="E1006" s="22"/>
      <c r="F1006" s="22"/>
      <c r="G1006" s="22"/>
      <c r="H1006" s="22"/>
      <c r="I1006" s="22"/>
      <c r="J1006" s="70"/>
    </row>
    <row r="1007" spans="1:10">
      <c r="A1007" s="22"/>
      <c r="B1007" s="22"/>
      <c r="C1007" s="22"/>
      <c r="D1007" s="22"/>
      <c r="E1007" s="22"/>
      <c r="F1007" s="22"/>
      <c r="G1007" s="22"/>
      <c r="H1007" s="22"/>
      <c r="I1007" s="22"/>
      <c r="J1007" s="70"/>
    </row>
    <row r="1008" spans="1:10">
      <c r="A1008" s="22"/>
      <c r="B1008" s="22"/>
      <c r="C1008" s="22"/>
      <c r="D1008" s="22"/>
      <c r="E1008" s="22"/>
      <c r="F1008" s="22"/>
      <c r="G1008" s="22"/>
      <c r="H1008" s="22"/>
      <c r="I1008" s="22"/>
      <c r="J1008" s="70"/>
    </row>
    <row r="1009" spans="1:10">
      <c r="A1009" s="22"/>
      <c r="B1009" s="22"/>
      <c r="C1009" s="22"/>
      <c r="D1009" s="22"/>
      <c r="E1009" s="22"/>
      <c r="F1009" s="22"/>
      <c r="G1009" s="22"/>
      <c r="H1009" s="22"/>
      <c r="I1009" s="22"/>
      <c r="J1009" s="70"/>
    </row>
    <row r="1010" spans="1:10">
      <c r="A1010" s="22"/>
      <c r="B1010" s="22"/>
      <c r="C1010" s="22"/>
      <c r="D1010" s="22"/>
      <c r="E1010" s="22"/>
      <c r="F1010" s="22"/>
      <c r="G1010" s="22"/>
      <c r="H1010" s="22"/>
      <c r="I1010" s="22"/>
      <c r="J1010" s="70"/>
    </row>
    <row r="1011" spans="1:10">
      <c r="A1011" s="22"/>
      <c r="B1011" s="22"/>
      <c r="C1011" s="22"/>
      <c r="D1011" s="22"/>
      <c r="E1011" s="22"/>
      <c r="F1011" s="22"/>
      <c r="G1011" s="22"/>
      <c r="H1011" s="22"/>
      <c r="I1011" s="22"/>
      <c r="J1011" s="70"/>
    </row>
    <row r="1012" spans="1:10">
      <c r="A1012" s="22"/>
      <c r="B1012" s="22"/>
      <c r="C1012" s="22"/>
      <c r="D1012" s="22"/>
      <c r="E1012" s="22"/>
      <c r="F1012" s="22"/>
      <c r="G1012" s="22"/>
      <c r="H1012" s="22"/>
      <c r="I1012" s="22"/>
      <c r="J1012" s="70"/>
    </row>
    <row r="1013" spans="1:10">
      <c r="A1013" s="22"/>
      <c r="B1013" s="22"/>
      <c r="C1013" s="22"/>
      <c r="D1013" s="22"/>
      <c r="E1013" s="22"/>
      <c r="F1013" s="22"/>
      <c r="G1013" s="22"/>
      <c r="H1013" s="22"/>
      <c r="I1013" s="22"/>
      <c r="J1013" s="70"/>
    </row>
    <row r="1014" spans="1:10">
      <c r="A1014" s="22"/>
      <c r="B1014" s="22"/>
      <c r="C1014" s="22"/>
      <c r="D1014" s="22"/>
      <c r="E1014" s="22"/>
      <c r="F1014" s="22"/>
      <c r="G1014" s="22"/>
      <c r="H1014" s="22"/>
      <c r="I1014" s="22"/>
      <c r="J1014" s="70"/>
    </row>
    <row r="1015" spans="1:10">
      <c r="A1015" s="22"/>
      <c r="B1015" s="22"/>
      <c r="C1015" s="22"/>
      <c r="D1015" s="22"/>
      <c r="E1015" s="22"/>
      <c r="F1015" s="22"/>
      <c r="G1015" s="22"/>
      <c r="H1015" s="22"/>
      <c r="I1015" s="22"/>
      <c r="J1015" s="70"/>
    </row>
    <row r="1016" spans="1:10">
      <c r="A1016" s="22"/>
      <c r="B1016" s="22"/>
      <c r="C1016" s="22"/>
      <c r="D1016" s="22"/>
      <c r="E1016" s="22"/>
      <c r="F1016" s="22"/>
      <c r="G1016" s="22"/>
      <c r="H1016" s="22"/>
      <c r="I1016" s="22"/>
      <c r="J1016" s="70"/>
    </row>
    <row r="1017" spans="1:10">
      <c r="A1017" s="22"/>
      <c r="B1017" s="22"/>
      <c r="C1017" s="22"/>
      <c r="D1017" s="22"/>
      <c r="E1017" s="22"/>
      <c r="F1017" s="22"/>
      <c r="G1017" s="22"/>
      <c r="H1017" s="22"/>
      <c r="I1017" s="22"/>
      <c r="J1017" s="70"/>
    </row>
    <row r="1018" spans="1:10">
      <c r="A1018" s="22"/>
      <c r="B1018" s="22"/>
      <c r="C1018" s="22"/>
      <c r="D1018" s="22"/>
      <c r="E1018" s="22"/>
      <c r="F1018" s="22"/>
      <c r="G1018" s="22"/>
      <c r="H1018" s="22"/>
      <c r="I1018" s="22"/>
      <c r="J1018" s="70"/>
    </row>
    <row r="1019" spans="1:10">
      <c r="A1019" s="22"/>
      <c r="B1019" s="22"/>
      <c r="C1019" s="22"/>
      <c r="D1019" s="22"/>
      <c r="E1019" s="22"/>
      <c r="F1019" s="22"/>
      <c r="G1019" s="22"/>
      <c r="H1019" s="22"/>
      <c r="I1019" s="22"/>
      <c r="J1019" s="70"/>
    </row>
    <row r="1020" spans="1:10">
      <c r="A1020" s="22"/>
      <c r="B1020" s="22"/>
      <c r="C1020" s="22"/>
      <c r="D1020" s="22"/>
      <c r="E1020" s="22"/>
      <c r="F1020" s="22"/>
      <c r="G1020" s="22"/>
      <c r="H1020" s="22"/>
      <c r="I1020" s="22"/>
      <c r="J1020" s="70"/>
    </row>
    <row r="1021" spans="1:10">
      <c r="A1021" s="22"/>
      <c r="B1021" s="22"/>
      <c r="C1021" s="22"/>
      <c r="D1021" s="22"/>
      <c r="E1021" s="22"/>
      <c r="F1021" s="22"/>
      <c r="G1021" s="22"/>
      <c r="H1021" s="22"/>
      <c r="I1021" s="22"/>
      <c r="J1021" s="70"/>
    </row>
    <row r="1022" spans="1:10">
      <c r="A1022" s="22"/>
      <c r="B1022" s="22"/>
      <c r="C1022" s="22"/>
      <c r="D1022" s="22"/>
      <c r="E1022" s="22"/>
      <c r="F1022" s="22"/>
      <c r="G1022" s="22"/>
      <c r="H1022" s="22"/>
      <c r="I1022" s="22"/>
      <c r="J1022" s="70"/>
    </row>
    <row r="1023" spans="1:10">
      <c r="A1023" s="22"/>
      <c r="B1023" s="22"/>
      <c r="C1023" s="22"/>
      <c r="D1023" s="22"/>
      <c r="E1023" s="22"/>
      <c r="F1023" s="22"/>
      <c r="G1023" s="22"/>
      <c r="H1023" s="22"/>
      <c r="I1023" s="22"/>
      <c r="J1023" s="70"/>
    </row>
    <row r="1024" spans="1:10">
      <c r="A1024" s="22"/>
      <c r="B1024" s="22"/>
      <c r="C1024" s="22"/>
      <c r="D1024" s="22"/>
      <c r="E1024" s="22"/>
      <c r="F1024" s="22"/>
      <c r="G1024" s="22"/>
      <c r="H1024" s="22"/>
      <c r="I1024" s="22"/>
      <c r="J1024" s="70"/>
    </row>
    <row r="1025" spans="1:10">
      <c r="A1025" s="22"/>
      <c r="B1025" s="22"/>
      <c r="C1025" s="22"/>
      <c r="D1025" s="22"/>
      <c r="E1025" s="22"/>
      <c r="F1025" s="22"/>
      <c r="G1025" s="22"/>
      <c r="H1025" s="22"/>
      <c r="I1025" s="22"/>
      <c r="J1025" s="70"/>
    </row>
    <row r="1026" spans="1:10">
      <c r="A1026" s="22"/>
      <c r="B1026" s="22"/>
      <c r="C1026" s="22"/>
      <c r="D1026" s="22"/>
      <c r="E1026" s="22"/>
      <c r="F1026" s="22"/>
      <c r="G1026" s="22"/>
      <c r="H1026" s="22"/>
      <c r="I1026" s="22"/>
      <c r="J1026" s="70"/>
    </row>
    <row r="1027" spans="1:10">
      <c r="A1027" s="22"/>
      <c r="B1027" s="22"/>
      <c r="C1027" s="22"/>
      <c r="D1027" s="22"/>
      <c r="E1027" s="22"/>
      <c r="F1027" s="22"/>
      <c r="G1027" s="22"/>
      <c r="H1027" s="22"/>
      <c r="I1027" s="22"/>
      <c r="J1027" s="70"/>
    </row>
    <row r="1028" spans="1:10">
      <c r="A1028" s="22"/>
      <c r="B1028" s="22"/>
      <c r="C1028" s="22"/>
      <c r="D1028" s="22"/>
      <c r="E1028" s="22"/>
      <c r="F1028" s="22"/>
      <c r="G1028" s="22"/>
      <c r="H1028" s="22"/>
      <c r="I1028" s="22"/>
      <c r="J1028" s="70"/>
    </row>
    <row r="1029" spans="1:10">
      <c r="A1029" s="22"/>
      <c r="B1029" s="22"/>
      <c r="C1029" s="22"/>
      <c r="D1029" s="22"/>
      <c r="E1029" s="22"/>
      <c r="F1029" s="22"/>
      <c r="G1029" s="22"/>
      <c r="H1029" s="22"/>
      <c r="I1029" s="22"/>
      <c r="J1029" s="70"/>
    </row>
    <row r="1030" spans="1:10">
      <c r="A1030" s="22"/>
      <c r="B1030" s="22"/>
      <c r="C1030" s="22"/>
      <c r="D1030" s="22"/>
      <c r="E1030" s="22"/>
      <c r="F1030" s="22"/>
      <c r="G1030" s="22"/>
      <c r="H1030" s="22"/>
      <c r="I1030" s="22"/>
      <c r="J1030" s="70"/>
    </row>
    <row r="1031" spans="1:10">
      <c r="A1031" s="22"/>
      <c r="B1031" s="22"/>
      <c r="C1031" s="22"/>
      <c r="D1031" s="22"/>
      <c r="E1031" s="22"/>
      <c r="F1031" s="22"/>
      <c r="G1031" s="22"/>
      <c r="H1031" s="22"/>
      <c r="I1031" s="22"/>
      <c r="J1031" s="70"/>
    </row>
    <row r="1032" s="21" customFormat="1" spans="1:220">
      <c r="A1032" s="22"/>
      <c r="B1032" s="22"/>
      <c r="C1032" s="22"/>
      <c r="D1032" s="22"/>
      <c r="E1032" s="22"/>
      <c r="F1032" s="22"/>
      <c r="G1032" s="22"/>
      <c r="H1032" s="22"/>
      <c r="I1032" s="22"/>
      <c r="J1032" s="70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2"/>
      <c r="DB1032" s="22"/>
      <c r="DC1032" s="22"/>
      <c r="DD1032" s="22"/>
      <c r="DE1032" s="22"/>
      <c r="DF1032" s="22"/>
      <c r="DG1032" s="22"/>
      <c r="DH1032" s="22"/>
      <c r="DI1032" s="22"/>
      <c r="DJ1032" s="22"/>
      <c r="DK1032" s="22"/>
      <c r="DL1032" s="22"/>
      <c r="DM1032" s="22"/>
      <c r="DN1032" s="22"/>
      <c r="DO1032" s="22"/>
      <c r="DP1032" s="22"/>
      <c r="DQ1032" s="22"/>
      <c r="DR1032" s="22"/>
      <c r="DS1032" s="22"/>
      <c r="DT1032" s="22"/>
      <c r="DU1032" s="22"/>
      <c r="DV1032" s="22"/>
      <c r="DW1032" s="22"/>
      <c r="DX1032" s="22"/>
      <c r="DY1032" s="22"/>
      <c r="DZ1032" s="22"/>
      <c r="EA1032" s="22"/>
      <c r="EB1032" s="22"/>
      <c r="EC1032" s="22"/>
      <c r="ED1032" s="22"/>
      <c r="EE1032" s="22"/>
      <c r="EF1032" s="22"/>
      <c r="EG1032" s="22"/>
      <c r="EH1032" s="22"/>
      <c r="EI1032" s="22"/>
      <c r="EJ1032" s="22"/>
      <c r="EK1032" s="22"/>
      <c r="EL1032" s="22"/>
      <c r="EM1032" s="22"/>
      <c r="EN1032" s="22"/>
      <c r="EO1032" s="22"/>
      <c r="EP1032" s="22"/>
      <c r="EQ1032" s="22"/>
      <c r="ER1032" s="22"/>
      <c r="ES1032" s="22"/>
      <c r="ET1032" s="22"/>
      <c r="EU1032" s="22"/>
      <c r="EV1032" s="22"/>
      <c r="EW1032" s="22"/>
      <c r="EX1032" s="22"/>
      <c r="EY1032" s="22"/>
      <c r="EZ1032" s="22"/>
      <c r="FA1032" s="22"/>
      <c r="FB1032" s="22"/>
      <c r="FC1032" s="22"/>
      <c r="FD1032" s="22"/>
      <c r="FE1032" s="22"/>
      <c r="FF1032" s="22"/>
      <c r="FG1032" s="22"/>
      <c r="FH1032" s="22"/>
      <c r="FI1032" s="22"/>
      <c r="FJ1032" s="22"/>
      <c r="FK1032" s="22"/>
      <c r="FL1032" s="22"/>
      <c r="FM1032" s="22"/>
      <c r="FN1032" s="22"/>
      <c r="FO1032" s="22"/>
      <c r="FP1032" s="22"/>
      <c r="FQ1032" s="22"/>
      <c r="FR1032" s="22"/>
      <c r="FS1032" s="22"/>
      <c r="FT1032" s="22"/>
      <c r="FU1032" s="22"/>
      <c r="FV1032" s="22"/>
      <c r="FW1032" s="22"/>
      <c r="FX1032" s="22"/>
      <c r="FY1032" s="22"/>
      <c r="FZ1032" s="22"/>
      <c r="GA1032" s="22"/>
      <c r="GB1032" s="22"/>
      <c r="GC1032" s="22"/>
      <c r="GD1032" s="22"/>
      <c r="GE1032" s="22"/>
      <c r="GF1032" s="22"/>
      <c r="GG1032" s="22"/>
      <c r="GH1032" s="22"/>
      <c r="GI1032" s="22"/>
      <c r="GJ1032" s="22"/>
      <c r="GK1032" s="22"/>
      <c r="GL1032" s="22"/>
      <c r="GM1032" s="22"/>
      <c r="GN1032" s="22"/>
      <c r="GO1032" s="22"/>
      <c r="GP1032" s="22"/>
      <c r="GQ1032" s="22"/>
      <c r="GR1032" s="22"/>
      <c r="GS1032" s="22"/>
      <c r="GT1032" s="22"/>
      <c r="GU1032" s="22"/>
      <c r="GV1032" s="22"/>
      <c r="GW1032" s="22"/>
      <c r="GX1032" s="22"/>
      <c r="GY1032" s="22"/>
      <c r="GZ1032" s="22"/>
      <c r="HA1032" s="22"/>
      <c r="HB1032" s="22"/>
      <c r="HC1032" s="22"/>
      <c r="HD1032" s="22"/>
      <c r="HE1032" s="22"/>
      <c r="HF1032" s="22"/>
      <c r="HG1032" s="22"/>
      <c r="HH1032" s="22"/>
      <c r="HI1032" s="22"/>
      <c r="HJ1032" s="22"/>
      <c r="HK1032" s="22"/>
      <c r="HL1032" s="22"/>
    </row>
    <row r="1033" s="22" customFormat="1" spans="10:10">
      <c r="J1033" s="70"/>
    </row>
    <row r="1034" s="22" customFormat="1" spans="10:10">
      <c r="J1034" s="70"/>
    </row>
    <row r="1035" s="22" customFormat="1" spans="10:10">
      <c r="J1035" s="70"/>
    </row>
    <row r="1036" s="22" customFormat="1" spans="10:10">
      <c r="J1036" s="70"/>
    </row>
    <row r="1037" s="22" customFormat="1" spans="10:10">
      <c r="J1037" s="70"/>
    </row>
    <row r="1038" s="22" customFormat="1" spans="10:10">
      <c r="J1038" s="70"/>
    </row>
    <row r="1039" s="22" customFormat="1" spans="10:10">
      <c r="J1039" s="70"/>
    </row>
    <row r="1040" s="22" customFormat="1" spans="10:10">
      <c r="J1040" s="70"/>
    </row>
  </sheetData>
  <mergeCells count="58">
    <mergeCell ref="A1:I1"/>
    <mergeCell ref="E2:F2"/>
    <mergeCell ref="E3:F3"/>
    <mergeCell ref="E4:F4"/>
    <mergeCell ref="E5:F5"/>
    <mergeCell ref="A6:J6"/>
    <mergeCell ref="A7:J7"/>
    <mergeCell ref="G8:I8"/>
    <mergeCell ref="A17:J17"/>
    <mergeCell ref="G18:I18"/>
    <mergeCell ref="A96:J96"/>
    <mergeCell ref="G97:I97"/>
    <mergeCell ref="A231:J231"/>
    <mergeCell ref="G232:I232"/>
    <mergeCell ref="A9:A16"/>
    <mergeCell ref="A19:A95"/>
    <mergeCell ref="A98:A230"/>
    <mergeCell ref="C13:C14"/>
    <mergeCell ref="C15:C16"/>
    <mergeCell ref="C19:C26"/>
    <mergeCell ref="C29:C30"/>
    <mergeCell ref="C31:C34"/>
    <mergeCell ref="C35:C39"/>
    <mergeCell ref="C40:C43"/>
    <mergeCell ref="C44:C45"/>
    <mergeCell ref="C46:C49"/>
    <mergeCell ref="C50:C54"/>
    <mergeCell ref="C55:C60"/>
    <mergeCell ref="C61:C66"/>
    <mergeCell ref="C67:C71"/>
    <mergeCell ref="C72:C75"/>
    <mergeCell ref="C76:C80"/>
    <mergeCell ref="C81:C86"/>
    <mergeCell ref="C87:C91"/>
    <mergeCell ref="C92:C95"/>
    <mergeCell ref="C98:C103"/>
    <mergeCell ref="C104:C106"/>
    <mergeCell ref="C107:C112"/>
    <mergeCell ref="C113:C124"/>
    <mergeCell ref="C125:C128"/>
    <mergeCell ref="C129:C138"/>
    <mergeCell ref="C139:C142"/>
    <mergeCell ref="C143:C148"/>
    <mergeCell ref="C149:C155"/>
    <mergeCell ref="C156:C162"/>
    <mergeCell ref="C163:C169"/>
    <mergeCell ref="C170:C176"/>
    <mergeCell ref="C177:C183"/>
    <mergeCell ref="C184:C190"/>
    <mergeCell ref="C191:C196"/>
    <mergeCell ref="C197:C202"/>
    <mergeCell ref="C203:C206"/>
    <mergeCell ref="C207:C210"/>
    <mergeCell ref="C211:C214"/>
    <mergeCell ref="C220:C223"/>
    <mergeCell ref="C224:C227"/>
    <mergeCell ref="C228:C230"/>
    <mergeCell ref="C233:C237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447</v>
      </c>
    </row>
    <row r="26" spans="2:2">
      <c r="B26" s="1" t="s">
        <v>448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449</v>
      </c>
      <c r="B1" s="4" t="s">
        <v>450</v>
      </c>
      <c r="C1" s="4" t="s">
        <v>451</v>
      </c>
      <c r="D1" s="4" t="s">
        <v>452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453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2006-09-13T11:21:00Z</dcterms:created>
  <dcterms:modified xsi:type="dcterms:W3CDTF">2016-02-22T03:35:49Z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