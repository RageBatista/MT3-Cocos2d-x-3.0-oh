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测试用例" sheetId="1" r:id="rId1"/>
    <sheet name="策划相关" sheetId="2" r:id="rId2"/>
    <sheet name="修改内容" sheetId="3" r:id="rId3"/>
    <sheet name="第一次测试报告" sheetId="4" r:id="rId4"/>
  </sheets>
  <calcPr calcId="145621"/>
</workbook>
</file>

<file path=xl/calcChain.xml><?xml version="1.0" encoding="utf-8"?>
<calcChain xmlns="http://schemas.openxmlformats.org/spreadsheetml/2006/main">
  <c r="L6" i="1" l="1"/>
  <c r="L5" i="1"/>
  <c r="L4" i="1"/>
  <c r="M3" i="1"/>
  <c r="L3" i="1"/>
  <c r="P6" i="1"/>
  <c r="O6" i="1"/>
  <c r="N6" i="1"/>
  <c r="M6" i="1"/>
  <c r="P5" i="1"/>
  <c r="O5" i="1"/>
  <c r="N5" i="1"/>
  <c r="M5" i="1"/>
  <c r="P4" i="1"/>
  <c r="O4" i="1"/>
  <c r="N4" i="1"/>
  <c r="M4" i="1"/>
  <c r="P3" i="1"/>
  <c r="P2" i="1" s="1"/>
  <c r="O3" i="1"/>
  <c r="N3" i="1"/>
  <c r="O2" i="1" l="1"/>
  <c r="M2" i="1"/>
  <c r="N2" i="1"/>
  <c r="L2" i="1"/>
</calcChain>
</file>

<file path=xl/sharedStrings.xml><?xml version="1.0" encoding="utf-8"?>
<sst xmlns="http://schemas.openxmlformats.org/spreadsheetml/2006/main" count="789" uniqueCount="495">
  <si>
    <t>测试输入序列</t>
  </si>
  <si>
    <t>Bug</t>
    <phoneticPr fontId="2" type="noConversion"/>
  </si>
  <si>
    <t>修改时间</t>
    <phoneticPr fontId="2" type="noConversion"/>
  </si>
  <si>
    <t>修改人</t>
    <phoneticPr fontId="2" type="noConversion"/>
  </si>
  <si>
    <t>案例编码</t>
    <phoneticPr fontId="2" type="noConversion"/>
  </si>
  <si>
    <t>修改内容</t>
    <phoneticPr fontId="2" type="noConversion"/>
  </si>
  <si>
    <t xml:space="preserve">设 计 人 : </t>
    <phoneticPr fontId="2" type="noConversion"/>
  </si>
  <si>
    <t>暂不处理</t>
    <phoneticPr fontId="2" type="noConversion"/>
  </si>
  <si>
    <t>主要功能分类</t>
    <phoneticPr fontId="2" type="noConversion"/>
  </si>
  <si>
    <t>测试记录</t>
    <phoneticPr fontId="2" type="noConversion"/>
  </si>
  <si>
    <t>备注</t>
    <phoneticPr fontId="1" type="noConversion"/>
  </si>
  <si>
    <t>Case总量</t>
    <phoneticPr fontId="2" type="noConversion"/>
  </si>
  <si>
    <t>设计时间 :</t>
    <phoneticPr fontId="2" type="noConversion"/>
  </si>
  <si>
    <t>需程序自测</t>
    <phoneticPr fontId="2" type="noConversion"/>
  </si>
  <si>
    <t>子功能测试序列</t>
    <phoneticPr fontId="2" type="noConversion"/>
  </si>
  <si>
    <t>测试时间</t>
    <phoneticPr fontId="2" type="noConversion"/>
  </si>
  <si>
    <t>程    序 ：</t>
    <phoneticPr fontId="2" type="noConversion"/>
  </si>
  <si>
    <t>需策划评估</t>
    <phoneticPr fontId="2" type="noConversion"/>
  </si>
  <si>
    <t>测试序列分类</t>
    <phoneticPr fontId="2" type="noConversion"/>
  </si>
  <si>
    <t>测试版本</t>
    <phoneticPr fontId="2" type="noConversion"/>
  </si>
  <si>
    <t>F</t>
    <phoneticPr fontId="2" type="noConversion"/>
  </si>
  <si>
    <t>策    划 ：</t>
    <phoneticPr fontId="2" type="noConversion"/>
  </si>
  <si>
    <t>补充说明</t>
    <phoneticPr fontId="2" type="noConversion"/>
  </si>
  <si>
    <t>附录_工作检查点</t>
    <phoneticPr fontId="2" type="noConversion"/>
  </si>
  <si>
    <t>测试人员</t>
    <phoneticPr fontId="2" type="noConversion"/>
  </si>
  <si>
    <t>B</t>
    <phoneticPr fontId="2" type="noConversion"/>
  </si>
  <si>
    <t>/</t>
    <phoneticPr fontId="2" type="noConversion"/>
  </si>
  <si>
    <t>子功能名称</t>
    <phoneticPr fontId="6" type="noConversion"/>
  </si>
  <si>
    <t>案例编号</t>
    <phoneticPr fontId="6" type="noConversion"/>
  </si>
  <si>
    <t>预期结果</t>
    <phoneticPr fontId="6" type="noConversion"/>
  </si>
  <si>
    <t>程序自测</t>
    <phoneticPr fontId="6" type="noConversion"/>
  </si>
  <si>
    <t>策划评估</t>
    <phoneticPr fontId="6" type="noConversion"/>
  </si>
  <si>
    <r>
      <t>说明：添加或修改测试序列，请使用</t>
    </r>
    <r>
      <rPr>
        <sz val="10"/>
        <color rgb="FF0000FF"/>
        <rFont val="微软雅黑"/>
        <family val="2"/>
        <charset val="134"/>
      </rPr>
      <t>蓝字</t>
    </r>
    <r>
      <rPr>
        <sz val="10"/>
        <color theme="1"/>
        <rFont val="微软雅黑"/>
        <family val="2"/>
        <charset val="134"/>
      </rPr>
      <t>标注，有疑问的测试序列请使用</t>
    </r>
    <r>
      <rPr>
        <sz val="10"/>
        <color rgb="FFFF0000"/>
        <rFont val="微软雅黑"/>
        <family val="2"/>
        <charset val="134"/>
      </rPr>
      <t>红字</t>
    </r>
    <r>
      <rPr>
        <sz val="10"/>
        <color theme="1"/>
        <rFont val="微软雅黑"/>
        <family val="2"/>
        <charset val="134"/>
      </rPr>
      <t>标注。</t>
    </r>
    <phoneticPr fontId="2" type="noConversion"/>
  </si>
  <si>
    <r>
      <t>一、执行情况
Case总量 283</t>
    </r>
    <r>
      <rPr>
        <sz val="10"/>
        <color theme="1"/>
        <rFont val="微软雅黑"/>
        <family val="2"/>
        <charset val="134"/>
      </rPr>
      <t xml:space="preserve">
P</t>
    </r>
    <r>
      <rPr>
        <sz val="10"/>
        <rFont val="微软雅黑"/>
        <family val="2"/>
        <charset val="134"/>
      </rPr>
      <t xml:space="preserve">  </t>
    </r>
    <r>
      <rPr>
        <sz val="10"/>
        <color theme="1"/>
        <rFont val="微软雅黑"/>
        <family val="2"/>
        <charset val="134"/>
      </rPr>
      <t>2</t>
    </r>
    <r>
      <rPr>
        <sz val="10"/>
        <rFont val="微软雅黑"/>
        <family val="2"/>
        <charset val="134"/>
      </rPr>
      <t>78</t>
    </r>
    <r>
      <rPr>
        <sz val="10"/>
        <color theme="1"/>
        <rFont val="微软雅黑"/>
        <family val="2"/>
        <charset val="134"/>
      </rPr>
      <t xml:space="preserve">
F</t>
    </r>
    <r>
      <rPr>
        <sz val="10"/>
        <rFont val="微软雅黑"/>
        <family val="2"/>
        <charset val="134"/>
      </rPr>
      <t xml:space="preserve">  5</t>
    </r>
    <r>
      <rPr>
        <sz val="10"/>
        <color theme="1"/>
        <rFont val="微软雅黑"/>
        <family val="2"/>
        <charset val="134"/>
      </rPr>
      <t xml:space="preserve">
B</t>
    </r>
    <r>
      <rPr>
        <sz val="10"/>
        <rFont val="微软雅黑"/>
        <family val="2"/>
        <charset val="134"/>
      </rPr>
      <t xml:space="preserve">  0</t>
    </r>
    <r>
      <rPr>
        <sz val="10"/>
        <color theme="1"/>
        <rFont val="微软雅黑"/>
        <family val="2"/>
        <charset val="134"/>
      </rPr>
      <t xml:space="preserve">
/</t>
    </r>
    <r>
      <rPr>
        <sz val="10"/>
        <rFont val="微软雅黑"/>
        <family val="2"/>
        <charset val="134"/>
      </rPr>
      <t xml:space="preserve">  0</t>
    </r>
    <r>
      <rPr>
        <sz val="10"/>
        <color theme="1"/>
        <rFont val="微软雅黑"/>
        <family val="2"/>
        <charset val="134"/>
      </rPr>
      <t xml:space="preserve">
Bug</t>
    </r>
    <r>
      <rPr>
        <sz val="10"/>
        <rFont val="微软雅黑"/>
        <family val="2"/>
        <charset val="134"/>
      </rPr>
      <t xml:space="preserve">  4
</t>
    </r>
    <r>
      <rPr>
        <sz val="10"/>
        <color theme="1"/>
        <rFont val="微软雅黑"/>
        <family val="2"/>
        <charset val="134"/>
      </rPr>
      <t xml:space="preserve">
二、系统完成度评估
已完成:</t>
    </r>
    <r>
      <rPr>
        <sz val="10"/>
        <rFont val="微软雅黑"/>
        <family val="2"/>
        <charset val="134"/>
      </rPr>
      <t>98.23</t>
    </r>
    <r>
      <rPr>
        <sz val="10"/>
        <color theme="1"/>
        <rFont val="微软雅黑"/>
        <family val="2"/>
        <charset val="134"/>
      </rPr>
      <t>%
三、近期需要完成的功能:
无
非近期需要完成的功能:
无
四、Bug分布
功能性Bug：</t>
    </r>
    <r>
      <rPr>
        <sz val="10"/>
        <rFont val="微软雅黑"/>
        <family val="2"/>
        <charset val="134"/>
      </rPr>
      <t>25</t>
    </r>
    <r>
      <rPr>
        <sz val="10"/>
        <color theme="1"/>
        <rFont val="微软雅黑"/>
        <family val="2"/>
        <charset val="134"/>
      </rPr>
      <t>%
界面Bug：</t>
    </r>
    <r>
      <rPr>
        <sz val="10"/>
        <rFont val="微软雅黑"/>
        <family val="2"/>
        <charset val="134"/>
      </rPr>
      <t>75</t>
    </r>
    <r>
      <rPr>
        <sz val="10"/>
        <color theme="1"/>
        <rFont val="微软雅黑"/>
        <family val="2"/>
        <charset val="134"/>
      </rPr>
      <t>%
五、较严重的Bug
无</t>
    </r>
    <phoneticPr fontId="2" type="noConversion"/>
  </si>
  <si>
    <r>
      <t>测试结果(</t>
    </r>
    <r>
      <rPr>
        <sz val="10"/>
        <color rgb="FF0000FF"/>
        <rFont val="微软雅黑"/>
        <family val="2"/>
        <charset val="134"/>
      </rPr>
      <t>P</t>
    </r>
    <r>
      <rPr>
        <sz val="10"/>
        <color theme="1"/>
        <rFont val="微软雅黑"/>
        <family val="2"/>
        <charset val="134"/>
      </rPr>
      <t>/</t>
    </r>
    <r>
      <rPr>
        <sz val="10"/>
        <color rgb="FFFF0000"/>
        <rFont val="微软雅黑"/>
        <family val="2"/>
        <charset val="134"/>
      </rPr>
      <t>F</t>
    </r>
    <r>
      <rPr>
        <sz val="10"/>
        <color theme="1"/>
        <rFont val="微软雅黑"/>
        <family val="2"/>
        <charset val="134"/>
      </rPr>
      <t>)</t>
    </r>
    <phoneticPr fontId="1" type="noConversion"/>
  </si>
  <si>
    <t>资料来源:</t>
    <phoneticPr fontId="1" type="noConversion"/>
  </si>
  <si>
    <t>系统提示信息示意图</t>
    <phoneticPr fontId="1" type="noConversion"/>
  </si>
  <si>
    <t>冠军试炼测试用例</t>
    <phoneticPr fontId="2" type="noConversion"/>
  </si>
  <si>
    <t>周学强</t>
    <phoneticPr fontId="1" type="noConversion"/>
  </si>
  <si>
    <t>李宇飞</t>
    <phoneticPr fontId="1" type="noConversion"/>
  </si>
  <si>
    <t>MT-G-GJSL-001</t>
    <phoneticPr fontId="1" type="noConversion"/>
  </si>
  <si>
    <t>MT-G-GJSL-002</t>
  </si>
  <si>
    <t>MT-G-GJSL-003</t>
  </si>
  <si>
    <t>MT-G-GJSL-004</t>
  </si>
  <si>
    <t>MT-G-GJSL-005</t>
  </si>
  <si>
    <t>MT-G-GJSL-006</t>
  </si>
  <si>
    <t>MT-G-GJSL-007</t>
  </si>
  <si>
    <t>紫罗兰出现冠军试炼活动NPC“吉安娜”</t>
    <phoneticPr fontId="1" type="noConversion"/>
  </si>
  <si>
    <t>弹出冠军试炼拉人二级界面</t>
    <phoneticPr fontId="1" type="noConversion"/>
  </si>
  <si>
    <t>MT-G-GJSL-008</t>
  </si>
  <si>
    <t>MT-G-GJSL-009</t>
  </si>
  <si>
    <t>系统全服公告</t>
    <phoneticPr fontId="1" type="noConversion"/>
  </si>
  <si>
    <t>传送到场景紫罗兰</t>
    <phoneticPr fontId="1" type="noConversion"/>
  </si>
  <si>
    <t>二级界面关闭</t>
    <phoneticPr fontId="1" type="noConversion"/>
  </si>
  <si>
    <t>玩家留在原地</t>
    <phoneticPr fontId="1" type="noConversion"/>
  </si>
  <si>
    <t>1、玩家没有队伍点击二级界面【取消】按钮后
2、查看</t>
    <phoneticPr fontId="1" type="noConversion"/>
  </si>
  <si>
    <t>1、玩家有队伍，玩家为队长
2、点击二级界面【确认】按钮后
3、查看</t>
    <phoneticPr fontId="1" type="noConversion"/>
  </si>
  <si>
    <t>1、玩家有队伍，玩家为队员
2、点击二级界面【确认】按钮后
3、查看</t>
    <phoneticPr fontId="1" type="noConversion"/>
  </si>
  <si>
    <t>队伍传送到场景紫罗兰</t>
    <phoneticPr fontId="1" type="noConversion"/>
  </si>
  <si>
    <t>MT-G-GJSL-010</t>
  </si>
  <si>
    <t>MT-G-GJSL-011</t>
  </si>
  <si>
    <t>MT-G-GJSL-012</t>
  </si>
  <si>
    <t>MT-G-GJSL-013</t>
  </si>
  <si>
    <t>MT-G-GJSL-014</t>
  </si>
  <si>
    <t>MT-G-GJSL-015</t>
  </si>
  <si>
    <t>MT-G-GJSL-016</t>
  </si>
  <si>
    <t>MT-G-GJSL-017</t>
  </si>
  <si>
    <t>MT-G-GJSL-018</t>
  </si>
  <si>
    <t>弹出闲话提示：“你们的人数不够哦，请多找几个人来一起参加，最少需要3个人”</t>
    <phoneticPr fontId="1" type="noConversion"/>
  </si>
  <si>
    <t>弹出闲话提示：“欢迎参加冠军试炼，你们的第1关是法师代表队，点击任务可直接跳转到试炼场。”</t>
    <phoneticPr fontId="1" type="noConversion"/>
  </si>
  <si>
    <t>玩家A、B、C任务面板出现冠军试炼任务：“挑战法师代表队（1/9）”</t>
    <phoneticPr fontId="1" type="noConversion"/>
  </si>
  <si>
    <t>MT-G-GJSL-019</t>
  </si>
  <si>
    <t>MT-G-GJSL-020</t>
  </si>
  <si>
    <t>MT-G-GJSL-021</t>
  </si>
  <si>
    <t>MT-G-GJSL-022</t>
  </si>
  <si>
    <t>MT-G-GJSL-023</t>
  </si>
  <si>
    <t>MT-G-GJSL-024</t>
  </si>
  <si>
    <t>MT-G-GJSL-025</t>
  </si>
  <si>
    <t>MT-G-GJSL-026</t>
  </si>
  <si>
    <t>MT-G-GJSL-027</t>
  </si>
  <si>
    <t>MT-G-GJSL-028</t>
  </si>
  <si>
    <t>MT-G-GJSL-029</t>
  </si>
  <si>
    <t>MT-G-GJSL-030</t>
  </si>
  <si>
    <t>MT-G-GJSL-031</t>
  </si>
  <si>
    <t>1、玩家A、B组队，玩家A为队长
2、玩家A点击“【冠军试炼】”服务按钮
3、查看</t>
    <phoneticPr fontId="1" type="noConversion"/>
  </si>
  <si>
    <t>1、玩家A、B、C组队，玩家A为队长，玩家B处于暂离状态
2、玩家A点击“【冠军试炼】”服务按钮
3、查看</t>
    <phoneticPr fontId="1" type="noConversion"/>
  </si>
  <si>
    <t>1、玩家A、B、C组队，玩家A为队长且等级小于40级
2、玩家A点击“【冠军试炼】”服务按钮
3、查看</t>
    <phoneticPr fontId="1" type="noConversion"/>
  </si>
  <si>
    <t>1、玩家A、B、C组队，玩家A为队长，玩家A、B、C等级都等于40级
2、玩家A点击“【冠军试炼】”服务按钮
3、查看</t>
    <phoneticPr fontId="1" type="noConversion"/>
  </si>
  <si>
    <t>弹出服务窗口和闲话</t>
  </si>
  <si>
    <t>闲话内容清晰、无错别字</t>
  </si>
  <si>
    <t>交互界面菜单title显示：“请选择要做的事：”</t>
  </si>
  <si>
    <t>交互界面半身像显示正确名字显示正确</t>
    <phoneticPr fontId="1" type="noConversion"/>
  </si>
  <si>
    <t>1、打开冠军试炼拉人二级确认界面
2、查看</t>
    <phoneticPr fontId="1" type="noConversion"/>
  </si>
  <si>
    <t>1、玩家等级大于等于40级
2、在周1、3、5晚上20:25-21:10期间上线
3、查看</t>
    <phoneticPr fontId="1" type="noConversion"/>
  </si>
  <si>
    <t>1、玩家等级小于40级
2、在周1、3、5晚上20:25-21:10期间上线
3、查看</t>
    <phoneticPr fontId="1" type="noConversion"/>
  </si>
  <si>
    <t>不会弹出冠军试炼拉人二级界面</t>
    <phoneticPr fontId="1" type="noConversion"/>
  </si>
  <si>
    <t>查看紫罗兰紫罗兰冠军试炼活动NPC“吉安娜”</t>
    <phoneticPr fontId="1" type="noConversion"/>
  </si>
  <si>
    <t>刷出位置正确</t>
    <phoneticPr fontId="1" type="noConversion"/>
  </si>
  <si>
    <t>模型、休闲动作、名字、脚下称谓显示正确</t>
    <phoneticPr fontId="1" type="noConversion"/>
  </si>
  <si>
    <t>点NPC后朝向正确</t>
    <phoneticPr fontId="1" type="noConversion"/>
  </si>
  <si>
    <t>MT-G-GJSL-032</t>
  </si>
  <si>
    <t>MT-G-GJSL-033</t>
  </si>
  <si>
    <t>title显示“冠军试炼”</t>
    <phoneticPr fontId="1" type="noConversion"/>
  </si>
  <si>
    <t>内容显示：“冠军试炼即将开始，您是否要参加吗？”</t>
    <phoneticPr fontId="1" type="noConversion"/>
  </si>
  <si>
    <t>按钮从左到右依次显示为【取消（30s倒计时）】【确认】</t>
    <phoneticPr fontId="1" type="noConversion"/>
  </si>
  <si>
    <t>系统提示：“你在队伍中，无法传送。请队长操作”</t>
    <phoneticPr fontId="1" type="noConversion"/>
  </si>
  <si>
    <t>系统提示：“冠军试炼活动已结束”</t>
    <phoneticPr fontId="1" type="noConversion"/>
  </si>
  <si>
    <t>1、周1、3、5晚上21:10
2、没有参加活动的玩家
2、查看</t>
    <phoneticPr fontId="1" type="noConversion"/>
  </si>
  <si>
    <t>1、周1、3、5晚上21:10
2、参加活动没有获奖的玩家
2、查看</t>
    <phoneticPr fontId="1" type="noConversion"/>
  </si>
  <si>
    <t>1、周1、3、5晚上21:10
2、参加活动获奖的玩家
2、查看</t>
    <phoneticPr fontId="1" type="noConversion"/>
  </si>
  <si>
    <t>场景内刷出冠军试炼职业代表队NPC</t>
    <phoneticPr fontId="1" type="noConversion"/>
  </si>
  <si>
    <t>系统频道刷出获奖排名的队伍信息的系统提示</t>
    <phoneticPr fontId="1" type="noConversion"/>
  </si>
  <si>
    <t>紫罗兰出现冠军试炼活动NPC“吉安娜”</t>
    <phoneticPr fontId="1" type="noConversion"/>
  </si>
  <si>
    <t>紫罗兰冠军试炼活动NPC“吉安娜”消失</t>
    <phoneticPr fontId="1" type="noConversion"/>
  </si>
  <si>
    <t>场景内刷出冠军试炼职业代表队NPC消失</t>
    <phoneticPr fontId="1" type="noConversion"/>
  </si>
  <si>
    <t>玩家获得冠军试炼宝箱奖励</t>
    <phoneticPr fontId="1" type="noConversion"/>
  </si>
  <si>
    <t>1、点击代表队活动NPC
2、查看</t>
    <phoneticPr fontId="1" type="noConversion"/>
  </si>
  <si>
    <t>查看各场景代表队活动NPC</t>
    <phoneticPr fontId="1" type="noConversion"/>
  </si>
  <si>
    <t>MT-G-GJSL-034</t>
  </si>
  <si>
    <t>MT-G-GJSL-035</t>
  </si>
  <si>
    <t>MT-G-GJSL-038</t>
  </si>
  <si>
    <t>MT-G-GJSL-039</t>
  </si>
  <si>
    <t>MT-G-GJSL-040</t>
  </si>
  <si>
    <t>MT-G-GJSL-041</t>
  </si>
  <si>
    <t>MT-G-GJSL-042</t>
  </si>
  <si>
    <t>MT-G-GJSL-043</t>
  </si>
  <si>
    <t>MT-G-GJSL-044</t>
  </si>
  <si>
    <t>MT-G-GJSL-045</t>
  </si>
  <si>
    <t>MT-G-GJSL-046</t>
  </si>
  <si>
    <t>MT-G-GJSL-047</t>
  </si>
  <si>
    <t>MT-G-GJSL-048</t>
  </si>
  <si>
    <t>MT-G-GJSL-049</t>
  </si>
  <si>
    <t>MT-G-GJSL-050</t>
  </si>
  <si>
    <t>MT-G-GJSL-051</t>
  </si>
  <si>
    <t>MT-G-GJSL-052</t>
  </si>
  <si>
    <t>MT-G-GJSL-053</t>
  </si>
  <si>
    <t>MT-G-GJSL-054</t>
  </si>
  <si>
    <t>MT-G-GJSL-055</t>
  </si>
  <si>
    <t>MT-G-GJSL-056</t>
  </si>
  <si>
    <t>MT-G-GJSL-057</t>
  </si>
  <si>
    <t>MT-G-GJSL-058</t>
  </si>
  <si>
    <t>MT-G-GJSL-059</t>
  </si>
  <si>
    <t>MT-G-GJSL-062</t>
  </si>
  <si>
    <t>MT-G-GJSL-063</t>
  </si>
  <si>
    <t>MT-G-GJSL-064</t>
  </si>
  <si>
    <t>MT-G-GJSL-065</t>
  </si>
  <si>
    <t>MT-G-GJSL-066</t>
  </si>
  <si>
    <t>MT-G-GJSL-067</t>
  </si>
  <si>
    <t>MT-G-GJSL-068</t>
  </si>
  <si>
    <t>MT-G-GJSL-069</t>
  </si>
  <si>
    <t>MT-G-GJSL-070</t>
  </si>
  <si>
    <t>MT-G-GJSL-071</t>
  </si>
  <si>
    <t>MT-G-GJSL-072</t>
  </si>
  <si>
    <t>MT-G-GJSL-073</t>
  </si>
  <si>
    <t>MT-G-GJSL-074</t>
  </si>
  <si>
    <t>MT-G-GJSL-075</t>
  </si>
  <si>
    <t>MT-G-GJSL-076</t>
  </si>
  <si>
    <t>MT-G-GJSL-077</t>
  </si>
  <si>
    <t>MT-G-GJSL-078</t>
  </si>
  <si>
    <t>MT-G-GJSL-079</t>
  </si>
  <si>
    <t>MT-G-GJSL-080</t>
  </si>
  <si>
    <t>MT-G-GJSL-081</t>
  </si>
  <si>
    <t>MT-G-GJSL-082</t>
  </si>
  <si>
    <t>MT-G-GJSL-083</t>
  </si>
  <si>
    <t>MT-G-GJSL-084</t>
  </si>
  <si>
    <t>MT-G-GJSL-085</t>
  </si>
  <si>
    <t>MT-G-GJSL-086</t>
  </si>
  <si>
    <t>MT-G-GJSL-087</t>
  </si>
  <si>
    <t>MT-G-GJSL-088</t>
  </si>
  <si>
    <t>MT-G-GJSL-089</t>
  </si>
  <si>
    <t>MT-G-GJSL-090</t>
  </si>
  <si>
    <t>MT-G-GJSL-091</t>
  </si>
  <si>
    <t>MT-G-GJSL-092</t>
  </si>
  <si>
    <t>MT-G-GJSL-093</t>
  </si>
  <si>
    <t>MT-G-GJSL-094</t>
  </si>
  <si>
    <t>MT-G-GJSL-095</t>
  </si>
  <si>
    <t>MT-G-GJSL-096</t>
  </si>
  <si>
    <t>MT-G-GJSL-097</t>
  </si>
  <si>
    <t>MT-G-GJSL-098</t>
  </si>
  <si>
    <t>MT-G-GJSL-099</t>
  </si>
  <si>
    <t>MT-G-GJSL-100</t>
  </si>
  <si>
    <t>MT-G-GJSL-101</t>
  </si>
  <si>
    <t>MT-G-GJSL-102</t>
  </si>
  <si>
    <t>MT-G-GJSL-103</t>
  </si>
  <si>
    <t>MT-G-GJSL-104</t>
  </si>
  <si>
    <t>MT-G-GJSL-105</t>
  </si>
  <si>
    <t>MT-G-GJSL-106</t>
  </si>
  <si>
    <t>1、周1、3、5晚上20:25
2、等级小于40级玩家
3、查看</t>
    <phoneticPr fontId="1" type="noConversion"/>
  </si>
  <si>
    <t>1、玩家没有队伍点击二级界面【确认】按钮后
2、查看</t>
    <phoneticPr fontId="1" type="noConversion"/>
  </si>
  <si>
    <t>1、玩家A、B、C组队，玩家A为队长，玩家A、B、C等级都大于40级
2、玩家A点击“【冠军试炼】”服务按钮
3、查看</t>
    <phoneticPr fontId="1" type="noConversion"/>
  </si>
  <si>
    <t>1、玩家A、B、C、D、E组队，玩家A为队长，玩家A、B、C、D、E等级都大于等于40级
2、玩家A点击“【冠军试炼】”服务按钮
3、查看</t>
    <phoneticPr fontId="1" type="noConversion"/>
  </si>
  <si>
    <t>玩家A、B、C任务面板出现冠军试炼任务：“挑战法师代表队（1/9）”</t>
    <phoneticPr fontId="1" type="noConversion"/>
  </si>
  <si>
    <t>玩家A、B、C、D、E任务面板出现冠军试炼任务：“挑战法师代表队（1/9）”</t>
    <phoneticPr fontId="1" type="noConversion"/>
  </si>
  <si>
    <t>弹出闲话界面</t>
    <phoneticPr fontId="1" type="noConversion"/>
  </si>
  <si>
    <t>闲话提示：“你没有任务啊，不要捣乱~”</t>
    <phoneticPr fontId="1" type="noConversion"/>
  </si>
  <si>
    <t>1、玩家有挑战法师代表队的任务
2、点击战士职业代表队NPC【我要挑战】按钮
3、查看</t>
    <phoneticPr fontId="1" type="noConversion"/>
  </si>
  <si>
    <t>1、玩家没有任务点击职业代表队NPC【我要挑战】按钮
2、查看</t>
    <phoneticPr fontId="1" type="noConversion"/>
  </si>
  <si>
    <t>1、玩家队伍处于战斗中
2、冠军活动结束
3、查看</t>
    <phoneticPr fontId="1" type="noConversion"/>
  </si>
  <si>
    <t>不会直接退出战斗界面</t>
    <phoneticPr fontId="1" type="noConversion"/>
  </si>
  <si>
    <t>战斗结束后才会退出战斗界面</t>
    <phoneticPr fontId="1" type="noConversion"/>
  </si>
  <si>
    <t>战斗结束后可以获得本次战斗的奖励</t>
    <phoneticPr fontId="1" type="noConversion"/>
  </si>
  <si>
    <t>本次战斗次数不加入最终活动结束结果</t>
    <phoneticPr fontId="1" type="noConversion"/>
  </si>
  <si>
    <t>怪物AI</t>
    <phoneticPr fontId="1" type="noConversion"/>
  </si>
  <si>
    <t>奖励</t>
    <phoneticPr fontId="1" type="noConversion"/>
  </si>
  <si>
    <t>1、玩家A、B、C、D、E队伍获得第一名
2、查看</t>
    <phoneticPr fontId="1" type="noConversion"/>
  </si>
  <si>
    <t>玩家A、B、C、D、E获得冠军试炼宝箱</t>
    <phoneticPr fontId="1" type="noConversion"/>
  </si>
  <si>
    <t>1、玩家A、B、C、D、E队伍获得第二名
2、查看</t>
    <phoneticPr fontId="1" type="noConversion"/>
  </si>
  <si>
    <t>1、玩家A、B、C、D、E队伍获得第三名
2、查看</t>
    <phoneticPr fontId="1" type="noConversion"/>
  </si>
  <si>
    <t>1、玩家A、B、C、D、E队伍获得第四名
2、查看</t>
    <phoneticPr fontId="1" type="noConversion"/>
  </si>
  <si>
    <t>没有宝箱奖励</t>
    <phoneticPr fontId="1" type="noConversion"/>
  </si>
  <si>
    <t>玩家A、B、C、D、E获得“银色的曙光”称谓</t>
    <phoneticPr fontId="1" type="noConversion"/>
  </si>
  <si>
    <t>没有称谓奖励</t>
    <phoneticPr fontId="1" type="noConversion"/>
  </si>
  <si>
    <t>弹出冠军试炼宝箱快捷使用</t>
    <phoneticPr fontId="1" type="noConversion"/>
  </si>
  <si>
    <t>玩家称谓自动设置为“银色的曙光”</t>
    <phoneticPr fontId="1" type="noConversion"/>
  </si>
  <si>
    <t>三、活动玩法</t>
    <phoneticPr fontId="2" type="noConversion"/>
  </si>
  <si>
    <t>二、UI界面</t>
    <phoneticPr fontId="2" type="noConversion"/>
  </si>
  <si>
    <t>1、玩家A、B、C、D、E组队、玩家A为队长
2、查看</t>
    <phoneticPr fontId="1" type="noConversion"/>
  </si>
  <si>
    <t>玩家A队长经验加成5%</t>
    <phoneticPr fontId="1" type="noConversion"/>
  </si>
  <si>
    <t>战士领袖怪物第一回合不会逃跑</t>
    <phoneticPr fontId="1" type="noConversion"/>
  </si>
  <si>
    <t>1、玩家A、B、C、D、E组队，玩家A为队长，队伍里面没有战士职业
2、与战士代表队进行战斗
3、查看</t>
    <phoneticPr fontId="1" type="noConversion"/>
  </si>
  <si>
    <t>战士领袖第1回合释放嘲讽技能</t>
    <phoneticPr fontId="1" type="noConversion"/>
  </si>
  <si>
    <t>战士领袖战斗到第五回合逃跑</t>
    <phoneticPr fontId="1" type="noConversion"/>
  </si>
  <si>
    <t>战士领袖逃跑时喊话：“记住我给你们的惩罚，我先跑了”</t>
    <phoneticPr fontId="1" type="noConversion"/>
  </si>
  <si>
    <t>1、玩家A、B、C、D、E组队，玩家A为队长，队伍里面有战士职业
2、与战士代表队进行战斗
3、查看</t>
    <phoneticPr fontId="1" type="noConversion"/>
  </si>
  <si>
    <t>战士领袖怪物第一回合逃跑</t>
    <phoneticPr fontId="1" type="noConversion"/>
  </si>
  <si>
    <t>战士领袖逃跑时喊话：“同职业前来闯关，我先退让避嫌”</t>
    <phoneticPr fontId="1" type="noConversion"/>
  </si>
  <si>
    <t>1、玩家A、B、C、D、E组队，玩家A为队长，队伍里面没有法师职业
2、与战士代表队进行战斗
3、查看</t>
    <phoneticPr fontId="1" type="noConversion"/>
  </si>
  <si>
    <t>1、玩家A、B、C、D、E组队，玩家A为队长，队伍里面有法师职业
2、与战士代表队进行战斗
3、查看</t>
    <phoneticPr fontId="1" type="noConversion"/>
  </si>
  <si>
    <t>1、玩家A、B、C、D、E组队，玩家A为队长，队伍里面没有牧师职业
2、与战士代表队进行战斗
3、查看</t>
    <phoneticPr fontId="1" type="noConversion"/>
  </si>
  <si>
    <t>1、玩家A、B、C、D、E组队，玩家A为队长，队伍里面有牧师职业
2、与战士代表队进行战斗
3、查看</t>
    <phoneticPr fontId="1" type="noConversion"/>
  </si>
  <si>
    <t>1、玩家A、B、C、D、E组队，玩家A为队长，队伍里面没有盗贼职业
2、与战士代表队进行战斗
3、查看</t>
    <phoneticPr fontId="1" type="noConversion"/>
  </si>
  <si>
    <t>1、玩家A、B、C、D、E组队，玩家A为队长，队伍里面有盗贼职业
2、与战士代表队进行战斗
3、查看</t>
    <phoneticPr fontId="1" type="noConversion"/>
  </si>
  <si>
    <t>1、玩家A、B、C、D、E组队，玩家A为队长，队伍里面没有猎人职业
2、与战士代表队进行战斗
3、查看</t>
    <phoneticPr fontId="1" type="noConversion"/>
  </si>
  <si>
    <t>1、玩家A、B、C、D、E组队，玩家A为队长，队伍里面有猎人职业
2、与战士代表队进行战斗
3、查看</t>
    <phoneticPr fontId="1" type="noConversion"/>
  </si>
  <si>
    <t>1、玩家A、B、C、D、E组队，玩家A为队长，队伍里面没有圣骑职业
2、与战士代表队进行战斗
3、查看</t>
    <phoneticPr fontId="1" type="noConversion"/>
  </si>
  <si>
    <t>1、玩家A、B、C、D、E组队，玩家A为队长，队伍里面有圣骑职业
2、与战士代表队进行战斗
3、查看</t>
    <phoneticPr fontId="1" type="noConversion"/>
  </si>
  <si>
    <t>1、玩家A、B、C、D、E组队，玩家A为队长，队伍里面没有德鲁伊职业
2、与战士代表队进行战斗
3、查看</t>
    <phoneticPr fontId="1" type="noConversion"/>
  </si>
  <si>
    <t>1、玩家A、B、C、D、E组队，玩家A为队长，队伍里面有德鲁伊职业
2、与战士代表队进行战斗
3、查看</t>
    <phoneticPr fontId="1" type="noConversion"/>
  </si>
  <si>
    <t>1、玩家A、B、C、D、E组队，玩家A为队长，队伍里面没有萨满职业
2、与战士代表队进行战斗
3、查看</t>
    <phoneticPr fontId="1" type="noConversion"/>
  </si>
  <si>
    <t>1、玩家A、B、C、D、E组队，玩家A为队长，队伍里面有萨满职业
2、与战士代表队进行战斗
3、查看</t>
    <phoneticPr fontId="1" type="noConversion"/>
  </si>
  <si>
    <t>1、玩家A、B、C、D、E组队，玩家A为队长，队伍里面没有术士职业
2、与战士代表队进行战斗
3、查看</t>
    <phoneticPr fontId="1" type="noConversion"/>
  </si>
  <si>
    <t>1、玩家A、B、C、D、E组队，玩家A为队长，队伍里面有术士职业
2、与战士代表队进行战斗
3、查看</t>
    <phoneticPr fontId="1" type="noConversion"/>
  </si>
  <si>
    <t>MT-G-GJSL-107</t>
  </si>
  <si>
    <t>MT-G-GJSL-108</t>
  </si>
  <si>
    <t>MT-G-GJSL-109</t>
  </si>
  <si>
    <t>MT-G-GJSL-110</t>
  </si>
  <si>
    <t>MT-G-GJSL-111</t>
  </si>
  <si>
    <t>MT-G-GJSL-112</t>
  </si>
  <si>
    <t>MT-G-GJSL-113</t>
  </si>
  <si>
    <t>MT-G-GJSL-114</t>
  </si>
  <si>
    <t>MT-G-GJSL-115</t>
  </si>
  <si>
    <t>MT-G-GJSL-116</t>
  </si>
  <si>
    <t>MT-G-GJSL-117</t>
  </si>
  <si>
    <t>MT-G-GJSL-118</t>
  </si>
  <si>
    <t>MT-G-GJSL-119</t>
  </si>
  <si>
    <t>MT-G-GJSL-120</t>
  </si>
  <si>
    <t>MT-G-GJSL-121</t>
  </si>
  <si>
    <t>MT-G-GJSL-122</t>
  </si>
  <si>
    <t>MT-G-GJSL-123</t>
  </si>
  <si>
    <t>MT-G-GJSL-124</t>
  </si>
  <si>
    <t>MT-G-GJSL-125</t>
  </si>
  <si>
    <t>MT-G-GJSL-126</t>
  </si>
  <si>
    <t>MT-G-GJSL-127</t>
  </si>
  <si>
    <t>MT-G-GJSL-128</t>
  </si>
  <si>
    <t>MT-G-GJSL-129</t>
  </si>
  <si>
    <t>法师领袖怪物第一回合不会逃跑</t>
    <phoneticPr fontId="1" type="noConversion"/>
  </si>
  <si>
    <t>法师领袖第1回合释放变羊技能</t>
    <phoneticPr fontId="1" type="noConversion"/>
  </si>
  <si>
    <t>法师领袖战斗到第五回合逃跑</t>
    <phoneticPr fontId="1" type="noConversion"/>
  </si>
  <si>
    <t>法师领袖逃跑时喊话：“记住我给你们的惩罚，我先跑了”</t>
    <phoneticPr fontId="1" type="noConversion"/>
  </si>
  <si>
    <t>法师领袖怪物第一回合逃跑</t>
    <phoneticPr fontId="1" type="noConversion"/>
  </si>
  <si>
    <t>法师领袖逃跑时喊话：“同职业前来闯关，我先退让避嫌”</t>
    <phoneticPr fontId="1" type="noConversion"/>
  </si>
  <si>
    <t>牧师领袖怪物第一回合不会逃跑</t>
    <phoneticPr fontId="1" type="noConversion"/>
  </si>
  <si>
    <t>牧师领袖战斗到第五回合逃跑</t>
    <phoneticPr fontId="1" type="noConversion"/>
  </si>
  <si>
    <t>牧师领袖逃跑时喊话：“记住我给你们的惩罚，我先跑了”</t>
    <phoneticPr fontId="1" type="noConversion"/>
  </si>
  <si>
    <t>牧师领袖怪物第一回合逃跑</t>
    <phoneticPr fontId="1" type="noConversion"/>
  </si>
  <si>
    <t>牧师领袖逃跑时喊话：“同职业前来闯关，我先退让避嫌”</t>
    <phoneticPr fontId="1" type="noConversion"/>
  </si>
  <si>
    <t>盗贼领袖怪物第一回合不会逃跑</t>
    <phoneticPr fontId="1" type="noConversion"/>
  </si>
  <si>
    <t>盗贼领袖第1回合释放剔骨技能</t>
    <phoneticPr fontId="1" type="noConversion"/>
  </si>
  <si>
    <t>盗贼领袖战斗到第五回合逃跑</t>
    <phoneticPr fontId="1" type="noConversion"/>
  </si>
  <si>
    <t>盗贼领袖逃跑时喊话：“记住我给你们的惩罚，我先跑了”</t>
    <phoneticPr fontId="1" type="noConversion"/>
  </si>
  <si>
    <t>盗贼领袖怪物第一回合逃跑</t>
    <phoneticPr fontId="1" type="noConversion"/>
  </si>
  <si>
    <t>盗贼领袖逃跑时喊话：“同职业前来闯关，我先退让避嫌”</t>
    <phoneticPr fontId="1" type="noConversion"/>
  </si>
  <si>
    <t>猎人领袖怪物第一回合不会逃跑</t>
    <phoneticPr fontId="1" type="noConversion"/>
  </si>
  <si>
    <t>猎人领袖战斗到第五回合逃跑</t>
    <phoneticPr fontId="1" type="noConversion"/>
  </si>
  <si>
    <t>猎人领袖逃跑时喊话：“记住我给你们的惩罚，我先跑了”</t>
    <phoneticPr fontId="1" type="noConversion"/>
  </si>
  <si>
    <t>猎人领袖怪物第一回合逃跑</t>
    <phoneticPr fontId="1" type="noConversion"/>
  </si>
  <si>
    <t>猎人领袖逃跑时喊话：“同职业前来闯关，我先退让避嫌”</t>
    <phoneticPr fontId="1" type="noConversion"/>
  </si>
  <si>
    <t>圣骑领袖怪物第一回合不会逃跑</t>
    <phoneticPr fontId="1" type="noConversion"/>
  </si>
  <si>
    <t>圣骑领袖战斗到第五回合逃跑</t>
    <phoneticPr fontId="1" type="noConversion"/>
  </si>
  <si>
    <t>圣骑领袖逃跑时喊话：“记住我给你们的惩罚，我先跑了”</t>
    <phoneticPr fontId="1" type="noConversion"/>
  </si>
  <si>
    <t>圣骑领袖怪物第一回合逃跑</t>
    <phoneticPr fontId="1" type="noConversion"/>
  </si>
  <si>
    <t>圣骑领袖逃跑时喊话：“同职业前来闯关，我先退让避嫌”</t>
    <phoneticPr fontId="1" type="noConversion"/>
  </si>
  <si>
    <t>德鲁伊领袖怪物第一回合不会逃跑</t>
    <phoneticPr fontId="1" type="noConversion"/>
  </si>
  <si>
    <t>德鲁伊领袖战斗到第五回合逃跑</t>
    <phoneticPr fontId="1" type="noConversion"/>
  </si>
  <si>
    <t>德鲁伊领袖逃跑时喊话：“记住我给你们的惩罚，我先跑了”</t>
    <phoneticPr fontId="1" type="noConversion"/>
  </si>
  <si>
    <t>德鲁伊领袖怪物第一回合逃跑</t>
    <phoneticPr fontId="1" type="noConversion"/>
  </si>
  <si>
    <t>德鲁伊领袖逃跑时喊话：“同职业前来闯关，我先退让避嫌”</t>
    <phoneticPr fontId="1" type="noConversion"/>
  </si>
  <si>
    <t>术士领袖怪物第一回合不会逃跑</t>
    <phoneticPr fontId="1" type="noConversion"/>
  </si>
  <si>
    <t>术士领袖第1回合释放沉默诅咒技能</t>
    <phoneticPr fontId="1" type="noConversion"/>
  </si>
  <si>
    <t>术士领袖战斗到第五回合逃跑</t>
    <phoneticPr fontId="1" type="noConversion"/>
  </si>
  <si>
    <t>术士领袖逃跑时喊话：“记住我给你们的惩罚，我先跑了”</t>
    <phoneticPr fontId="1" type="noConversion"/>
  </si>
  <si>
    <t>术士领袖怪物第一回合逃跑</t>
    <phoneticPr fontId="1" type="noConversion"/>
  </si>
  <si>
    <t>术士领袖逃跑时喊话：“同职业前来闯关，我先退让避嫌”</t>
    <phoneticPr fontId="1" type="noConversion"/>
  </si>
  <si>
    <t>萨满领袖怪物第一回合不会逃跑</t>
    <phoneticPr fontId="1" type="noConversion"/>
  </si>
  <si>
    <t>萨满领袖战斗到第五回合逃跑</t>
    <phoneticPr fontId="1" type="noConversion"/>
  </si>
  <si>
    <t>萨满领袖逃跑时喊话：“记住我给你们的惩罚，我先跑了”</t>
    <phoneticPr fontId="1" type="noConversion"/>
  </si>
  <si>
    <t>萨满领袖怪物第一回合逃跑</t>
    <phoneticPr fontId="1" type="noConversion"/>
  </si>
  <si>
    <t>萨满领袖逃跑时喊话：“同职业前来闯关，我先退让避嫌”</t>
    <phoneticPr fontId="1" type="noConversion"/>
  </si>
  <si>
    <t>牧师领袖第1回合释放心灵之火技能</t>
    <phoneticPr fontId="1" type="noConversion"/>
  </si>
  <si>
    <t>MT-G-GJSL-130</t>
  </si>
  <si>
    <t>MT-G-GJSL-131</t>
  </si>
  <si>
    <t>MT-G-GJSL-132</t>
  </si>
  <si>
    <t>MT-G-GJSL-133</t>
  </si>
  <si>
    <t>MT-G-GJSL-134</t>
  </si>
  <si>
    <t>MT-G-GJSL-135</t>
  </si>
  <si>
    <t>MT-G-GJSL-136</t>
  </si>
  <si>
    <t>MT-G-GJSL-137</t>
  </si>
  <si>
    <t>MT-G-GJSL-138</t>
  </si>
  <si>
    <t>MT-G-GJSL-139</t>
  </si>
  <si>
    <t>MT-G-GJSL-140</t>
  </si>
  <si>
    <t>MT-G-GJSL-141</t>
  </si>
  <si>
    <t>MT-G-GJSL-142</t>
  </si>
  <si>
    <t>MT-G-GJSL-143</t>
  </si>
  <si>
    <t>MT-G-GJSL-144</t>
  </si>
  <si>
    <t>MT-G-GJSL-159</t>
  </si>
  <si>
    <t>MT-G-GJSL-160</t>
  </si>
  <si>
    <t>MT-G-GJSL-161</t>
  </si>
  <si>
    <t>MT-G-GJSL-162</t>
  </si>
  <si>
    <t>MT-G-GJSL-163</t>
  </si>
  <si>
    <t>MT-G-GJSL-164</t>
  </si>
  <si>
    <t>MT-G-GJSL-165</t>
  </si>
  <si>
    <t>MT-G-GJSL-166</t>
  </si>
  <si>
    <t>MT-G-GJSL-167</t>
  </si>
  <si>
    <t>MT-G-GJSL-168</t>
  </si>
  <si>
    <t>MT-G-GJSL-169</t>
  </si>
  <si>
    <t>MT-G-GJSL-170</t>
  </si>
  <si>
    <t>MT-G-GJSL-171</t>
  </si>
  <si>
    <t>MT-G-GJSL-172</t>
  </si>
  <si>
    <t>一、入口&amp;出口</t>
    <phoneticPr fontId="6" type="noConversion"/>
  </si>
  <si>
    <t>入口&amp;出口</t>
    <phoneticPr fontId="1" type="noConversion"/>
  </si>
  <si>
    <t>UI界面</t>
    <phoneticPr fontId="1" type="noConversion"/>
  </si>
  <si>
    <t>四、特殊操作</t>
    <phoneticPr fontId="2" type="noConversion"/>
  </si>
  <si>
    <t>特殊操作</t>
    <phoneticPr fontId="1" type="noConversion"/>
  </si>
  <si>
    <t>五、DB储存</t>
    <phoneticPr fontId="2" type="noConversion"/>
  </si>
  <si>
    <t>DB储存</t>
    <phoneticPr fontId="1" type="noConversion"/>
  </si>
  <si>
    <t>萨满领袖第1回合释放狂热图腾技能</t>
    <phoneticPr fontId="1" type="noConversion"/>
  </si>
  <si>
    <t>德鲁伊领袖第1回合释放绿之潮技能</t>
    <phoneticPr fontId="1" type="noConversion"/>
  </si>
  <si>
    <t>圣骑领袖第1回合释放复仇之盾技能</t>
    <phoneticPr fontId="1" type="noConversion"/>
  </si>
  <si>
    <t>猎人领袖第1回合释放多重打击技能</t>
    <phoneticPr fontId="1" type="noConversion"/>
  </si>
  <si>
    <t>1、玩家领取双倍点数后
2、冠军试炼活动战斗
3、查看</t>
    <phoneticPr fontId="1" type="noConversion"/>
  </si>
  <si>
    <t>没有双倍经验、双倍金钱、装备道具奖励</t>
    <phoneticPr fontId="1" type="noConversion"/>
  </si>
  <si>
    <t>1、队伍1和队伍2相同轮数
2、队伍1使用的时候比队伍2长
3、查看</t>
    <phoneticPr fontId="1" type="noConversion"/>
  </si>
  <si>
    <t>队伍2获得奖励</t>
    <phoneticPr fontId="1" type="noConversion"/>
  </si>
  <si>
    <t>韩剑伟/黄兆令</t>
    <phoneticPr fontId="1" type="noConversion"/>
  </si>
  <si>
    <t>1、队伍1和队伍2相同轮数，消耗时间相同，队伍1先领取的任务
2、查看</t>
    <phoneticPr fontId="1" type="noConversion"/>
  </si>
  <si>
    <t>队伍1获得奖励</t>
    <phoneticPr fontId="1" type="noConversion"/>
  </si>
  <si>
    <t>1、周1、3、5晚上20:25
2、等级大于等于40级玩家，处于战斗状态下的玩家
3、查看</t>
    <phoneticPr fontId="1" type="noConversion"/>
  </si>
  <si>
    <t>弹出冠军试炼拉人二级界面</t>
    <phoneticPr fontId="1" type="noConversion"/>
  </si>
  <si>
    <t>战斗期间没有弹出拉人二级界面</t>
    <phoneticPr fontId="1" type="noConversion"/>
  </si>
  <si>
    <t>战斗结束后弹出拉人二级界面</t>
    <phoneticPr fontId="1" type="noConversion"/>
  </si>
  <si>
    <t>弹出闲话提示：“您队伍中的"玩家AXXX"等级还没有达到参赛要求（》=40），请调整队伍后再来。”</t>
    <phoneticPr fontId="1" type="noConversion"/>
  </si>
  <si>
    <t>1、玩家A自己创建了一个队伍
2、点击“【冠军试炼】”服务按钮
3、查看</t>
    <phoneticPr fontId="1" type="noConversion"/>
  </si>
  <si>
    <t>1、玩家A、B、C、D、E组队，玩家A为队长，玩家A、B、C、D、E等级都大于等于40级，玩家D、E处于暂离状态
2、玩家A点击“【冠军试炼】”服务按钮
3、查看</t>
    <phoneticPr fontId="1" type="noConversion"/>
  </si>
  <si>
    <t>1、玩家A、B、C、D、E组队，玩家A为队长，玩家A、B、C、D、E等级都大于等于40级，玩家D、E处于离线状态
2、玩家A点击“【冠军试炼】”服务按钮
3、查看</t>
    <phoneticPr fontId="1" type="noConversion"/>
  </si>
  <si>
    <t>队伍领取任务</t>
    <phoneticPr fontId="1" type="noConversion"/>
  </si>
  <si>
    <t>队伍完成任务</t>
    <phoneticPr fontId="1" type="noConversion"/>
  </si>
  <si>
    <t>战士领袖喊话：“嗨！孙子接受惩罚吧！”</t>
    <phoneticPr fontId="1" type="noConversion"/>
  </si>
  <si>
    <t>法师领袖喊话：“嗨！孙子接受惩罚吧！”</t>
  </si>
  <si>
    <t>牧师领袖喊话：“嗨！孙子接受惩罚吧！”</t>
  </si>
  <si>
    <t>盗贼领袖喊话：“嗨！孙子接受惩罚吧！”</t>
  </si>
  <si>
    <t>猎人领袖喊话：“嗨！孙子接受惩罚吧！”</t>
  </si>
  <si>
    <t>圣骑领袖喊话：“嗨！孙子接受惩罚吧！”</t>
  </si>
  <si>
    <t>德鲁伊领袖喊话：“嗨！孙子接受惩罚吧！”</t>
  </si>
  <si>
    <t>萨满领袖喊话：“嗨！孙子接受惩罚吧！”</t>
  </si>
  <si>
    <t>术士领袖喊话：“嗨！孙子接受惩罚吧！”</t>
  </si>
  <si>
    <t>1、玩家A、B、C、D组队，玩家A为队长，已完成11轮冠军试炼任务，队伍当前名次第一
2、玩家E加入队伍中 ，活动结束
3、查看</t>
    <phoneticPr fontId="1" type="noConversion"/>
  </si>
  <si>
    <t>玩家A、B、C、D发奖</t>
    <phoneticPr fontId="1" type="noConversion"/>
  </si>
  <si>
    <t>玩家E没有奖励</t>
    <phoneticPr fontId="1" type="noConversion"/>
  </si>
  <si>
    <t>MT-G-GJSL-145</t>
  </si>
  <si>
    <t>MT-G-GJSL-146</t>
  </si>
  <si>
    <t>MT-G-GJSL-147</t>
  </si>
  <si>
    <t>MT-G-GJSL-148</t>
  </si>
  <si>
    <t>MT-G-GJSL-149</t>
  </si>
  <si>
    <t>MT-G-GJSL-150</t>
  </si>
  <si>
    <t>MT-G-GJSL-151</t>
  </si>
  <si>
    <t>MT-G-GJSL-152</t>
  </si>
  <si>
    <t>MT-G-GJSL-153</t>
  </si>
  <si>
    <t>MT-G-GJSL-154</t>
  </si>
  <si>
    <t>MT-G-GJSL-155</t>
  </si>
  <si>
    <t>MT-G-GJSL-156</t>
  </si>
  <si>
    <t>MT-G-GJSL-157</t>
  </si>
  <si>
    <t>MT-G-GJSL-158</t>
  </si>
  <si>
    <t>MT-G-GJSL-173</t>
  </si>
  <si>
    <t>MT-G-GJSL-174</t>
  </si>
  <si>
    <t>MT-G-GJSL-175</t>
  </si>
  <si>
    <t>MT-G-GJSL-176</t>
  </si>
  <si>
    <t>MT-G-GJSL-177</t>
  </si>
  <si>
    <t>MT-G-GJSL-178</t>
  </si>
  <si>
    <t>MT-G-GJSL-179</t>
  </si>
  <si>
    <t>MT-G-GJSL-180</t>
  </si>
  <si>
    <t>MT-G-GJSL-181</t>
  </si>
  <si>
    <t>MT-G-GJSL-182</t>
  </si>
  <si>
    <t>MT-G-GJSL-183</t>
  </si>
  <si>
    <t>MT-G-GJSL-186</t>
  </si>
  <si>
    <t>MT-G-GJSL-203</t>
  </si>
  <si>
    <t>MT-G-GJSL-204</t>
  </si>
  <si>
    <t>系统频道刷出获奖排名的队伍信息中没有玩家E的信息</t>
    <phoneticPr fontId="1" type="noConversion"/>
  </si>
  <si>
    <t>1、玩家A、B、C、D组队，玩家A为队长，已完成11轮冠军试炼任务，队伍当前名次第一
2、玩家E加入队伍中 并且同步的队伍冠军试炼环数，活动结束
3、查看</t>
    <phoneticPr fontId="1" type="noConversion"/>
  </si>
  <si>
    <t>玩家A、B、C、D、E都不发奖</t>
  </si>
  <si>
    <t>玩家A、B、C、D、E都不发奖</t>
    <phoneticPr fontId="1" type="noConversion"/>
  </si>
  <si>
    <t>系统频道刷出获奖排名的队伍信息中没有玩家A、B、C、D、E的信息</t>
    <phoneticPr fontId="1" type="noConversion"/>
  </si>
  <si>
    <t>1、玩家A、B、C、D组队，玩家A为队长，已完成11轮冠军试炼任务，队伍当前名次第一
2、玩家E加入队伍中 ，玩家A点击代表队活动NPC【我要挑战】按钮
3、查看</t>
    <phoneticPr fontId="1" type="noConversion"/>
  </si>
  <si>
    <t>玩家A弹出闲话提示界面</t>
    <phoneticPr fontId="1" type="noConversion"/>
  </si>
  <si>
    <t>闲话内容为：“你们的队伍发生了变化，无法挑战。请调整队伍或者到活动使者出重新领取任务。”</t>
    <phoneticPr fontId="1" type="noConversion"/>
  </si>
  <si>
    <t>玩家E弹出同步任务二级确认界面</t>
    <phoneticPr fontId="1" type="noConversion"/>
  </si>
  <si>
    <t>同步任务二级确认界面关闭</t>
    <phoneticPr fontId="1" type="noConversion"/>
  </si>
  <si>
    <t>1、玩家G弹出同步任务二级确认界面后
2、点击【确认】按钮
3、查看</t>
    <phoneticPr fontId="1" type="noConversion"/>
  </si>
  <si>
    <t>1、玩家G弹出同步任务二级确认界面后
2、点击【取消】按钮
3、查看</t>
    <phoneticPr fontId="1" type="noConversion"/>
  </si>
  <si>
    <t>队长收到系统提示信息：“您的队员Gxxx拒绝同步任务”</t>
    <phoneticPr fontId="1" type="noConversion"/>
  </si>
  <si>
    <t>玩家G界面弹出闲话提示界面</t>
    <phoneticPr fontId="1" type="noConversion"/>
  </si>
  <si>
    <t>闲话内容为：“欢迎参加冠军试炼，你们的第4关是xx代表队，点击任务可直接跳转到试炼场景。”</t>
    <phoneticPr fontId="1" type="noConversion"/>
  </si>
  <si>
    <t>1、队伍完成冠军试炼（9/9）挑战后
2、查看</t>
    <phoneticPr fontId="1" type="noConversion"/>
  </si>
  <si>
    <t>队伍玩家任务面板任务变为：“冠军试炼-找到吉安娜“</t>
    <phoneticPr fontId="1" type="noConversion"/>
  </si>
  <si>
    <t>1、玩家A无队伍
2、点击“【冠军试炼】”服务按钮
3、查看</t>
    <phoneticPr fontId="1" type="noConversion"/>
  </si>
  <si>
    <t>1、玩家通过点击任务“冠军试炼-找到吉安娜“回到紫罗兰
2、点击“【冠军试炼】”服务按钮
3、查看</t>
    <phoneticPr fontId="1" type="noConversion"/>
  </si>
  <si>
    <t>活动面板计数显示次数为10/-</t>
    <phoneticPr fontId="1" type="noConversion"/>
  </si>
  <si>
    <t>队伍成员任务面板任务变成：”冠军试炼-挑战xxx代表队（1/9）“</t>
    <phoneticPr fontId="1" type="noConversion"/>
  </si>
  <si>
    <t>队长收到系统提示信息：“您的队员Gxxx已同步任务”</t>
    <phoneticPr fontId="1" type="noConversion"/>
  </si>
  <si>
    <t>1、玩家A、B、C、D组队，玩家A为队长，已完成11轮冠军试炼任务，队伍当前名次第一
2、玩家D离开队伍，活动结束
3、查看</t>
    <phoneticPr fontId="1" type="noConversion"/>
  </si>
  <si>
    <t>1、玩家A、B、C、D组队，玩家A为队长，已完成11轮冠军试炼任务，队伍当前名次第一
2、玩家D离开队伍，队伍胜利了一场战斗，活动结束
3、查看</t>
    <phoneticPr fontId="1" type="noConversion"/>
  </si>
  <si>
    <t>玩家A、B、C、</t>
    <phoneticPr fontId="1" type="noConversion"/>
  </si>
  <si>
    <t>玩家D没有奖励</t>
    <phoneticPr fontId="1" type="noConversion"/>
  </si>
  <si>
    <t>系统频道刷出获奖排名的队伍信息中没有玩家D的信息</t>
    <phoneticPr fontId="1" type="noConversion"/>
  </si>
  <si>
    <t>1、玩家A、B、C、D组队，玩家A为队长，已完成11轮冠军试炼任务，队伍当前名次第一
2、玩家D离开队伍，玩家E加入队伍，活动结束
3、查看</t>
    <phoneticPr fontId="1" type="noConversion"/>
  </si>
  <si>
    <t>1、玩家A、B、C、D组队，玩家A为队长，已完成11轮冠军试炼任务，队伍当前名次第一
2、玩家D离开队伍，玩家E加入队伍，队伍胜利了一场战斗，活动结束
3、查看</t>
    <phoneticPr fontId="1" type="noConversion"/>
  </si>
  <si>
    <t>队伍发生变跟轮数为1</t>
    <phoneticPr fontId="1" type="noConversion"/>
  </si>
  <si>
    <t>1、玩家A、B、C、D组队，玩家A为队长，已完成11轮冠军试炼任务，队伍当前名次第一
2、玩家A解散队伍，活动结束
3、查看</t>
    <phoneticPr fontId="1" type="noConversion"/>
  </si>
  <si>
    <t>1、玩家A、B、C、D组队，玩家A为队长，已完成11轮冠军试炼任务，队伍当前名次第一
2、玩家B、C、D全部暂离队伍，活动结束
3、查看</t>
    <phoneticPr fontId="1" type="noConversion"/>
  </si>
  <si>
    <t>1、玩家进行冠军试炼中
2、断线重连
3、查看</t>
    <phoneticPr fontId="1" type="noConversion"/>
  </si>
  <si>
    <t>1、玩家进行冠军试炼中
2、下线再上线
3、查看</t>
    <phoneticPr fontId="1" type="noConversion"/>
  </si>
  <si>
    <t>1、玩家进行冠军试炼中
2、服务器重启
3、查看</t>
    <phoneticPr fontId="1" type="noConversion"/>
  </si>
  <si>
    <t>1、玩家进行冠军试炼中
2、服务器崩溃后重启
3、查看</t>
    <phoneticPr fontId="1" type="noConversion"/>
  </si>
  <si>
    <t>1、玩家进行冠军试炼中
2、服务器宕机后重启
3、查看</t>
    <phoneticPr fontId="1" type="noConversion"/>
  </si>
  <si>
    <t>依然在冠军试炼中</t>
    <phoneticPr fontId="1" type="noConversion"/>
  </si>
  <si>
    <t>1、玩家已进行冠军试炼个人10/-
2、被队长踢出队伍
3、查看</t>
    <phoneticPr fontId="1" type="noConversion"/>
  </si>
  <si>
    <t>MT-G-GJSL-187</t>
  </si>
  <si>
    <t>MT-G-GJSL-188</t>
  </si>
  <si>
    <t>MT-G-GJSL-189</t>
  </si>
  <si>
    <t>MT-G-GJSL-190</t>
  </si>
  <si>
    <t>MT-G-GJSL-191</t>
  </si>
  <si>
    <t>MT-G-GJSL-192</t>
  </si>
  <si>
    <t>MT-G-GJSL-193</t>
  </si>
  <si>
    <t>MT-G-GJSL-194</t>
  </si>
  <si>
    <t>MT-G-GJSL-195</t>
  </si>
  <si>
    <t>冠军试炼活动重新开启</t>
    <phoneticPr fontId="1" type="noConversion"/>
  </si>
  <si>
    <t>1、周2、4、6、7
2、查看活动面板</t>
    <phoneticPr fontId="1" type="noConversion"/>
  </si>
  <si>
    <t>限时活动没有冠军试炼活动显示</t>
    <phoneticPr fontId="1" type="noConversion"/>
  </si>
  <si>
    <t>查看队伍设置界面</t>
    <phoneticPr fontId="1" type="noConversion"/>
  </si>
  <si>
    <t>定时活动里面有冠军试炼选项</t>
    <phoneticPr fontId="1" type="noConversion"/>
  </si>
  <si>
    <t>等级下限为45</t>
    <phoneticPr fontId="1" type="noConversion"/>
  </si>
  <si>
    <t>进入条件和开放时间描述正确</t>
    <phoneticPr fontId="1" type="noConversion"/>
  </si>
  <si>
    <t>MT-G-GJSL-196</t>
  </si>
  <si>
    <t>MT-G-GJSL-197</t>
  </si>
  <si>
    <t>MT-G-GJSL-198</t>
  </si>
  <si>
    <t>MT-G-GJSL-199</t>
  </si>
  <si>
    <t>交互界面菜单服务按钮依次显示：【冠军试炼】、【便捷组队】</t>
    <phoneticPr fontId="1" type="noConversion"/>
  </si>
  <si>
    <t>交互界面菜单服务按钮依次显示：【我要挑战】</t>
    <phoneticPr fontId="1" type="noConversion"/>
  </si>
  <si>
    <t>1、玩家为队长
2、点击【便捷组队】按钮
3、查看</t>
    <phoneticPr fontId="1" type="noConversion"/>
  </si>
  <si>
    <t>1、玩家没有队伍
2、点击【便捷组队】按钮
3、查看</t>
    <phoneticPr fontId="1" type="noConversion"/>
  </si>
  <si>
    <t>打开队伍”调整目标“界面</t>
    <phoneticPr fontId="1" type="noConversion"/>
  </si>
  <si>
    <t>定位为定时活动”冠军试炼“</t>
    <phoneticPr fontId="1" type="noConversion"/>
  </si>
  <si>
    <t>最低限制等级为40级</t>
    <phoneticPr fontId="1" type="noConversion"/>
  </si>
  <si>
    <t>打开”队伍“界面</t>
    <phoneticPr fontId="1" type="noConversion"/>
  </si>
  <si>
    <t>显示当前已发布冠军试炼自动匹配的任务</t>
    <phoneticPr fontId="1" type="noConversion"/>
  </si>
  <si>
    <t>MT-G-GJSL-202</t>
  </si>
  <si>
    <t>周学强</t>
    <phoneticPr fontId="1" type="noConversion"/>
  </si>
  <si>
    <t>0.0.77PC版本</t>
    <phoneticPr fontId="1" type="noConversion"/>
  </si>
  <si>
    <t>1、周1、3、5晚上20:25
2、等级大于等于40级玩家，处于非战斗状态下的玩家
3、查看</t>
    <phoneticPr fontId="1" type="noConversion"/>
  </si>
  <si>
    <t>P</t>
    <phoneticPr fontId="2" type="noConversion"/>
  </si>
  <si>
    <t>1、玩家在冠军试炼活动期间
2、升级到40级
3、查看</t>
    <phoneticPr fontId="1" type="noConversion"/>
  </si>
  <si>
    <t>F</t>
    <phoneticPr fontId="2" type="noConversion"/>
  </si>
  <si>
    <t>MTG-8761</t>
  </si>
  <si>
    <t>1、点击紫罗兰冠军试炼活动NPC“吉安娜”
2、查看</t>
    <phoneticPr fontId="1" type="noConversion"/>
  </si>
  <si>
    <t>MTG-9063</t>
  </si>
  <si>
    <t>MTG-9062</t>
    <phoneticPr fontId="1" type="noConversion"/>
  </si>
  <si>
    <t>B</t>
    <phoneticPr fontId="1" type="noConversion"/>
  </si>
  <si>
    <t>MT-G-GJSL-036</t>
  </si>
  <si>
    <t>MT-G-GJSL-037</t>
    <phoneticPr fontId="1" type="noConversion"/>
  </si>
  <si>
    <t>MT-G-GJSL-060</t>
  </si>
  <si>
    <t>MT-G-GJSL-061</t>
    <phoneticPr fontId="1" type="noConversion"/>
  </si>
  <si>
    <t>MT-G-GJSL-184</t>
  </si>
  <si>
    <t>MT-G-GJSL-185</t>
    <phoneticPr fontId="1" type="noConversion"/>
  </si>
  <si>
    <t>MT-G-GJSL-200</t>
  </si>
  <si>
    <t>MT-G-GJSL-201</t>
    <phoneticPr fontId="1" type="noConversion"/>
  </si>
  <si>
    <t>MT-G-GJSL-205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</si>
</sst>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sz val="9"/>
      <name val="宋体"/>
      <family val="3"/>
      <charset val="134"/>
    </font>
    <font>
      <sz val="10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rgb="FF0000FF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0"/>
      <color indexed="12"/>
      <name val="微软雅黑"/>
      <family val="2"/>
      <charset val="134"/>
    </font>
    <font>
      <sz val="10"/>
      <color indexed="10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1"/>
      <name val="微软雅黑"/>
      <family val="2"/>
      <charset val="134"/>
    </font>
    <font>
      <sz val="11"/>
      <color indexed="10"/>
      <name val="微软雅黑"/>
      <family val="2"/>
      <charset val="134"/>
    </font>
    <font>
      <b/>
      <sz val="10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u/>
      <sz val="11"/>
      <color theme="10"/>
      <name val="宋体"/>
      <family val="2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1" fillId="0" borderId="0"/>
    <xf numFmtId="0" fontId="20" fillId="0" borderId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7" fillId="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0" borderId="1" xfId="0" applyFont="1" applyBorder="1">
      <alignment vertical="center"/>
    </xf>
    <xf numFmtId="0" fontId="7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4" fillId="0" borderId="0" xfId="0" applyFont="1" applyBorder="1">
      <alignment vertical="center"/>
    </xf>
    <xf numFmtId="0" fontId="3" fillId="0" borderId="0" xfId="0" applyFont="1" applyBorder="1">
      <alignment vertical="center"/>
    </xf>
    <xf numFmtId="49" fontId="7" fillId="0" borderId="2" xfId="0" applyNumberFormat="1" applyFont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13" fillId="0" borderId="1" xfId="0" applyFont="1" applyBorder="1">
      <alignment vertical="center"/>
    </xf>
    <xf numFmtId="0" fontId="14" fillId="0" borderId="1" xfId="0" applyFont="1" applyBorder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vertical="center" wrapText="1"/>
    </xf>
    <xf numFmtId="0" fontId="15" fillId="5" borderId="1" xfId="0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16" fillId="0" borderId="1" xfId="0" applyFont="1" applyBorder="1">
      <alignment vertical="center"/>
    </xf>
    <xf numFmtId="0" fontId="17" fillId="0" borderId="1" xfId="0" applyFont="1" applyBorder="1">
      <alignment vertical="center"/>
    </xf>
    <xf numFmtId="0" fontId="7" fillId="0" borderId="0" xfId="0" applyFont="1" applyBorder="1">
      <alignment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19" fillId="0" borderId="0" xfId="0" applyFont="1" applyBorder="1">
      <alignment vertical="center"/>
    </xf>
    <xf numFmtId="0" fontId="19" fillId="0" borderId="1" xfId="0" applyFont="1" applyBorder="1">
      <alignment vertical="center"/>
    </xf>
    <xf numFmtId="0" fontId="7" fillId="0" borderId="0" xfId="0" applyFont="1">
      <alignment vertical="center"/>
    </xf>
    <xf numFmtId="0" fontId="18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vertical="center" wrapText="1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>
      <alignment vertical="center"/>
    </xf>
    <xf numFmtId="14" fontId="7" fillId="0" borderId="1" xfId="0" applyNumberFormat="1" applyFont="1" applyBorder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1" xfId="1" applyFont="1" applyBorder="1" applyAlignment="1">
      <alignment vertical="center"/>
    </xf>
    <xf numFmtId="0" fontId="7" fillId="0" borderId="4" xfId="1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left" vertical="center"/>
    </xf>
    <xf numFmtId="0" fontId="7" fillId="10" borderId="3" xfId="0" applyFont="1" applyFill="1" applyBorder="1" applyAlignment="1">
      <alignment horizontal="left" vertical="center"/>
    </xf>
    <xf numFmtId="0" fontId="7" fillId="10" borderId="7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2" fillId="0" borderId="1" xfId="3" applyBorder="1" applyAlignment="1">
      <alignment horizontal="center" vertical="center"/>
    </xf>
    <xf numFmtId="0" fontId="22" fillId="0" borderId="1" xfId="3" applyBorder="1">
      <alignment vertical="center"/>
    </xf>
  </cellXfs>
  <cellStyles count="4">
    <cellStyle name="常规" xfId="0" builtinId="0"/>
    <cellStyle name="常规 2" xfId="2"/>
    <cellStyle name="常规 3" xfId="1"/>
    <cellStyle name="超链接" xfId="3" builtinId="8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2</xdr:row>
          <xdr:rowOff>19050</xdr:rowOff>
        </xdr:from>
        <xdr:to>
          <xdr:col>7</xdr:col>
          <xdr:colOff>666750</xdr:colOff>
          <xdr:row>24</xdr:row>
          <xdr:rowOff>161925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92.168.29.162:8080/browse/MTG-9063" TargetMode="External"/><Relationship Id="rId1" Type="http://schemas.openxmlformats.org/officeDocument/2006/relationships/hyperlink" Target="http://192.168.29.162:8080/browse/MTG-876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L1112"/>
  <sheetViews>
    <sheetView tabSelected="1" zoomScaleNormal="100" workbookViewId="0">
      <pane ySplit="6" topLeftCell="A62" activePane="bottomLeft" state="frozen"/>
      <selection pane="bottomLeft" activeCell="B217" sqref="B217:B221"/>
    </sheetView>
  </sheetViews>
  <sheetFormatPr defaultRowHeight="16.5" x14ac:dyDescent="0.15"/>
  <cols>
    <col min="1" max="1" width="10.5" style="8" customWidth="1"/>
    <col min="2" max="2" width="15" style="8" customWidth="1"/>
    <col min="3" max="3" width="66" style="8" customWidth="1"/>
    <col min="4" max="4" width="75.25" style="8" customWidth="1"/>
    <col min="5" max="6" width="9" style="8"/>
    <col min="7" max="7" width="10.75" style="56" customWidth="1"/>
    <col min="8" max="8" width="9.125" style="16" customWidth="1"/>
    <col min="9" max="9" width="9" style="8"/>
    <col min="10" max="10" width="15.625" style="31" customWidth="1"/>
    <col min="11" max="220" width="9" style="35"/>
    <col min="221" max="16384" width="9" style="8"/>
  </cols>
  <sheetData>
    <row r="1" spans="1:220" s="40" customFormat="1" ht="21" x14ac:dyDescent="0.15">
      <c r="A1" s="72" t="s">
        <v>37</v>
      </c>
      <c r="B1" s="73"/>
      <c r="C1" s="73"/>
      <c r="D1" s="73"/>
      <c r="E1" s="73"/>
      <c r="F1" s="73"/>
      <c r="G1" s="73"/>
      <c r="H1" s="73"/>
      <c r="I1" s="74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E1" s="39"/>
      <c r="FF1" s="39"/>
      <c r="FG1" s="39"/>
      <c r="FH1" s="39"/>
      <c r="FI1" s="39"/>
      <c r="FJ1" s="39"/>
      <c r="FK1" s="39"/>
      <c r="FL1" s="39"/>
      <c r="FM1" s="39"/>
      <c r="FN1" s="39"/>
      <c r="FO1" s="39"/>
      <c r="FP1" s="39"/>
      <c r="FQ1" s="39"/>
      <c r="FR1" s="39"/>
      <c r="FS1" s="39"/>
      <c r="FT1" s="39"/>
      <c r="FU1" s="39"/>
      <c r="FV1" s="39"/>
      <c r="FW1" s="39"/>
      <c r="FX1" s="39"/>
      <c r="FY1" s="39"/>
      <c r="FZ1" s="39"/>
      <c r="GA1" s="39"/>
      <c r="GB1" s="39"/>
      <c r="GC1" s="39"/>
      <c r="GD1" s="39"/>
      <c r="GE1" s="39"/>
      <c r="GF1" s="39"/>
      <c r="GG1" s="39"/>
      <c r="GH1" s="39"/>
      <c r="GI1" s="39"/>
      <c r="GJ1" s="39"/>
      <c r="GK1" s="39"/>
      <c r="GL1" s="39"/>
      <c r="GM1" s="39"/>
      <c r="GN1" s="39"/>
      <c r="GO1" s="39"/>
      <c r="GP1" s="39"/>
      <c r="GQ1" s="39"/>
      <c r="GR1" s="39"/>
      <c r="GS1" s="39"/>
      <c r="GT1" s="39"/>
      <c r="GU1" s="39"/>
      <c r="GV1" s="39"/>
      <c r="GW1" s="39"/>
      <c r="GX1" s="39"/>
      <c r="GY1" s="39"/>
      <c r="GZ1" s="39"/>
      <c r="HA1" s="39"/>
      <c r="HB1" s="39"/>
      <c r="HC1" s="39"/>
      <c r="HD1" s="39"/>
      <c r="HE1" s="39"/>
      <c r="HF1" s="39"/>
      <c r="HG1" s="39"/>
      <c r="HH1" s="39"/>
      <c r="HI1" s="39"/>
      <c r="HJ1" s="39"/>
      <c r="HK1" s="39"/>
      <c r="HL1" s="39"/>
    </row>
    <row r="2" spans="1:220" x14ac:dyDescent="0.15">
      <c r="A2" s="2" t="s">
        <v>6</v>
      </c>
      <c r="B2" s="26" t="s">
        <v>38</v>
      </c>
      <c r="C2" s="3" t="s">
        <v>7</v>
      </c>
      <c r="D2" s="4" t="s">
        <v>8</v>
      </c>
      <c r="E2" s="75" t="s">
        <v>9</v>
      </c>
      <c r="F2" s="75"/>
      <c r="G2" s="57">
        <v>1</v>
      </c>
      <c r="H2" s="20">
        <v>2</v>
      </c>
      <c r="I2" s="27">
        <v>3</v>
      </c>
      <c r="J2" s="28" t="s">
        <v>10</v>
      </c>
      <c r="K2" s="22" t="s">
        <v>11</v>
      </c>
      <c r="L2" s="22">
        <f>SUM(L3:L6)</f>
        <v>205</v>
      </c>
      <c r="M2" s="22">
        <f>SUM(M3:M6)</f>
        <v>0</v>
      </c>
      <c r="N2" s="22">
        <f>SUM(N3:N6)</f>
        <v>0</v>
      </c>
      <c r="O2" s="22">
        <f>SUM(O3:O6)</f>
        <v>205</v>
      </c>
      <c r="P2" s="22">
        <f>SUM(P3:P6)</f>
        <v>0</v>
      </c>
    </row>
    <row r="3" spans="1:220" x14ac:dyDescent="0.15">
      <c r="A3" s="2" t="s">
        <v>12</v>
      </c>
      <c r="B3" s="5">
        <v>42419</v>
      </c>
      <c r="C3" s="6" t="s">
        <v>13</v>
      </c>
      <c r="D3" s="7" t="s">
        <v>14</v>
      </c>
      <c r="E3" s="76" t="s">
        <v>15</v>
      </c>
      <c r="F3" s="76"/>
      <c r="G3" s="5">
        <v>42453</v>
      </c>
      <c r="H3" s="19"/>
      <c r="I3" s="37"/>
      <c r="J3" s="29"/>
      <c r="K3" s="23" t="s">
        <v>478</v>
      </c>
      <c r="L3" s="22">
        <f>COUNTIF(G:G,"P")</f>
        <v>200</v>
      </c>
      <c r="M3" s="22">
        <f>COUNTIF(H:H,"P")</f>
        <v>0</v>
      </c>
      <c r="N3" s="22">
        <f>COUNTIF(F:F,"P")</f>
        <v>0</v>
      </c>
      <c r="O3" s="22">
        <f>COUNTIF(G:G,"P")</f>
        <v>200</v>
      </c>
      <c r="P3" s="22">
        <f>COUNTIF(H:H,"P")</f>
        <v>0</v>
      </c>
    </row>
    <row r="4" spans="1:220" x14ac:dyDescent="0.15">
      <c r="A4" s="8" t="s">
        <v>16</v>
      </c>
      <c r="B4" s="26" t="s">
        <v>353</v>
      </c>
      <c r="C4" s="9" t="s">
        <v>17</v>
      </c>
      <c r="D4" s="10" t="s">
        <v>18</v>
      </c>
      <c r="E4" s="76" t="s">
        <v>19</v>
      </c>
      <c r="F4" s="76"/>
      <c r="G4" s="36" t="s">
        <v>476</v>
      </c>
      <c r="H4" s="19"/>
      <c r="I4" s="37"/>
      <c r="J4" s="29"/>
      <c r="K4" s="24" t="s">
        <v>480</v>
      </c>
      <c r="L4" s="22">
        <f>COUNTIF(G:G,"F")</f>
        <v>3</v>
      </c>
      <c r="M4" s="22">
        <f>COUNTIF(E:E,"F")</f>
        <v>0</v>
      </c>
      <c r="N4" s="22">
        <f>COUNTIF(F:F,"F")</f>
        <v>0</v>
      </c>
      <c r="O4" s="22">
        <f>COUNTIF(G:G,"F")</f>
        <v>3</v>
      </c>
      <c r="P4" s="22">
        <f>COUNTIF(H:H,"F")</f>
        <v>0</v>
      </c>
    </row>
    <row r="5" spans="1:220" ht="13.5" customHeight="1" x14ac:dyDescent="0.15">
      <c r="A5" s="8" t="s">
        <v>21</v>
      </c>
      <c r="B5" s="26" t="s">
        <v>39</v>
      </c>
      <c r="C5" s="11" t="s">
        <v>22</v>
      </c>
      <c r="D5" s="12" t="s">
        <v>23</v>
      </c>
      <c r="E5" s="76" t="s">
        <v>24</v>
      </c>
      <c r="F5" s="76"/>
      <c r="G5" s="36" t="s">
        <v>475</v>
      </c>
      <c r="H5" s="19"/>
      <c r="I5" s="37"/>
      <c r="J5" s="29"/>
      <c r="K5" s="22" t="s">
        <v>25</v>
      </c>
      <c r="L5" s="22">
        <f>COUNTIF(G:G,"B")</f>
        <v>2</v>
      </c>
      <c r="M5" s="22">
        <f>COUNTIF(E:E,"B")</f>
        <v>0</v>
      </c>
      <c r="N5" s="22">
        <f>COUNTIF(F:F,"B")</f>
        <v>0</v>
      </c>
      <c r="O5" s="22">
        <f>COUNTIF(G:G,"B")</f>
        <v>2</v>
      </c>
      <c r="P5" s="22">
        <f>COUNTIF(H:H,"B")</f>
        <v>0</v>
      </c>
    </row>
    <row r="6" spans="1:220" x14ac:dyDescent="0.15">
      <c r="A6" s="77" t="s">
        <v>32</v>
      </c>
      <c r="B6" s="78"/>
      <c r="C6" s="78"/>
      <c r="D6" s="78"/>
      <c r="E6" s="78"/>
      <c r="F6" s="78"/>
      <c r="G6" s="78"/>
      <c r="H6" s="78"/>
      <c r="I6" s="78"/>
      <c r="J6" s="79"/>
      <c r="K6" s="8" t="s">
        <v>26</v>
      </c>
      <c r="L6" s="22">
        <f>COUNTIF(G:G,"/")</f>
        <v>0</v>
      </c>
      <c r="M6" s="22">
        <f>COUNTIF(E:E,"/")</f>
        <v>0</v>
      </c>
      <c r="N6" s="22">
        <f>COUNTIF(F:F,"/")</f>
        <v>0</v>
      </c>
      <c r="O6" s="22">
        <f>COUNTIF(G:G,"/")</f>
        <v>0</v>
      </c>
      <c r="P6" s="22">
        <f>COUNTIF(H:H,"/")</f>
        <v>0</v>
      </c>
    </row>
    <row r="7" spans="1:220" s="21" customFormat="1" x14ac:dyDescent="0.15">
      <c r="A7" s="80" t="s">
        <v>338</v>
      </c>
      <c r="B7" s="81"/>
      <c r="C7" s="81"/>
      <c r="D7" s="81"/>
      <c r="E7" s="81"/>
      <c r="F7" s="81"/>
      <c r="G7" s="81"/>
      <c r="H7" s="81"/>
      <c r="I7" s="81"/>
      <c r="J7" s="82"/>
      <c r="K7" s="34" t="s">
        <v>1</v>
      </c>
      <c r="L7" s="33">
        <v>0</v>
      </c>
      <c r="M7" s="33"/>
      <c r="N7" s="33"/>
      <c r="O7" s="33"/>
      <c r="P7" s="33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</row>
    <row r="8" spans="1:220" x14ac:dyDescent="0.15">
      <c r="A8" s="13" t="s">
        <v>27</v>
      </c>
      <c r="B8" s="25" t="s">
        <v>28</v>
      </c>
      <c r="C8" s="14" t="s">
        <v>0</v>
      </c>
      <c r="D8" s="7" t="s">
        <v>29</v>
      </c>
      <c r="E8" s="25" t="s">
        <v>30</v>
      </c>
      <c r="F8" s="25" t="s">
        <v>31</v>
      </c>
      <c r="G8" s="64" t="s">
        <v>34</v>
      </c>
      <c r="H8" s="64"/>
      <c r="I8" s="64"/>
      <c r="J8" s="30" t="s">
        <v>10</v>
      </c>
    </row>
    <row r="9" spans="1:220" ht="16.5" customHeight="1" x14ac:dyDescent="0.15">
      <c r="A9" s="69" t="s">
        <v>339</v>
      </c>
      <c r="B9" s="26" t="s">
        <v>40</v>
      </c>
      <c r="C9" s="58" t="s">
        <v>477</v>
      </c>
      <c r="D9" s="8" t="s">
        <v>357</v>
      </c>
      <c r="G9" s="85" t="s">
        <v>478</v>
      </c>
    </row>
    <row r="10" spans="1:220" ht="16.5" customHeight="1" x14ac:dyDescent="0.15">
      <c r="A10" s="70"/>
      <c r="B10" s="56" t="s">
        <v>41</v>
      </c>
      <c r="C10" s="66"/>
      <c r="D10" s="8" t="s">
        <v>51</v>
      </c>
      <c r="G10" s="85" t="s">
        <v>478</v>
      </c>
    </row>
    <row r="11" spans="1:220" ht="16.5" customHeight="1" x14ac:dyDescent="0.15">
      <c r="A11" s="70"/>
      <c r="B11" s="56" t="s">
        <v>42</v>
      </c>
      <c r="C11" s="66"/>
      <c r="D11" s="8" t="s">
        <v>112</v>
      </c>
      <c r="G11" s="85" t="s">
        <v>478</v>
      </c>
    </row>
    <row r="12" spans="1:220" ht="16.5" customHeight="1" x14ac:dyDescent="0.15">
      <c r="A12" s="70"/>
      <c r="B12" s="56" t="s">
        <v>43</v>
      </c>
      <c r="C12" s="68"/>
      <c r="D12" s="8" t="s">
        <v>110</v>
      </c>
      <c r="G12" s="85" t="s">
        <v>478</v>
      </c>
    </row>
    <row r="13" spans="1:220" ht="16.5" customHeight="1" x14ac:dyDescent="0.15">
      <c r="A13" s="70"/>
      <c r="B13" s="56" t="s">
        <v>44</v>
      </c>
      <c r="C13" s="58" t="s">
        <v>356</v>
      </c>
      <c r="D13" s="8" t="s">
        <v>358</v>
      </c>
      <c r="G13" s="85" t="s">
        <v>478</v>
      </c>
    </row>
    <row r="14" spans="1:220" ht="16.5" customHeight="1" x14ac:dyDescent="0.15">
      <c r="A14" s="70"/>
      <c r="B14" s="56" t="s">
        <v>45</v>
      </c>
      <c r="C14" s="66"/>
      <c r="D14" s="8" t="s">
        <v>359</v>
      </c>
      <c r="G14" s="85" t="s">
        <v>478</v>
      </c>
    </row>
    <row r="15" spans="1:220" ht="16.5" customHeight="1" x14ac:dyDescent="0.15">
      <c r="A15" s="70"/>
      <c r="B15" s="56" t="s">
        <v>46</v>
      </c>
      <c r="C15" s="66"/>
      <c r="D15" s="8" t="s">
        <v>51</v>
      </c>
      <c r="G15" s="85" t="s">
        <v>478</v>
      </c>
    </row>
    <row r="16" spans="1:220" ht="16.5" customHeight="1" x14ac:dyDescent="0.15">
      <c r="A16" s="70"/>
      <c r="B16" s="56" t="s">
        <v>49</v>
      </c>
      <c r="C16" s="66"/>
      <c r="D16" s="8" t="s">
        <v>112</v>
      </c>
      <c r="G16" s="85" t="s">
        <v>478</v>
      </c>
    </row>
    <row r="17" spans="1:10" ht="16.5" customHeight="1" x14ac:dyDescent="0.15">
      <c r="A17" s="70"/>
      <c r="B17" s="56" t="s">
        <v>50</v>
      </c>
      <c r="C17" s="68"/>
      <c r="D17" s="8" t="s">
        <v>110</v>
      </c>
      <c r="G17" s="85" t="s">
        <v>478</v>
      </c>
    </row>
    <row r="18" spans="1:10" ht="16.5" customHeight="1" x14ac:dyDescent="0.15">
      <c r="A18" s="70"/>
      <c r="B18" s="56" t="s">
        <v>59</v>
      </c>
      <c r="C18" s="58" t="s">
        <v>187</v>
      </c>
      <c r="D18" s="8" t="s">
        <v>51</v>
      </c>
      <c r="G18" s="85" t="s">
        <v>478</v>
      </c>
    </row>
    <row r="19" spans="1:10" ht="16.5" customHeight="1" x14ac:dyDescent="0.15">
      <c r="A19" s="70"/>
      <c r="B19" s="56" t="s">
        <v>60</v>
      </c>
      <c r="C19" s="59"/>
      <c r="D19" s="8" t="s">
        <v>47</v>
      </c>
      <c r="G19" s="85" t="s">
        <v>478</v>
      </c>
    </row>
    <row r="20" spans="1:10" ht="16.5" customHeight="1" x14ac:dyDescent="0.15">
      <c r="A20" s="70"/>
      <c r="B20" s="56" t="s">
        <v>61</v>
      </c>
      <c r="C20" s="68"/>
      <c r="D20" s="8" t="s">
        <v>110</v>
      </c>
      <c r="G20" s="85" t="s">
        <v>478</v>
      </c>
    </row>
    <row r="21" spans="1:10" ht="48" customHeight="1" x14ac:dyDescent="0.15">
      <c r="A21" s="70"/>
      <c r="B21" s="56" t="s">
        <v>62</v>
      </c>
      <c r="C21" s="1" t="s">
        <v>93</v>
      </c>
      <c r="D21" s="8" t="s">
        <v>48</v>
      </c>
      <c r="G21" s="85" t="s">
        <v>478</v>
      </c>
    </row>
    <row r="22" spans="1:10" ht="48" customHeight="1" x14ac:dyDescent="0.15">
      <c r="A22" s="70"/>
      <c r="B22" s="56" t="s">
        <v>63</v>
      </c>
      <c r="C22" s="1" t="s">
        <v>479</v>
      </c>
      <c r="D22" s="8" t="s">
        <v>48</v>
      </c>
      <c r="G22" s="85" t="s">
        <v>478</v>
      </c>
    </row>
    <row r="23" spans="1:10" ht="49.5" customHeight="1" x14ac:dyDescent="0.15">
      <c r="A23" s="70"/>
      <c r="B23" s="56" t="s">
        <v>64</v>
      </c>
      <c r="C23" s="1" t="s">
        <v>94</v>
      </c>
      <c r="D23" s="8" t="s">
        <v>95</v>
      </c>
      <c r="G23" s="85" t="s">
        <v>478</v>
      </c>
    </row>
    <row r="24" spans="1:10" ht="16.5" customHeight="1" x14ac:dyDescent="0.15">
      <c r="A24" s="70"/>
      <c r="B24" s="56" t="s">
        <v>65</v>
      </c>
      <c r="C24" s="58" t="s">
        <v>188</v>
      </c>
      <c r="D24" s="8" t="s">
        <v>53</v>
      </c>
      <c r="G24" s="87" t="s">
        <v>20</v>
      </c>
      <c r="J24" s="88" t="s">
        <v>481</v>
      </c>
    </row>
    <row r="25" spans="1:10" ht="16.5" customHeight="1" x14ac:dyDescent="0.15">
      <c r="A25" s="70"/>
      <c r="B25" s="56" t="s">
        <v>66</v>
      </c>
      <c r="C25" s="60"/>
      <c r="D25" s="8" t="s">
        <v>52</v>
      </c>
      <c r="G25" s="85" t="s">
        <v>478</v>
      </c>
    </row>
    <row r="26" spans="1:10" ht="16.5" customHeight="1" x14ac:dyDescent="0.15">
      <c r="A26" s="70"/>
      <c r="B26" s="56" t="s">
        <v>67</v>
      </c>
      <c r="C26" s="58" t="s">
        <v>55</v>
      </c>
      <c r="D26" s="8" t="s">
        <v>53</v>
      </c>
      <c r="G26" s="85" t="s">
        <v>478</v>
      </c>
    </row>
    <row r="27" spans="1:10" ht="16.5" customHeight="1" x14ac:dyDescent="0.15">
      <c r="A27" s="70"/>
      <c r="B27" s="56" t="s">
        <v>71</v>
      </c>
      <c r="C27" s="60"/>
      <c r="D27" s="8" t="s">
        <v>54</v>
      </c>
      <c r="G27" s="85" t="s">
        <v>478</v>
      </c>
    </row>
    <row r="28" spans="1:10" ht="25.5" customHeight="1" x14ac:dyDescent="0.15">
      <c r="A28" s="70"/>
      <c r="B28" s="56" t="s">
        <v>72</v>
      </c>
      <c r="C28" s="58" t="s">
        <v>56</v>
      </c>
      <c r="D28" s="8" t="s">
        <v>53</v>
      </c>
      <c r="G28" s="85" t="s">
        <v>478</v>
      </c>
    </row>
    <row r="29" spans="1:10" ht="25.5" customHeight="1" x14ac:dyDescent="0.15">
      <c r="A29" s="70"/>
      <c r="B29" s="56" t="s">
        <v>73</v>
      </c>
      <c r="C29" s="60"/>
      <c r="D29" s="8" t="s">
        <v>58</v>
      </c>
      <c r="G29" s="85" t="s">
        <v>478</v>
      </c>
    </row>
    <row r="30" spans="1:10" ht="25.5" customHeight="1" x14ac:dyDescent="0.15">
      <c r="A30" s="70"/>
      <c r="B30" s="56" t="s">
        <v>74</v>
      </c>
      <c r="C30" s="58" t="s">
        <v>57</v>
      </c>
      <c r="D30" s="8" t="s">
        <v>53</v>
      </c>
      <c r="G30" s="85" t="s">
        <v>478</v>
      </c>
    </row>
    <row r="31" spans="1:10" ht="25.5" customHeight="1" x14ac:dyDescent="0.15">
      <c r="A31" s="70"/>
      <c r="B31" s="56" t="s">
        <v>75</v>
      </c>
      <c r="C31" s="60"/>
      <c r="D31" s="8" t="s">
        <v>105</v>
      </c>
      <c r="G31" s="85" t="s">
        <v>478</v>
      </c>
    </row>
    <row r="32" spans="1:10" ht="16.5" customHeight="1" x14ac:dyDescent="0.15">
      <c r="A32" s="70"/>
      <c r="B32" s="56" t="s">
        <v>76</v>
      </c>
      <c r="C32" s="58" t="s">
        <v>107</v>
      </c>
      <c r="D32" s="8" t="s">
        <v>106</v>
      </c>
      <c r="G32" s="85" t="s">
        <v>478</v>
      </c>
    </row>
    <row r="33" spans="1:220" ht="16.5" customHeight="1" x14ac:dyDescent="0.15">
      <c r="A33" s="70"/>
      <c r="B33" s="56" t="s">
        <v>77</v>
      </c>
      <c r="C33" s="59"/>
      <c r="D33" s="8" t="s">
        <v>111</v>
      </c>
      <c r="G33" s="85" t="s">
        <v>478</v>
      </c>
    </row>
    <row r="34" spans="1:220" ht="16.5" customHeight="1" x14ac:dyDescent="0.15">
      <c r="A34" s="70"/>
      <c r="B34" s="56" t="s">
        <v>78</v>
      </c>
      <c r="C34" s="59"/>
      <c r="D34" s="8" t="s">
        <v>113</v>
      </c>
      <c r="G34" s="85" t="s">
        <v>478</v>
      </c>
    </row>
    <row r="35" spans="1:220" ht="16.5" customHeight="1" x14ac:dyDescent="0.15">
      <c r="A35" s="70"/>
      <c r="B35" s="56" t="s">
        <v>79</v>
      </c>
      <c r="C35" s="60"/>
      <c r="D35" s="8" t="s">
        <v>114</v>
      </c>
      <c r="G35" s="85" t="s">
        <v>478</v>
      </c>
    </row>
    <row r="36" spans="1:220" ht="16.5" customHeight="1" x14ac:dyDescent="0.15">
      <c r="A36" s="70"/>
      <c r="B36" s="56" t="s">
        <v>80</v>
      </c>
      <c r="C36" s="58" t="s">
        <v>108</v>
      </c>
      <c r="D36" s="8" t="s">
        <v>106</v>
      </c>
      <c r="G36" s="85" t="s">
        <v>478</v>
      </c>
    </row>
    <row r="37" spans="1:220" ht="16.5" customHeight="1" x14ac:dyDescent="0.15">
      <c r="A37" s="70"/>
      <c r="B37" s="56" t="s">
        <v>81</v>
      </c>
      <c r="C37" s="59"/>
      <c r="D37" s="8" t="s">
        <v>111</v>
      </c>
      <c r="G37" s="85" t="s">
        <v>478</v>
      </c>
    </row>
    <row r="38" spans="1:220" ht="16.5" customHeight="1" x14ac:dyDescent="0.15">
      <c r="A38" s="70"/>
      <c r="B38" s="56" t="s">
        <v>82</v>
      </c>
      <c r="C38" s="59"/>
      <c r="D38" s="8" t="s">
        <v>113</v>
      </c>
      <c r="G38" s="85" t="s">
        <v>478</v>
      </c>
    </row>
    <row r="39" spans="1:220" ht="16.5" customHeight="1" x14ac:dyDescent="0.15">
      <c r="A39" s="70"/>
      <c r="B39" s="56" t="s">
        <v>83</v>
      </c>
      <c r="C39" s="60"/>
      <c r="D39" s="8" t="s">
        <v>114</v>
      </c>
      <c r="G39" s="85" t="s">
        <v>478</v>
      </c>
    </row>
    <row r="40" spans="1:220" ht="16.5" customHeight="1" x14ac:dyDescent="0.15">
      <c r="A40" s="70"/>
      <c r="B40" s="56" t="s">
        <v>100</v>
      </c>
      <c r="C40" s="58" t="s">
        <v>109</v>
      </c>
      <c r="D40" s="8" t="s">
        <v>106</v>
      </c>
      <c r="G40" s="85" t="s">
        <v>478</v>
      </c>
    </row>
    <row r="41" spans="1:220" ht="16.5" customHeight="1" x14ac:dyDescent="0.15">
      <c r="A41" s="70"/>
      <c r="B41" s="56" t="s">
        <v>101</v>
      </c>
      <c r="C41" s="59"/>
      <c r="D41" s="8" t="s">
        <v>111</v>
      </c>
      <c r="G41" s="85" t="s">
        <v>478</v>
      </c>
    </row>
    <row r="42" spans="1:220" ht="16.5" customHeight="1" x14ac:dyDescent="0.15">
      <c r="A42" s="70"/>
      <c r="B42" s="56" t="s">
        <v>118</v>
      </c>
      <c r="C42" s="59"/>
      <c r="D42" s="8" t="s">
        <v>115</v>
      </c>
      <c r="G42" s="85" t="s">
        <v>478</v>
      </c>
    </row>
    <row r="43" spans="1:220" ht="16.5" customHeight="1" x14ac:dyDescent="0.15">
      <c r="A43" s="70"/>
      <c r="B43" s="56" t="s">
        <v>119</v>
      </c>
      <c r="C43" s="59"/>
      <c r="D43" s="8" t="s">
        <v>113</v>
      </c>
      <c r="G43" s="85" t="s">
        <v>478</v>
      </c>
    </row>
    <row r="44" spans="1:220" ht="16.5" customHeight="1" x14ac:dyDescent="0.15">
      <c r="A44" s="71"/>
      <c r="B44" s="56" t="s">
        <v>486</v>
      </c>
      <c r="C44" s="60"/>
      <c r="D44" s="8" t="s">
        <v>114</v>
      </c>
      <c r="G44" s="85" t="s">
        <v>478</v>
      </c>
    </row>
    <row r="45" spans="1:220" s="21" customFormat="1" x14ac:dyDescent="0.15">
      <c r="A45" s="61" t="s">
        <v>215</v>
      </c>
      <c r="B45" s="62"/>
      <c r="C45" s="62"/>
      <c r="D45" s="62"/>
      <c r="E45" s="62"/>
      <c r="F45" s="62"/>
      <c r="G45" s="62"/>
      <c r="H45" s="62"/>
      <c r="I45" s="62"/>
      <c r="J45" s="63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7"/>
      <c r="FJ45" s="17"/>
      <c r="FK45" s="17"/>
      <c r="FL45" s="17"/>
      <c r="FM45" s="17"/>
      <c r="FN45" s="17"/>
      <c r="FO45" s="17"/>
      <c r="FP45" s="17"/>
      <c r="FQ45" s="17"/>
      <c r="FR45" s="17"/>
      <c r="FS45" s="17"/>
      <c r="FT45" s="17"/>
      <c r="FU45" s="17"/>
      <c r="FV45" s="17"/>
      <c r="FW45" s="17"/>
      <c r="FX45" s="17"/>
      <c r="FY45" s="17"/>
      <c r="FZ45" s="17"/>
      <c r="GA45" s="17"/>
      <c r="GB45" s="17"/>
      <c r="GC45" s="17"/>
      <c r="GD45" s="17"/>
      <c r="GE45" s="17"/>
      <c r="GF45" s="17"/>
      <c r="GG45" s="17"/>
      <c r="GH45" s="17"/>
      <c r="GI45" s="17"/>
      <c r="GJ45" s="17"/>
      <c r="GK45" s="17"/>
      <c r="GL45" s="17"/>
      <c r="GM45" s="17"/>
      <c r="GN45" s="17"/>
      <c r="GO45" s="17"/>
      <c r="GP45" s="17"/>
      <c r="GQ45" s="17"/>
      <c r="GR45" s="17"/>
      <c r="GS45" s="17"/>
      <c r="GT45" s="17"/>
      <c r="GU45" s="17"/>
      <c r="GV45" s="17"/>
      <c r="GW45" s="17"/>
      <c r="GX45" s="17"/>
      <c r="GY45" s="17"/>
      <c r="GZ45" s="17"/>
      <c r="HA45" s="17"/>
      <c r="HB45" s="17"/>
      <c r="HC45" s="17"/>
      <c r="HD45" s="17"/>
      <c r="HE45" s="17"/>
      <c r="HF45" s="17"/>
      <c r="HG45" s="17"/>
      <c r="HH45" s="17"/>
      <c r="HI45" s="17"/>
      <c r="HJ45" s="17"/>
      <c r="HK45" s="17"/>
      <c r="HL45" s="17"/>
    </row>
    <row r="46" spans="1:220" ht="13.5" customHeight="1" x14ac:dyDescent="0.15">
      <c r="A46" s="13" t="s">
        <v>27</v>
      </c>
      <c r="B46" s="25" t="s">
        <v>28</v>
      </c>
      <c r="C46" s="14" t="s">
        <v>0</v>
      </c>
      <c r="D46" s="7" t="s">
        <v>29</v>
      </c>
      <c r="E46" s="25" t="s">
        <v>30</v>
      </c>
      <c r="F46" s="25" t="s">
        <v>31</v>
      </c>
      <c r="G46" s="64" t="s">
        <v>34</v>
      </c>
      <c r="H46" s="64"/>
      <c r="I46" s="64"/>
      <c r="J46" s="30" t="s">
        <v>10</v>
      </c>
    </row>
    <row r="47" spans="1:220" ht="16.5" customHeight="1" x14ac:dyDescent="0.15">
      <c r="A47" s="69" t="s">
        <v>340</v>
      </c>
      <c r="B47" s="51" t="s">
        <v>487</v>
      </c>
      <c r="C47" s="65" t="s">
        <v>96</v>
      </c>
      <c r="D47" s="8" t="s">
        <v>97</v>
      </c>
      <c r="G47" s="85" t="s">
        <v>478</v>
      </c>
      <c r="H47" s="15"/>
      <c r="I47" s="15"/>
    </row>
    <row r="48" spans="1:220" s="38" customFormat="1" ht="16.5" customHeight="1" x14ac:dyDescent="0.15">
      <c r="A48" s="70"/>
      <c r="B48" s="56" t="s">
        <v>120</v>
      </c>
      <c r="C48" s="66"/>
      <c r="D48" s="8" t="s">
        <v>98</v>
      </c>
      <c r="E48" s="8"/>
      <c r="F48" s="8"/>
      <c r="G48" s="85" t="s">
        <v>478</v>
      </c>
      <c r="H48" s="15"/>
      <c r="I48" s="15"/>
      <c r="J48" s="31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5"/>
      <c r="HE48" s="35"/>
      <c r="HF48" s="35"/>
      <c r="HG48" s="35"/>
      <c r="HH48" s="35"/>
      <c r="HI48" s="35"/>
      <c r="HJ48" s="35"/>
      <c r="HK48" s="35"/>
      <c r="HL48" s="35"/>
    </row>
    <row r="49" spans="1:220" s="38" customFormat="1" ht="16.5" customHeight="1" x14ac:dyDescent="0.15">
      <c r="A49" s="70"/>
      <c r="B49" s="56" t="s">
        <v>121</v>
      </c>
      <c r="C49" s="68"/>
      <c r="D49" s="54" t="s">
        <v>99</v>
      </c>
      <c r="E49" s="8"/>
      <c r="F49" s="8"/>
      <c r="G49" s="85" t="s">
        <v>478</v>
      </c>
      <c r="H49" s="15"/>
      <c r="I49" s="15"/>
      <c r="J49" s="31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5"/>
      <c r="HE49" s="35"/>
      <c r="HF49" s="35"/>
      <c r="HG49" s="35"/>
      <c r="HH49" s="35"/>
      <c r="HI49" s="35"/>
      <c r="HJ49" s="35"/>
      <c r="HK49" s="35"/>
      <c r="HL49" s="35"/>
    </row>
    <row r="50" spans="1:220" s="38" customFormat="1" ht="16.5" customHeight="1" x14ac:dyDescent="0.15">
      <c r="A50" s="70"/>
      <c r="B50" s="56" t="s">
        <v>122</v>
      </c>
      <c r="C50" s="65" t="s">
        <v>117</v>
      </c>
      <c r="D50" s="8" t="s">
        <v>97</v>
      </c>
      <c r="E50" s="8"/>
      <c r="F50" s="8"/>
      <c r="G50" s="85" t="s">
        <v>478</v>
      </c>
      <c r="H50" s="15"/>
      <c r="I50" s="15"/>
      <c r="J50" s="31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5"/>
      <c r="HE50" s="35"/>
      <c r="HF50" s="35"/>
      <c r="HG50" s="35"/>
      <c r="HH50" s="35"/>
      <c r="HI50" s="35"/>
      <c r="HJ50" s="35"/>
      <c r="HK50" s="35"/>
      <c r="HL50" s="35"/>
    </row>
    <row r="51" spans="1:220" s="38" customFormat="1" ht="16.5" customHeight="1" x14ac:dyDescent="0.15">
      <c r="A51" s="70"/>
      <c r="B51" s="56" t="s">
        <v>123</v>
      </c>
      <c r="C51" s="66"/>
      <c r="D51" s="8" t="s">
        <v>98</v>
      </c>
      <c r="E51" s="8"/>
      <c r="F51" s="8"/>
      <c r="G51" s="85" t="s">
        <v>478</v>
      </c>
      <c r="H51" s="15"/>
      <c r="I51" s="15"/>
      <c r="J51" s="31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5"/>
      <c r="HE51" s="35"/>
      <c r="HF51" s="35"/>
      <c r="HG51" s="35"/>
      <c r="HH51" s="35"/>
      <c r="HI51" s="35"/>
      <c r="HJ51" s="35"/>
      <c r="HK51" s="35"/>
      <c r="HL51" s="35"/>
    </row>
    <row r="52" spans="1:220" s="38" customFormat="1" ht="16.5" customHeight="1" x14ac:dyDescent="0.15">
      <c r="A52" s="70"/>
      <c r="B52" s="56" t="s">
        <v>124</v>
      </c>
      <c r="C52" s="66"/>
      <c r="D52" s="55" t="s">
        <v>99</v>
      </c>
      <c r="E52" s="8"/>
      <c r="F52" s="8"/>
      <c r="G52" s="85" t="s">
        <v>478</v>
      </c>
      <c r="H52" s="15"/>
      <c r="I52" s="15"/>
      <c r="J52" s="31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5"/>
      <c r="HE52" s="35"/>
      <c r="HF52" s="35"/>
      <c r="HG52" s="35"/>
      <c r="HH52" s="35"/>
      <c r="HI52" s="35"/>
      <c r="HJ52" s="35"/>
      <c r="HK52" s="35"/>
      <c r="HL52" s="35"/>
    </row>
    <row r="53" spans="1:220" s="38" customFormat="1" ht="16.5" customHeight="1" x14ac:dyDescent="0.15">
      <c r="A53" s="70"/>
      <c r="B53" s="56" t="s">
        <v>125</v>
      </c>
      <c r="C53" s="58" t="s">
        <v>482</v>
      </c>
      <c r="D53" s="54" t="s">
        <v>88</v>
      </c>
      <c r="E53" s="8"/>
      <c r="F53" s="8"/>
      <c r="G53" s="85" t="s">
        <v>478</v>
      </c>
      <c r="H53" s="15"/>
      <c r="I53" s="15"/>
      <c r="J53" s="31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5"/>
      <c r="HE53" s="35"/>
      <c r="HF53" s="35"/>
      <c r="HG53" s="35"/>
      <c r="HH53" s="35"/>
      <c r="HI53" s="35"/>
      <c r="HJ53" s="35"/>
      <c r="HK53" s="35"/>
      <c r="HL53" s="35"/>
    </row>
    <row r="54" spans="1:220" s="38" customFormat="1" ht="16.5" customHeight="1" x14ac:dyDescent="0.15">
      <c r="A54" s="70"/>
      <c r="B54" s="56" t="s">
        <v>126</v>
      </c>
      <c r="C54" s="59"/>
      <c r="D54" s="54" t="s">
        <v>89</v>
      </c>
      <c r="E54" s="8"/>
      <c r="F54" s="8"/>
      <c r="G54" s="85" t="s">
        <v>478</v>
      </c>
      <c r="H54" s="15"/>
      <c r="I54" s="15"/>
      <c r="J54" s="8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5"/>
      <c r="HE54" s="35"/>
      <c r="HF54" s="35"/>
      <c r="HG54" s="35"/>
      <c r="HH54" s="35"/>
      <c r="HI54" s="35"/>
      <c r="HJ54" s="35"/>
      <c r="HK54" s="35"/>
      <c r="HL54" s="35"/>
    </row>
    <row r="55" spans="1:220" s="38" customFormat="1" ht="16.5" customHeight="1" x14ac:dyDescent="0.15">
      <c r="A55" s="70"/>
      <c r="B55" s="56" t="s">
        <v>127</v>
      </c>
      <c r="C55" s="59"/>
      <c r="D55" s="54" t="s">
        <v>91</v>
      </c>
      <c r="E55" s="8"/>
      <c r="F55" s="8"/>
      <c r="G55" s="85" t="s">
        <v>478</v>
      </c>
      <c r="H55" s="15"/>
      <c r="I55" s="15"/>
      <c r="J55" s="8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5"/>
      <c r="HE55" s="35"/>
      <c r="HF55" s="35"/>
      <c r="HG55" s="35"/>
      <c r="HH55" s="35"/>
      <c r="HI55" s="35"/>
      <c r="HJ55" s="35"/>
      <c r="HK55" s="35"/>
      <c r="HL55" s="35"/>
    </row>
    <row r="56" spans="1:220" s="22" customFormat="1" ht="16.5" customHeight="1" x14ac:dyDescent="0.15">
      <c r="A56" s="70"/>
      <c r="B56" s="56" t="s">
        <v>128</v>
      </c>
      <c r="C56" s="59"/>
      <c r="D56" s="54" t="s">
        <v>90</v>
      </c>
      <c r="E56" s="8"/>
      <c r="F56" s="8"/>
      <c r="G56" s="85" t="s">
        <v>478</v>
      </c>
      <c r="H56" s="15"/>
      <c r="I56" s="15"/>
      <c r="J56" s="31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18"/>
      <c r="FH56" s="18"/>
      <c r="FI56" s="18"/>
      <c r="FJ56" s="18"/>
      <c r="FK56" s="18"/>
      <c r="FL56" s="18"/>
      <c r="FM56" s="18"/>
      <c r="FN56" s="18"/>
      <c r="FO56" s="18"/>
      <c r="FP56" s="18"/>
      <c r="FQ56" s="18"/>
      <c r="FR56" s="18"/>
      <c r="FS56" s="18"/>
      <c r="FT56" s="18"/>
      <c r="FU56" s="18"/>
      <c r="FV56" s="18"/>
      <c r="FW56" s="18"/>
      <c r="FX56" s="18"/>
      <c r="FY56" s="18"/>
      <c r="FZ56" s="18"/>
      <c r="GA56" s="18"/>
      <c r="GB56" s="18"/>
      <c r="GC56" s="18"/>
      <c r="GD56" s="18"/>
      <c r="GE56" s="18"/>
      <c r="GF56" s="18"/>
      <c r="GG56" s="18"/>
      <c r="GH56" s="18"/>
      <c r="GI56" s="18"/>
      <c r="GJ56" s="18"/>
      <c r="GK56" s="18"/>
      <c r="GL56" s="18"/>
      <c r="GM56" s="18"/>
      <c r="GN56" s="18"/>
      <c r="GO56" s="18"/>
      <c r="GP56" s="18"/>
      <c r="GQ56" s="18"/>
      <c r="GR56" s="18"/>
      <c r="GS56" s="18"/>
      <c r="GT56" s="18"/>
      <c r="GU56" s="18"/>
      <c r="GV56" s="18"/>
      <c r="GW56" s="18"/>
      <c r="GX56" s="18"/>
      <c r="GY56" s="18"/>
      <c r="GZ56" s="18"/>
      <c r="HA56" s="18"/>
      <c r="HB56" s="18"/>
      <c r="HC56" s="18"/>
      <c r="HD56" s="18"/>
      <c r="HE56" s="18"/>
      <c r="HF56" s="18"/>
      <c r="HG56" s="18"/>
      <c r="HH56" s="18"/>
      <c r="HI56" s="18"/>
      <c r="HJ56" s="18"/>
      <c r="HK56" s="18"/>
      <c r="HL56" s="18"/>
    </row>
    <row r="57" spans="1:220" ht="16.5" customHeight="1" x14ac:dyDescent="0.15">
      <c r="A57" s="70"/>
      <c r="B57" s="56" t="s">
        <v>129</v>
      </c>
      <c r="C57" s="60"/>
      <c r="D57" s="54" t="s">
        <v>465</v>
      </c>
      <c r="G57" s="85" t="s">
        <v>478</v>
      </c>
      <c r="H57" s="8"/>
    </row>
    <row r="58" spans="1:220" ht="16.5" customHeight="1" x14ac:dyDescent="0.15">
      <c r="A58" s="70"/>
      <c r="B58" s="56" t="s">
        <v>130</v>
      </c>
      <c r="C58" s="58" t="s">
        <v>467</v>
      </c>
      <c r="D58" s="54" t="s">
        <v>469</v>
      </c>
      <c r="G58" s="85" t="s">
        <v>478</v>
      </c>
      <c r="H58" s="8"/>
    </row>
    <row r="59" spans="1:220" ht="16.5" customHeight="1" x14ac:dyDescent="0.15">
      <c r="A59" s="70"/>
      <c r="B59" s="56" t="s">
        <v>131</v>
      </c>
      <c r="C59" s="59"/>
      <c r="D59" s="54" t="s">
        <v>470</v>
      </c>
      <c r="G59" s="85" t="s">
        <v>478</v>
      </c>
      <c r="H59" s="8"/>
    </row>
    <row r="60" spans="1:220" ht="16.5" customHeight="1" x14ac:dyDescent="0.15">
      <c r="A60" s="70"/>
      <c r="B60" s="56" t="s">
        <v>132</v>
      </c>
      <c r="C60" s="60"/>
      <c r="D60" s="54" t="s">
        <v>471</v>
      </c>
      <c r="G60" s="85" t="s">
        <v>478</v>
      </c>
      <c r="H60" s="8"/>
    </row>
    <row r="61" spans="1:220" ht="22.5" customHeight="1" x14ac:dyDescent="0.15">
      <c r="A61" s="70"/>
      <c r="B61" s="56" t="s">
        <v>133</v>
      </c>
      <c r="C61" s="58" t="s">
        <v>468</v>
      </c>
      <c r="D61" s="54" t="s">
        <v>472</v>
      </c>
      <c r="G61" s="85" t="s">
        <v>478</v>
      </c>
      <c r="H61" s="8"/>
    </row>
    <row r="62" spans="1:220" ht="29.25" customHeight="1" x14ac:dyDescent="0.15">
      <c r="A62" s="70"/>
      <c r="B62" s="56" t="s">
        <v>134</v>
      </c>
      <c r="C62" s="59"/>
      <c r="D62" s="54" t="s">
        <v>473</v>
      </c>
      <c r="G62" s="85" t="s">
        <v>478</v>
      </c>
      <c r="H62" s="8"/>
    </row>
    <row r="63" spans="1:220" ht="16.5" customHeight="1" x14ac:dyDescent="0.15">
      <c r="A63" s="70"/>
      <c r="B63" s="56" t="s">
        <v>135</v>
      </c>
      <c r="C63" s="58" t="s">
        <v>116</v>
      </c>
      <c r="D63" s="54" t="s">
        <v>88</v>
      </c>
      <c r="G63" s="85" t="s">
        <v>478</v>
      </c>
      <c r="H63" s="8"/>
    </row>
    <row r="64" spans="1:220" ht="16.5" customHeight="1" x14ac:dyDescent="0.15">
      <c r="A64" s="70"/>
      <c r="B64" s="56" t="s">
        <v>136</v>
      </c>
      <c r="C64" s="59"/>
      <c r="D64" s="54" t="s">
        <v>89</v>
      </c>
      <c r="G64" s="85" t="s">
        <v>478</v>
      </c>
      <c r="H64" s="8"/>
    </row>
    <row r="65" spans="1:220" ht="16.5" customHeight="1" x14ac:dyDescent="0.15">
      <c r="A65" s="70"/>
      <c r="B65" s="56" t="s">
        <v>137</v>
      </c>
      <c r="C65" s="59"/>
      <c r="D65" s="54" t="s">
        <v>91</v>
      </c>
      <c r="G65" s="85" t="s">
        <v>478</v>
      </c>
      <c r="H65" s="8"/>
    </row>
    <row r="66" spans="1:220" ht="16.5" customHeight="1" x14ac:dyDescent="0.15">
      <c r="A66" s="70"/>
      <c r="B66" s="56" t="s">
        <v>138</v>
      </c>
      <c r="C66" s="59"/>
      <c r="D66" s="54" t="s">
        <v>90</v>
      </c>
      <c r="G66" s="85" t="s">
        <v>478</v>
      </c>
      <c r="H66" s="8"/>
    </row>
    <row r="67" spans="1:220" ht="16.5" customHeight="1" x14ac:dyDescent="0.15">
      <c r="A67" s="70"/>
      <c r="B67" s="56" t="s">
        <v>139</v>
      </c>
      <c r="C67" s="60"/>
      <c r="D67" s="54" t="s">
        <v>466</v>
      </c>
      <c r="G67" s="85" t="s">
        <v>478</v>
      </c>
      <c r="H67" s="8"/>
    </row>
    <row r="68" spans="1:220" ht="22.5" customHeight="1" x14ac:dyDescent="0.15">
      <c r="A68" s="70"/>
      <c r="B68" s="56" t="s">
        <v>140</v>
      </c>
      <c r="C68" s="58" t="s">
        <v>92</v>
      </c>
      <c r="D68" s="8" t="s">
        <v>102</v>
      </c>
      <c r="G68" s="85" t="s">
        <v>478</v>
      </c>
      <c r="H68" s="8"/>
    </row>
    <row r="69" spans="1:220" x14ac:dyDescent="0.15">
      <c r="A69" s="70"/>
      <c r="B69" s="56" t="s">
        <v>141</v>
      </c>
      <c r="C69" s="59"/>
      <c r="D69" s="8" t="s">
        <v>103</v>
      </c>
      <c r="G69" s="85" t="s">
        <v>478</v>
      </c>
      <c r="H69" s="8"/>
    </row>
    <row r="70" spans="1:220" x14ac:dyDescent="0.15">
      <c r="A70" s="71"/>
      <c r="B70" s="56" t="s">
        <v>488</v>
      </c>
      <c r="C70" s="60"/>
      <c r="D70" s="8" t="s">
        <v>104</v>
      </c>
      <c r="G70" s="85" t="s">
        <v>478</v>
      </c>
      <c r="H70" s="8"/>
    </row>
    <row r="71" spans="1:220" s="21" customFormat="1" x14ac:dyDescent="0.15">
      <c r="A71" s="61" t="s">
        <v>214</v>
      </c>
      <c r="B71" s="62"/>
      <c r="C71" s="62"/>
      <c r="D71" s="62"/>
      <c r="E71" s="62"/>
      <c r="F71" s="62"/>
      <c r="G71" s="62"/>
      <c r="H71" s="62"/>
      <c r="I71" s="62"/>
      <c r="J71" s="63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  <c r="FN71" s="17"/>
      <c r="FO71" s="17"/>
      <c r="FP71" s="17"/>
      <c r="FQ71" s="17"/>
      <c r="FR71" s="17"/>
      <c r="FS71" s="17"/>
      <c r="FT71" s="17"/>
      <c r="FU71" s="17"/>
      <c r="FV71" s="17"/>
      <c r="FW71" s="17"/>
      <c r="FX71" s="17"/>
      <c r="FY71" s="17"/>
      <c r="FZ71" s="17"/>
      <c r="GA71" s="17"/>
      <c r="GB71" s="17"/>
      <c r="GC71" s="17"/>
      <c r="GD71" s="17"/>
      <c r="GE71" s="17"/>
      <c r="GF71" s="17"/>
      <c r="GG71" s="17"/>
      <c r="GH71" s="17"/>
      <c r="GI71" s="17"/>
      <c r="GJ71" s="17"/>
      <c r="GK71" s="17"/>
      <c r="GL71" s="17"/>
      <c r="GM71" s="17"/>
      <c r="GN71" s="17"/>
      <c r="GO71" s="17"/>
      <c r="GP71" s="17"/>
      <c r="GQ71" s="17"/>
      <c r="GR71" s="17"/>
      <c r="GS71" s="17"/>
      <c r="GT71" s="17"/>
      <c r="GU71" s="17"/>
      <c r="GV71" s="17"/>
      <c r="GW71" s="17"/>
      <c r="GX71" s="17"/>
      <c r="GY71" s="17"/>
      <c r="GZ71" s="17"/>
      <c r="HA71" s="17"/>
      <c r="HB71" s="17"/>
      <c r="HC71" s="17"/>
      <c r="HD71" s="17"/>
      <c r="HE71" s="17"/>
      <c r="HF71" s="17"/>
      <c r="HG71" s="17"/>
      <c r="HH71" s="17"/>
      <c r="HI71" s="17"/>
      <c r="HJ71" s="17"/>
      <c r="HK71" s="17"/>
      <c r="HL71" s="17"/>
    </row>
    <row r="72" spans="1:220" ht="13.5" customHeight="1" x14ac:dyDescent="0.15">
      <c r="A72" s="13" t="s">
        <v>27</v>
      </c>
      <c r="B72" s="50" t="s">
        <v>28</v>
      </c>
      <c r="C72" s="14" t="s">
        <v>0</v>
      </c>
      <c r="D72" s="7" t="s">
        <v>29</v>
      </c>
      <c r="E72" s="50" t="s">
        <v>30</v>
      </c>
      <c r="F72" s="50" t="s">
        <v>31</v>
      </c>
      <c r="G72" s="64" t="s">
        <v>34</v>
      </c>
      <c r="H72" s="64"/>
      <c r="I72" s="64"/>
      <c r="J72" s="30" t="s">
        <v>10</v>
      </c>
    </row>
    <row r="73" spans="1:220" ht="50.25" customHeight="1" x14ac:dyDescent="0.15">
      <c r="A73" s="69" t="s">
        <v>364</v>
      </c>
      <c r="B73" s="51" t="s">
        <v>489</v>
      </c>
      <c r="C73" s="1" t="s">
        <v>423</v>
      </c>
      <c r="D73" s="1" t="s">
        <v>68</v>
      </c>
      <c r="G73" s="85" t="s">
        <v>478</v>
      </c>
      <c r="H73" s="15"/>
      <c r="I73" s="15"/>
    </row>
    <row r="74" spans="1:220" s="38" customFormat="1" ht="50.25" customHeight="1" x14ac:dyDescent="0.15">
      <c r="A74" s="70"/>
      <c r="B74" s="56" t="s">
        <v>142</v>
      </c>
      <c r="C74" s="1" t="s">
        <v>361</v>
      </c>
      <c r="D74" s="1" t="s">
        <v>68</v>
      </c>
      <c r="E74" s="8"/>
      <c r="F74" s="8"/>
      <c r="G74" s="85" t="s">
        <v>478</v>
      </c>
      <c r="H74" s="15"/>
      <c r="I74" s="15"/>
      <c r="J74" s="31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</row>
    <row r="75" spans="1:220" s="38" customFormat="1" ht="49.5" customHeight="1" x14ac:dyDescent="0.15">
      <c r="A75" s="70"/>
      <c r="B75" s="56" t="s">
        <v>143</v>
      </c>
      <c r="C75" s="1" t="s">
        <v>84</v>
      </c>
      <c r="D75" s="1" t="s">
        <v>68</v>
      </c>
      <c r="E75" s="8"/>
      <c r="F75" s="8"/>
      <c r="G75" s="85" t="s">
        <v>478</v>
      </c>
      <c r="H75" s="15"/>
      <c r="I75" s="15"/>
      <c r="J75" s="31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</row>
    <row r="76" spans="1:220" s="38" customFormat="1" ht="52.5" customHeight="1" x14ac:dyDescent="0.15">
      <c r="A76" s="70"/>
      <c r="B76" s="56" t="s">
        <v>144</v>
      </c>
      <c r="C76" s="1" t="s">
        <v>85</v>
      </c>
      <c r="D76" s="1" t="s">
        <v>68</v>
      </c>
      <c r="E76" s="8"/>
      <c r="F76" s="8"/>
      <c r="G76" s="85" t="s">
        <v>478</v>
      </c>
      <c r="H76" s="15"/>
      <c r="I76" s="15"/>
      <c r="J76" s="31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</row>
    <row r="77" spans="1:220" s="38" customFormat="1" ht="51" customHeight="1" x14ac:dyDescent="0.15">
      <c r="A77" s="70"/>
      <c r="B77" s="56" t="s">
        <v>145</v>
      </c>
      <c r="C77" s="1" t="s">
        <v>86</v>
      </c>
      <c r="D77" s="1" t="s">
        <v>360</v>
      </c>
      <c r="E77" s="8"/>
      <c r="F77" s="8"/>
      <c r="G77" s="85" t="s">
        <v>478</v>
      </c>
      <c r="H77" s="15"/>
      <c r="I77" s="15"/>
      <c r="J77" s="31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</row>
    <row r="78" spans="1:220" s="38" customFormat="1" ht="27.75" customHeight="1" x14ac:dyDescent="0.15">
      <c r="A78" s="70"/>
      <c r="B78" s="56" t="s">
        <v>146</v>
      </c>
      <c r="C78" s="58" t="s">
        <v>87</v>
      </c>
      <c r="D78" s="1" t="s">
        <v>70</v>
      </c>
      <c r="E78" s="8"/>
      <c r="F78" s="8"/>
      <c r="G78" s="85" t="s">
        <v>478</v>
      </c>
      <c r="H78" s="15"/>
      <c r="I78" s="15"/>
      <c r="J78" s="31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</row>
    <row r="79" spans="1:220" s="38" customFormat="1" ht="22.5" customHeight="1" x14ac:dyDescent="0.15">
      <c r="A79" s="70"/>
      <c r="B79" s="56" t="s">
        <v>147</v>
      </c>
      <c r="C79" s="60"/>
      <c r="D79" s="1" t="s">
        <v>69</v>
      </c>
      <c r="E79" s="8"/>
      <c r="F79" s="8"/>
      <c r="G79" s="85" t="s">
        <v>478</v>
      </c>
      <c r="H79" s="15"/>
      <c r="I79" s="15"/>
      <c r="J79" s="31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</row>
    <row r="80" spans="1:220" s="22" customFormat="1" ht="27.75" customHeight="1" x14ac:dyDescent="0.15">
      <c r="A80" s="70"/>
      <c r="B80" s="56" t="s">
        <v>148</v>
      </c>
      <c r="C80" s="58" t="s">
        <v>189</v>
      </c>
      <c r="D80" s="1" t="s">
        <v>70</v>
      </c>
      <c r="E80" s="8"/>
      <c r="F80" s="8"/>
      <c r="G80" s="85" t="s">
        <v>478</v>
      </c>
      <c r="H80" s="15"/>
      <c r="I80" s="15"/>
      <c r="J80" s="31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18"/>
      <c r="GH80" s="18"/>
      <c r="GI80" s="18"/>
      <c r="GJ80" s="18"/>
      <c r="GK80" s="18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18"/>
      <c r="HC80" s="18"/>
      <c r="HD80" s="18"/>
      <c r="HE80" s="18"/>
      <c r="HF80" s="18"/>
      <c r="HG80" s="18"/>
      <c r="HH80" s="18"/>
      <c r="HI80" s="18"/>
      <c r="HJ80" s="18"/>
      <c r="HK80" s="18"/>
      <c r="HL80" s="18"/>
    </row>
    <row r="81" spans="1:220" s="22" customFormat="1" ht="25.5" customHeight="1" x14ac:dyDescent="0.15">
      <c r="A81" s="70"/>
      <c r="B81" s="56" t="s">
        <v>149</v>
      </c>
      <c r="C81" s="60"/>
      <c r="D81" s="1" t="s">
        <v>69</v>
      </c>
      <c r="E81" s="8"/>
      <c r="F81" s="8"/>
      <c r="G81" s="85" t="s">
        <v>478</v>
      </c>
      <c r="H81" s="15"/>
      <c r="I81" s="15"/>
      <c r="J81" s="31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8"/>
      <c r="GB81" s="18"/>
      <c r="GC81" s="18"/>
      <c r="GD81" s="18"/>
      <c r="GE81" s="18"/>
      <c r="GF81" s="18"/>
      <c r="GG81" s="18"/>
      <c r="GH81" s="18"/>
      <c r="GI81" s="18"/>
      <c r="GJ81" s="18"/>
      <c r="GK81" s="18"/>
      <c r="GL81" s="18"/>
      <c r="GM81" s="18"/>
      <c r="GN81" s="18"/>
      <c r="GO81" s="18"/>
      <c r="GP81" s="18"/>
      <c r="GQ81" s="18"/>
      <c r="GR81" s="18"/>
      <c r="GS81" s="18"/>
      <c r="GT81" s="18"/>
      <c r="GU81" s="18"/>
      <c r="GV81" s="18"/>
      <c r="GW81" s="18"/>
      <c r="GX81" s="18"/>
      <c r="GY81" s="18"/>
      <c r="GZ81" s="18"/>
      <c r="HA81" s="18"/>
      <c r="HB81" s="18"/>
      <c r="HC81" s="18"/>
      <c r="HD81" s="18"/>
      <c r="HE81" s="18"/>
      <c r="HF81" s="18"/>
      <c r="HG81" s="18"/>
      <c r="HH81" s="18"/>
      <c r="HI81" s="18"/>
      <c r="HJ81" s="18"/>
      <c r="HK81" s="18"/>
      <c r="HL81" s="18"/>
    </row>
    <row r="82" spans="1:220" s="22" customFormat="1" ht="42" customHeight="1" x14ac:dyDescent="0.15">
      <c r="A82" s="70"/>
      <c r="B82" s="56" t="s">
        <v>150</v>
      </c>
      <c r="C82" s="58" t="s">
        <v>190</v>
      </c>
      <c r="D82" s="1" t="s">
        <v>192</v>
      </c>
      <c r="E82" s="8"/>
      <c r="F82" s="8"/>
      <c r="G82" s="85" t="s">
        <v>478</v>
      </c>
      <c r="H82" s="15"/>
      <c r="I82" s="15"/>
      <c r="J82" s="31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  <c r="EZ82" s="18"/>
      <c r="FA82" s="18"/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18"/>
      <c r="FO82" s="18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8"/>
      <c r="GA82" s="18"/>
      <c r="GB82" s="18"/>
      <c r="GC82" s="18"/>
      <c r="GD82" s="18"/>
      <c r="GE82" s="18"/>
      <c r="GF82" s="18"/>
      <c r="GG82" s="18"/>
      <c r="GH82" s="18"/>
      <c r="GI82" s="18"/>
      <c r="GJ82" s="18"/>
      <c r="GK82" s="18"/>
      <c r="GL82" s="18"/>
      <c r="GM82" s="18"/>
      <c r="GN82" s="18"/>
      <c r="GO82" s="18"/>
      <c r="GP82" s="18"/>
      <c r="GQ82" s="18"/>
      <c r="GR82" s="18"/>
      <c r="GS82" s="18"/>
      <c r="GT82" s="18"/>
      <c r="GU82" s="18"/>
      <c r="GV82" s="18"/>
      <c r="GW82" s="18"/>
      <c r="GX82" s="18"/>
      <c r="GY82" s="18"/>
      <c r="GZ82" s="18"/>
      <c r="HA82" s="18"/>
      <c r="HB82" s="18"/>
      <c r="HC82" s="18"/>
      <c r="HD82" s="18"/>
      <c r="HE82" s="18"/>
      <c r="HF82" s="18"/>
      <c r="HG82" s="18"/>
      <c r="HH82" s="18"/>
      <c r="HI82" s="18"/>
      <c r="HJ82" s="18"/>
      <c r="HK82" s="18"/>
      <c r="HL82" s="18"/>
    </row>
    <row r="83" spans="1:220" s="22" customFormat="1" ht="27" customHeight="1" x14ac:dyDescent="0.15">
      <c r="A83" s="70"/>
      <c r="B83" s="56" t="s">
        <v>151</v>
      </c>
      <c r="C83" s="59"/>
      <c r="D83" s="1" t="s">
        <v>69</v>
      </c>
      <c r="E83" s="8"/>
      <c r="F83" s="8"/>
      <c r="G83" s="85" t="s">
        <v>478</v>
      </c>
      <c r="H83" s="15"/>
      <c r="I83" s="15"/>
      <c r="J83" s="31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18"/>
      <c r="FA83" s="18"/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8"/>
      <c r="GA83" s="18"/>
      <c r="GB83" s="18"/>
      <c r="GC83" s="18"/>
      <c r="GD83" s="18"/>
      <c r="GE83" s="18"/>
      <c r="GF83" s="18"/>
      <c r="GG83" s="18"/>
      <c r="GH83" s="18"/>
      <c r="GI83" s="18"/>
      <c r="GJ83" s="18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18"/>
      <c r="GV83" s="18"/>
      <c r="GW83" s="18"/>
      <c r="GX83" s="18"/>
      <c r="GY83" s="18"/>
      <c r="GZ83" s="18"/>
      <c r="HA83" s="18"/>
      <c r="HB83" s="18"/>
      <c r="HC83" s="18"/>
      <c r="HD83" s="18"/>
      <c r="HE83" s="18"/>
      <c r="HF83" s="18"/>
      <c r="HG83" s="18"/>
      <c r="HH83" s="18"/>
      <c r="HI83" s="18"/>
      <c r="HJ83" s="18"/>
      <c r="HK83" s="18"/>
      <c r="HL83" s="18"/>
    </row>
    <row r="84" spans="1:220" ht="45.75" customHeight="1" x14ac:dyDescent="0.15">
      <c r="A84" s="70"/>
      <c r="B84" s="56" t="s">
        <v>152</v>
      </c>
      <c r="C84" s="58" t="s">
        <v>362</v>
      </c>
      <c r="D84" s="1" t="s">
        <v>191</v>
      </c>
      <c r="G84" s="85" t="s">
        <v>478</v>
      </c>
      <c r="H84" s="8"/>
    </row>
    <row r="85" spans="1:220" ht="26.25" customHeight="1" x14ac:dyDescent="0.15">
      <c r="A85" s="70"/>
      <c r="B85" s="56" t="s">
        <v>153</v>
      </c>
      <c r="C85" s="59"/>
      <c r="D85" s="1" t="s">
        <v>69</v>
      </c>
      <c r="G85" s="85" t="s">
        <v>478</v>
      </c>
      <c r="H85" s="8"/>
    </row>
    <row r="86" spans="1:220" ht="48.75" customHeight="1" x14ac:dyDescent="0.15">
      <c r="A86" s="70"/>
      <c r="B86" s="56" t="s">
        <v>154</v>
      </c>
      <c r="C86" s="58" t="s">
        <v>363</v>
      </c>
      <c r="D86" s="1" t="s">
        <v>191</v>
      </c>
      <c r="G86" s="85" t="s">
        <v>478</v>
      </c>
      <c r="H86" s="8"/>
    </row>
    <row r="87" spans="1:220" ht="23.25" customHeight="1" x14ac:dyDescent="0.15">
      <c r="A87" s="70"/>
      <c r="B87" s="56" t="s">
        <v>155</v>
      </c>
      <c r="C87" s="59"/>
      <c r="D87" s="1" t="s">
        <v>69</v>
      </c>
      <c r="G87" s="85" t="s">
        <v>478</v>
      </c>
      <c r="H87" s="8"/>
    </row>
    <row r="88" spans="1:220" ht="16.5" customHeight="1" x14ac:dyDescent="0.15">
      <c r="A88" s="67" t="s">
        <v>365</v>
      </c>
      <c r="B88" s="56" t="s">
        <v>156</v>
      </c>
      <c r="C88" s="58" t="s">
        <v>375</v>
      </c>
      <c r="D88" s="8" t="s">
        <v>376</v>
      </c>
      <c r="G88" s="85" t="s">
        <v>478</v>
      </c>
      <c r="H88" s="8"/>
    </row>
    <row r="89" spans="1:220" ht="16.5" customHeight="1" x14ac:dyDescent="0.15">
      <c r="A89" s="67"/>
      <c r="B89" s="56" t="s">
        <v>157</v>
      </c>
      <c r="C89" s="59"/>
      <c r="D89" s="8" t="s">
        <v>377</v>
      </c>
      <c r="G89" s="85" t="s">
        <v>478</v>
      </c>
      <c r="H89" s="8"/>
    </row>
    <row r="90" spans="1:220" x14ac:dyDescent="0.15">
      <c r="A90" s="67"/>
      <c r="B90" s="56" t="s">
        <v>158</v>
      </c>
      <c r="C90" s="59"/>
      <c r="D90" s="8" t="s">
        <v>406</v>
      </c>
      <c r="G90" s="85" t="s">
        <v>478</v>
      </c>
      <c r="H90" s="8"/>
    </row>
    <row r="91" spans="1:220" x14ac:dyDescent="0.15">
      <c r="A91" s="67"/>
      <c r="B91" s="56" t="s">
        <v>159</v>
      </c>
      <c r="C91" s="58" t="s">
        <v>411</v>
      </c>
      <c r="D91" s="8" t="s">
        <v>414</v>
      </c>
      <c r="G91" s="85" t="s">
        <v>478</v>
      </c>
      <c r="H91" s="8"/>
    </row>
    <row r="92" spans="1:220" x14ac:dyDescent="0.15">
      <c r="A92" s="67"/>
      <c r="B92" s="56" t="s">
        <v>160</v>
      </c>
      <c r="C92" s="59"/>
      <c r="D92" s="8" t="s">
        <v>412</v>
      </c>
      <c r="G92" s="85" t="s">
        <v>478</v>
      </c>
      <c r="H92" s="8"/>
    </row>
    <row r="93" spans="1:220" x14ac:dyDescent="0.15">
      <c r="A93" s="67"/>
      <c r="B93" s="56" t="s">
        <v>161</v>
      </c>
      <c r="C93" s="59"/>
      <c r="D93" s="8" t="s">
        <v>413</v>
      </c>
      <c r="G93" s="85" t="s">
        <v>478</v>
      </c>
      <c r="H93" s="8"/>
    </row>
    <row r="94" spans="1:220" x14ac:dyDescent="0.15">
      <c r="A94" s="67"/>
      <c r="B94" s="56" t="s">
        <v>162</v>
      </c>
      <c r="C94" s="58" t="s">
        <v>416</v>
      </c>
      <c r="D94" s="8" t="s">
        <v>427</v>
      </c>
      <c r="G94" s="85" t="s">
        <v>478</v>
      </c>
      <c r="H94" s="8"/>
    </row>
    <row r="95" spans="1:220" x14ac:dyDescent="0.15">
      <c r="A95" s="67"/>
      <c r="B95" s="56" t="s">
        <v>163</v>
      </c>
      <c r="C95" s="59"/>
      <c r="D95" s="8" t="s">
        <v>419</v>
      </c>
      <c r="G95" s="85" t="s">
        <v>478</v>
      </c>
      <c r="H95" s="8"/>
    </row>
    <row r="96" spans="1:220" x14ac:dyDescent="0.15">
      <c r="A96" s="67"/>
      <c r="B96" s="56" t="s">
        <v>164</v>
      </c>
      <c r="C96" s="59"/>
      <c r="D96" s="8" t="s">
        <v>420</v>
      </c>
      <c r="G96" s="85" t="s">
        <v>478</v>
      </c>
      <c r="H96" s="8"/>
    </row>
    <row r="97" spans="1:8" ht="26.25" customHeight="1" x14ac:dyDescent="0.15">
      <c r="A97" s="67"/>
      <c r="B97" s="56" t="s">
        <v>165</v>
      </c>
      <c r="C97" s="58" t="s">
        <v>417</v>
      </c>
      <c r="D97" s="8" t="s">
        <v>415</v>
      </c>
      <c r="G97" s="85" t="s">
        <v>478</v>
      </c>
      <c r="H97" s="8"/>
    </row>
    <row r="98" spans="1:8" ht="30" customHeight="1" x14ac:dyDescent="0.15">
      <c r="A98" s="67"/>
      <c r="B98" s="56" t="s">
        <v>166</v>
      </c>
      <c r="C98" s="59"/>
      <c r="D98" s="8" t="s">
        <v>418</v>
      </c>
      <c r="G98" s="85" t="s">
        <v>478</v>
      </c>
      <c r="H98" s="8"/>
    </row>
    <row r="99" spans="1:8" ht="27.75" customHeight="1" x14ac:dyDescent="0.15">
      <c r="A99" s="67"/>
      <c r="B99" s="56" t="s">
        <v>167</v>
      </c>
      <c r="C99" s="58" t="s">
        <v>407</v>
      </c>
      <c r="D99" s="8" t="s">
        <v>409</v>
      </c>
      <c r="G99" s="85" t="s">
        <v>478</v>
      </c>
      <c r="H99" s="8"/>
    </row>
    <row r="100" spans="1:8" ht="25.5" customHeight="1" x14ac:dyDescent="0.15">
      <c r="A100" s="67"/>
      <c r="B100" s="56" t="s">
        <v>168</v>
      </c>
      <c r="C100" s="59"/>
      <c r="D100" s="8" t="s">
        <v>410</v>
      </c>
      <c r="G100" s="85" t="s">
        <v>478</v>
      </c>
      <c r="H100" s="8"/>
    </row>
    <row r="101" spans="1:8" ht="52.5" customHeight="1" x14ac:dyDescent="0.15">
      <c r="A101" s="67"/>
      <c r="B101" s="56" t="s">
        <v>169</v>
      </c>
      <c r="C101" s="52" t="s">
        <v>428</v>
      </c>
      <c r="D101" s="8" t="s">
        <v>376</v>
      </c>
      <c r="G101" s="85" t="s">
        <v>478</v>
      </c>
      <c r="H101" s="8"/>
    </row>
    <row r="102" spans="1:8" ht="16.5" customHeight="1" x14ac:dyDescent="0.15">
      <c r="A102" s="67"/>
      <c r="B102" s="56" t="s">
        <v>170</v>
      </c>
      <c r="C102" s="58" t="s">
        <v>429</v>
      </c>
      <c r="D102" s="8" t="s">
        <v>430</v>
      </c>
      <c r="G102" s="85" t="s">
        <v>478</v>
      </c>
      <c r="H102" s="8"/>
    </row>
    <row r="103" spans="1:8" ht="16.5" customHeight="1" x14ac:dyDescent="0.15">
      <c r="A103" s="67"/>
      <c r="B103" s="56" t="s">
        <v>171</v>
      </c>
      <c r="C103" s="59"/>
      <c r="D103" s="8" t="s">
        <v>431</v>
      </c>
      <c r="G103" s="85" t="s">
        <v>478</v>
      </c>
      <c r="H103" s="8"/>
    </row>
    <row r="104" spans="1:8" ht="16.5" customHeight="1" x14ac:dyDescent="0.15">
      <c r="A104" s="67"/>
      <c r="B104" s="56" t="s">
        <v>172</v>
      </c>
      <c r="C104" s="60"/>
      <c r="D104" s="8" t="s">
        <v>432</v>
      </c>
      <c r="G104" s="85" t="s">
        <v>478</v>
      </c>
      <c r="H104" s="8"/>
    </row>
    <row r="105" spans="1:8" ht="16.5" customHeight="1" x14ac:dyDescent="0.15">
      <c r="A105" s="67"/>
      <c r="B105" s="56" t="s">
        <v>173</v>
      </c>
      <c r="C105" s="58" t="s">
        <v>429</v>
      </c>
      <c r="D105" s="8" t="s">
        <v>430</v>
      </c>
      <c r="G105" s="85" t="s">
        <v>478</v>
      </c>
      <c r="H105" s="8"/>
    </row>
    <row r="106" spans="1:8" ht="16.5" customHeight="1" x14ac:dyDescent="0.15">
      <c r="A106" s="67"/>
      <c r="B106" s="56" t="s">
        <v>174</v>
      </c>
      <c r="C106" s="59"/>
      <c r="D106" s="8" t="s">
        <v>431</v>
      </c>
      <c r="G106" s="85" t="s">
        <v>478</v>
      </c>
      <c r="H106" s="8"/>
    </row>
    <row r="107" spans="1:8" ht="16.5" customHeight="1" x14ac:dyDescent="0.15">
      <c r="A107" s="67"/>
      <c r="B107" s="56" t="s">
        <v>175</v>
      </c>
      <c r="C107" s="60"/>
      <c r="D107" s="8" t="s">
        <v>432</v>
      </c>
      <c r="G107" s="85" t="s">
        <v>478</v>
      </c>
      <c r="H107" s="8"/>
    </row>
    <row r="108" spans="1:8" x14ac:dyDescent="0.15">
      <c r="A108" s="67"/>
      <c r="B108" s="56" t="s">
        <v>176</v>
      </c>
      <c r="C108" s="58" t="s">
        <v>433</v>
      </c>
      <c r="D108" s="8" t="s">
        <v>376</v>
      </c>
      <c r="G108" s="85" t="s">
        <v>478</v>
      </c>
      <c r="H108" s="8"/>
    </row>
    <row r="109" spans="1:8" x14ac:dyDescent="0.15">
      <c r="A109" s="67"/>
      <c r="B109" s="56" t="s">
        <v>177</v>
      </c>
      <c r="C109" s="59"/>
      <c r="D109" s="8" t="s">
        <v>377</v>
      </c>
      <c r="G109" s="85" t="s">
        <v>478</v>
      </c>
      <c r="H109" s="8"/>
    </row>
    <row r="110" spans="1:8" x14ac:dyDescent="0.15">
      <c r="A110" s="67"/>
      <c r="B110" s="56" t="s">
        <v>178</v>
      </c>
      <c r="C110" s="60"/>
      <c r="D110" s="8" t="s">
        <v>406</v>
      </c>
      <c r="G110" s="85" t="s">
        <v>478</v>
      </c>
      <c r="H110" s="8"/>
    </row>
    <row r="111" spans="1:8" x14ac:dyDescent="0.15">
      <c r="A111" s="67"/>
      <c r="B111" s="56" t="s">
        <v>179</v>
      </c>
      <c r="C111" s="58" t="s">
        <v>434</v>
      </c>
      <c r="D111" s="8" t="s">
        <v>408</v>
      </c>
      <c r="G111" s="85" t="s">
        <v>478</v>
      </c>
      <c r="H111" s="8"/>
    </row>
    <row r="112" spans="1:8" x14ac:dyDescent="0.15">
      <c r="A112" s="67"/>
      <c r="B112" s="56" t="s">
        <v>180</v>
      </c>
      <c r="C112" s="59"/>
      <c r="D112" s="8" t="s">
        <v>410</v>
      </c>
      <c r="G112" s="85" t="s">
        <v>478</v>
      </c>
      <c r="H112" s="8"/>
    </row>
    <row r="113" spans="1:220" x14ac:dyDescent="0.15">
      <c r="A113" s="67"/>
      <c r="B113" s="56" t="s">
        <v>181</v>
      </c>
      <c r="C113" s="60"/>
      <c r="D113" s="8" t="s">
        <v>435</v>
      </c>
      <c r="G113" s="85" t="s">
        <v>478</v>
      </c>
      <c r="H113" s="8"/>
    </row>
    <row r="114" spans="1:220" ht="50.25" customHeight="1" x14ac:dyDescent="0.15">
      <c r="A114" s="67"/>
      <c r="B114" s="56" t="s">
        <v>182</v>
      </c>
      <c r="C114" s="52" t="s">
        <v>436</v>
      </c>
      <c r="D114" s="8" t="s">
        <v>376</v>
      </c>
      <c r="G114" s="85" t="s">
        <v>478</v>
      </c>
      <c r="H114" s="8"/>
    </row>
    <row r="115" spans="1:220" ht="54" customHeight="1" x14ac:dyDescent="0.15">
      <c r="A115" s="67"/>
      <c r="B115" s="56" t="s">
        <v>183</v>
      </c>
      <c r="C115" s="52" t="s">
        <v>437</v>
      </c>
      <c r="D115" s="8" t="s">
        <v>376</v>
      </c>
      <c r="G115" s="85" t="s">
        <v>478</v>
      </c>
      <c r="H115" s="8"/>
    </row>
    <row r="116" spans="1:220" ht="33" x14ac:dyDescent="0.15">
      <c r="A116" s="67"/>
      <c r="B116" s="56" t="s">
        <v>184</v>
      </c>
      <c r="C116" s="31" t="s">
        <v>421</v>
      </c>
      <c r="D116" s="8" t="s">
        <v>422</v>
      </c>
      <c r="G116" s="85" t="s">
        <v>478</v>
      </c>
      <c r="H116" s="8"/>
    </row>
    <row r="117" spans="1:220" ht="27" customHeight="1" x14ac:dyDescent="0.15">
      <c r="A117" s="67"/>
      <c r="B117" s="56" t="s">
        <v>185</v>
      </c>
      <c r="C117" s="58" t="s">
        <v>424</v>
      </c>
      <c r="D117" s="8" t="s">
        <v>426</v>
      </c>
      <c r="G117" s="85" t="s">
        <v>478</v>
      </c>
      <c r="H117" s="8"/>
    </row>
    <row r="118" spans="1:220" ht="33.75" customHeight="1" x14ac:dyDescent="0.15">
      <c r="A118" s="67"/>
      <c r="B118" s="56" t="s">
        <v>186</v>
      </c>
      <c r="C118" s="60"/>
      <c r="D118" s="8" t="s">
        <v>425</v>
      </c>
      <c r="G118" s="85" t="s">
        <v>478</v>
      </c>
      <c r="H118" s="8"/>
    </row>
    <row r="119" spans="1:220" ht="16.5" customHeight="1" x14ac:dyDescent="0.15">
      <c r="A119" s="69" t="s">
        <v>202</v>
      </c>
      <c r="B119" s="56" t="s">
        <v>242</v>
      </c>
      <c r="C119" s="58" t="s">
        <v>219</v>
      </c>
      <c r="D119" s="1" t="s">
        <v>218</v>
      </c>
      <c r="G119" s="85" t="s">
        <v>478</v>
      </c>
      <c r="H119" s="15"/>
      <c r="I119" s="15"/>
    </row>
    <row r="120" spans="1:220" s="38" customFormat="1" ht="16.5" customHeight="1" x14ac:dyDescent="0.15">
      <c r="A120" s="70"/>
      <c r="B120" s="56" t="s">
        <v>243</v>
      </c>
      <c r="C120" s="59"/>
      <c r="D120" s="38" t="s">
        <v>366</v>
      </c>
      <c r="E120" s="8"/>
      <c r="F120" s="8"/>
      <c r="G120" s="85" t="s">
        <v>478</v>
      </c>
      <c r="H120" s="15"/>
      <c r="I120" s="15"/>
      <c r="J120" s="31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</row>
    <row r="121" spans="1:220" s="38" customFormat="1" ht="16.5" customHeight="1" x14ac:dyDescent="0.15">
      <c r="A121" s="70"/>
      <c r="B121" s="56" t="s">
        <v>244</v>
      </c>
      <c r="C121" s="59"/>
      <c r="D121" s="1" t="s">
        <v>220</v>
      </c>
      <c r="E121" s="8"/>
      <c r="F121" s="8"/>
      <c r="G121" s="85" t="s">
        <v>478</v>
      </c>
      <c r="H121" s="15"/>
      <c r="I121" s="15"/>
      <c r="J121" s="31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35"/>
      <c r="HE121" s="35"/>
      <c r="HF121" s="35"/>
      <c r="HG121" s="35"/>
      <c r="HH121" s="35"/>
      <c r="HI121" s="35"/>
      <c r="HJ121" s="35"/>
      <c r="HK121" s="35"/>
      <c r="HL121" s="35"/>
    </row>
    <row r="122" spans="1:220" s="38" customFormat="1" ht="16.5" customHeight="1" x14ac:dyDescent="0.15">
      <c r="A122" s="70"/>
      <c r="B122" s="56" t="s">
        <v>245</v>
      </c>
      <c r="C122" s="59"/>
      <c r="D122" s="1" t="s">
        <v>221</v>
      </c>
      <c r="E122" s="8"/>
      <c r="F122" s="8"/>
      <c r="G122" s="85" t="s">
        <v>478</v>
      </c>
      <c r="H122" s="15"/>
      <c r="I122" s="15"/>
      <c r="J122" s="31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5"/>
      <c r="GE122" s="35"/>
      <c r="GF122" s="35"/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35"/>
      <c r="HF122" s="35"/>
      <c r="HG122" s="35"/>
      <c r="HH122" s="35"/>
      <c r="HI122" s="35"/>
      <c r="HJ122" s="35"/>
      <c r="HK122" s="35"/>
      <c r="HL122" s="35"/>
    </row>
    <row r="123" spans="1:220" s="38" customFormat="1" ht="16.5" customHeight="1" x14ac:dyDescent="0.15">
      <c r="A123" s="70"/>
      <c r="B123" s="56" t="s">
        <v>246</v>
      </c>
      <c r="C123" s="60"/>
      <c r="D123" s="38" t="s">
        <v>222</v>
      </c>
      <c r="E123" s="8"/>
      <c r="F123" s="8"/>
      <c r="G123" s="85" t="s">
        <v>478</v>
      </c>
      <c r="H123" s="15"/>
      <c r="I123" s="15"/>
      <c r="J123" s="31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</row>
    <row r="124" spans="1:220" s="38" customFormat="1" ht="27.75" customHeight="1" x14ac:dyDescent="0.15">
      <c r="A124" s="70"/>
      <c r="B124" s="56" t="s">
        <v>247</v>
      </c>
      <c r="C124" s="58" t="s">
        <v>223</v>
      </c>
      <c r="D124" s="1" t="s">
        <v>224</v>
      </c>
      <c r="E124" s="8"/>
      <c r="F124" s="8"/>
      <c r="G124" s="85" t="s">
        <v>478</v>
      </c>
      <c r="H124" s="15"/>
      <c r="I124" s="15"/>
      <c r="J124" s="31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</row>
    <row r="125" spans="1:220" s="38" customFormat="1" ht="22.5" customHeight="1" x14ac:dyDescent="0.15">
      <c r="A125" s="70"/>
      <c r="B125" s="56" t="s">
        <v>248</v>
      </c>
      <c r="C125" s="59"/>
      <c r="D125" s="38" t="s">
        <v>225</v>
      </c>
      <c r="E125" s="8"/>
      <c r="F125" s="8"/>
      <c r="G125" s="85" t="s">
        <v>478</v>
      </c>
      <c r="H125" s="15"/>
      <c r="I125" s="15"/>
      <c r="J125" s="31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</row>
    <row r="126" spans="1:220" ht="16.5" customHeight="1" x14ac:dyDescent="0.15">
      <c r="A126" s="70"/>
      <c r="B126" s="56" t="s">
        <v>249</v>
      </c>
      <c r="C126" s="58" t="s">
        <v>226</v>
      </c>
      <c r="D126" s="1" t="s">
        <v>265</v>
      </c>
      <c r="G126" s="85" t="s">
        <v>478</v>
      </c>
      <c r="H126" s="15"/>
      <c r="I126" s="15"/>
    </row>
    <row r="127" spans="1:220" s="38" customFormat="1" ht="16.5" customHeight="1" x14ac:dyDescent="0.15">
      <c r="A127" s="70"/>
      <c r="B127" s="56" t="s">
        <v>250</v>
      </c>
      <c r="C127" s="59"/>
      <c r="D127" s="38" t="s">
        <v>367</v>
      </c>
      <c r="E127" s="8"/>
      <c r="F127" s="8"/>
      <c r="G127" s="85" t="s">
        <v>478</v>
      </c>
      <c r="H127" s="15"/>
      <c r="I127" s="15"/>
      <c r="J127" s="31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</row>
    <row r="128" spans="1:220" s="38" customFormat="1" ht="16.5" customHeight="1" x14ac:dyDescent="0.15">
      <c r="A128" s="70"/>
      <c r="B128" s="56" t="s">
        <v>251</v>
      </c>
      <c r="C128" s="59"/>
      <c r="D128" s="1" t="s">
        <v>266</v>
      </c>
      <c r="E128" s="8"/>
      <c r="F128" s="8"/>
      <c r="G128" s="85" t="s">
        <v>478</v>
      </c>
      <c r="H128" s="15"/>
      <c r="I128" s="15"/>
      <c r="J128" s="31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L128" s="35"/>
    </row>
    <row r="129" spans="1:220" s="38" customFormat="1" ht="16.5" customHeight="1" x14ac:dyDescent="0.15">
      <c r="A129" s="70"/>
      <c r="B129" s="56" t="s">
        <v>252</v>
      </c>
      <c r="C129" s="59"/>
      <c r="D129" s="1" t="s">
        <v>267</v>
      </c>
      <c r="E129" s="8"/>
      <c r="F129" s="8"/>
      <c r="G129" s="85" t="s">
        <v>478</v>
      </c>
      <c r="H129" s="15"/>
      <c r="I129" s="15"/>
      <c r="J129" s="31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</row>
    <row r="130" spans="1:220" s="38" customFormat="1" ht="16.5" customHeight="1" x14ac:dyDescent="0.15">
      <c r="A130" s="70"/>
      <c r="B130" s="56" t="s">
        <v>253</v>
      </c>
      <c r="C130" s="60"/>
      <c r="D130" s="38" t="s">
        <v>268</v>
      </c>
      <c r="E130" s="8"/>
      <c r="F130" s="8"/>
      <c r="G130" s="85" t="s">
        <v>478</v>
      </c>
      <c r="H130" s="15"/>
      <c r="I130" s="15"/>
      <c r="J130" s="31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</row>
    <row r="131" spans="1:220" s="38" customFormat="1" ht="28.5" customHeight="1" x14ac:dyDescent="0.15">
      <c r="A131" s="70"/>
      <c r="B131" s="56" t="s">
        <v>254</v>
      </c>
      <c r="C131" s="58" t="s">
        <v>227</v>
      </c>
      <c r="D131" s="1" t="s">
        <v>269</v>
      </c>
      <c r="E131" s="8"/>
      <c r="F131" s="8"/>
      <c r="G131" s="85" t="s">
        <v>478</v>
      </c>
      <c r="H131" s="15"/>
      <c r="I131" s="15"/>
      <c r="J131" s="31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</row>
    <row r="132" spans="1:220" s="38" customFormat="1" ht="29.25" customHeight="1" x14ac:dyDescent="0.15">
      <c r="A132" s="70"/>
      <c r="B132" s="56" t="s">
        <v>255</v>
      </c>
      <c r="C132" s="59"/>
      <c r="D132" s="38" t="s">
        <v>270</v>
      </c>
      <c r="E132" s="8"/>
      <c r="F132" s="8"/>
      <c r="G132" s="85" t="s">
        <v>478</v>
      </c>
      <c r="H132" s="15"/>
      <c r="I132" s="15"/>
      <c r="J132" s="31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</row>
    <row r="133" spans="1:220" ht="16.5" customHeight="1" x14ac:dyDescent="0.15">
      <c r="A133" s="70"/>
      <c r="B133" s="56" t="s">
        <v>256</v>
      </c>
      <c r="C133" s="58" t="s">
        <v>228</v>
      </c>
      <c r="D133" s="1" t="s">
        <v>271</v>
      </c>
      <c r="G133" s="85" t="s">
        <v>478</v>
      </c>
      <c r="H133" s="15"/>
      <c r="I133" s="15"/>
    </row>
    <row r="134" spans="1:220" s="38" customFormat="1" ht="16.5" customHeight="1" x14ac:dyDescent="0.15">
      <c r="A134" s="70"/>
      <c r="B134" s="56" t="s">
        <v>257</v>
      </c>
      <c r="C134" s="59"/>
      <c r="D134" s="38" t="s">
        <v>368</v>
      </c>
      <c r="E134" s="8"/>
      <c r="F134" s="8"/>
      <c r="G134" s="85" t="s">
        <v>478</v>
      </c>
      <c r="H134" s="15"/>
      <c r="I134" s="15"/>
      <c r="J134" s="31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5"/>
      <c r="HE134" s="35"/>
      <c r="HF134" s="35"/>
      <c r="HG134" s="35"/>
      <c r="HH134" s="35"/>
      <c r="HI134" s="35"/>
      <c r="HJ134" s="35"/>
      <c r="HK134" s="35"/>
      <c r="HL134" s="35"/>
    </row>
    <row r="135" spans="1:220" s="38" customFormat="1" ht="16.5" customHeight="1" x14ac:dyDescent="0.15">
      <c r="A135" s="70"/>
      <c r="B135" s="56" t="s">
        <v>258</v>
      </c>
      <c r="C135" s="59"/>
      <c r="D135" s="1" t="s">
        <v>308</v>
      </c>
      <c r="E135" s="8"/>
      <c r="F135" s="8"/>
      <c r="G135" s="85" t="s">
        <v>478</v>
      </c>
      <c r="H135" s="15"/>
      <c r="I135" s="15"/>
      <c r="J135" s="31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5"/>
      <c r="HE135" s="35"/>
      <c r="HF135" s="35"/>
      <c r="HG135" s="35"/>
      <c r="HH135" s="35"/>
      <c r="HI135" s="35"/>
      <c r="HJ135" s="35"/>
      <c r="HK135" s="35"/>
      <c r="HL135" s="35"/>
    </row>
    <row r="136" spans="1:220" s="38" customFormat="1" ht="16.5" customHeight="1" x14ac:dyDescent="0.15">
      <c r="A136" s="70"/>
      <c r="B136" s="56" t="s">
        <v>259</v>
      </c>
      <c r="C136" s="59"/>
      <c r="D136" s="1" t="s">
        <v>272</v>
      </c>
      <c r="E136" s="8"/>
      <c r="F136" s="8"/>
      <c r="G136" s="85" t="s">
        <v>478</v>
      </c>
      <c r="H136" s="15"/>
      <c r="I136" s="15"/>
      <c r="J136" s="31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5"/>
      <c r="HE136" s="35"/>
      <c r="HF136" s="35"/>
      <c r="HG136" s="35"/>
      <c r="HH136" s="35"/>
      <c r="HI136" s="35"/>
      <c r="HJ136" s="35"/>
      <c r="HK136" s="35"/>
      <c r="HL136" s="35"/>
    </row>
    <row r="137" spans="1:220" s="38" customFormat="1" ht="16.5" customHeight="1" x14ac:dyDescent="0.15">
      <c r="A137" s="70"/>
      <c r="B137" s="56" t="s">
        <v>260</v>
      </c>
      <c r="C137" s="60"/>
      <c r="D137" s="38" t="s">
        <v>273</v>
      </c>
      <c r="E137" s="8"/>
      <c r="F137" s="8"/>
      <c r="G137" s="85" t="s">
        <v>478</v>
      </c>
      <c r="H137" s="15"/>
      <c r="I137" s="15"/>
      <c r="J137" s="31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5"/>
      <c r="HE137" s="35"/>
      <c r="HF137" s="35"/>
      <c r="HG137" s="35"/>
      <c r="HH137" s="35"/>
      <c r="HI137" s="35"/>
      <c r="HJ137" s="35"/>
      <c r="HK137" s="35"/>
      <c r="HL137" s="35"/>
    </row>
    <row r="138" spans="1:220" s="38" customFormat="1" ht="25.5" customHeight="1" x14ac:dyDescent="0.15">
      <c r="A138" s="70"/>
      <c r="B138" s="56" t="s">
        <v>261</v>
      </c>
      <c r="C138" s="58" t="s">
        <v>229</v>
      </c>
      <c r="D138" s="1" t="s">
        <v>274</v>
      </c>
      <c r="E138" s="8"/>
      <c r="F138" s="8"/>
      <c r="G138" s="85" t="s">
        <v>478</v>
      </c>
      <c r="H138" s="15"/>
      <c r="I138" s="15"/>
      <c r="J138" s="31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5"/>
      <c r="HE138" s="35"/>
      <c r="HF138" s="35"/>
      <c r="HG138" s="35"/>
      <c r="HH138" s="35"/>
      <c r="HI138" s="35"/>
      <c r="HJ138" s="35"/>
      <c r="HK138" s="35"/>
      <c r="HL138" s="35"/>
    </row>
    <row r="139" spans="1:220" s="38" customFormat="1" ht="27" customHeight="1" x14ac:dyDescent="0.15">
      <c r="A139" s="70"/>
      <c r="B139" s="56" t="s">
        <v>262</v>
      </c>
      <c r="C139" s="59"/>
      <c r="D139" s="38" t="s">
        <v>275</v>
      </c>
      <c r="E139" s="8"/>
      <c r="F139" s="8"/>
      <c r="G139" s="85" t="s">
        <v>478</v>
      </c>
      <c r="H139" s="15"/>
      <c r="I139" s="15"/>
      <c r="J139" s="31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35"/>
      <c r="EA139" s="35"/>
      <c r="EB139" s="35"/>
      <c r="EC139" s="35"/>
      <c r="ED139" s="35"/>
      <c r="EE139" s="35"/>
      <c r="EF139" s="35"/>
      <c r="EG139" s="35"/>
      <c r="EH139" s="35"/>
      <c r="EI139" s="35"/>
      <c r="EJ139" s="35"/>
      <c r="EK139" s="35"/>
      <c r="EL139" s="35"/>
      <c r="EM139" s="35"/>
      <c r="EN139" s="35"/>
      <c r="EO139" s="35"/>
      <c r="EP139" s="35"/>
      <c r="EQ139" s="35"/>
      <c r="ER139" s="35"/>
      <c r="ES139" s="35"/>
      <c r="ET139" s="35"/>
      <c r="EU139" s="35"/>
      <c r="EV139" s="35"/>
      <c r="EW139" s="35"/>
      <c r="EX139" s="35"/>
      <c r="EY139" s="35"/>
      <c r="EZ139" s="35"/>
      <c r="FA139" s="35"/>
      <c r="FB139" s="35"/>
      <c r="FC139" s="35"/>
      <c r="FD139" s="35"/>
      <c r="FE139" s="35"/>
      <c r="FF139" s="35"/>
      <c r="FG139" s="35"/>
      <c r="FH139" s="35"/>
      <c r="FI139" s="35"/>
      <c r="FJ139" s="35"/>
      <c r="FK139" s="35"/>
      <c r="FL139" s="35"/>
      <c r="FM139" s="35"/>
      <c r="FN139" s="35"/>
      <c r="FO139" s="35"/>
      <c r="FP139" s="35"/>
      <c r="FQ139" s="35"/>
      <c r="FR139" s="35"/>
      <c r="FS139" s="35"/>
      <c r="FT139" s="35"/>
      <c r="FU139" s="35"/>
      <c r="FV139" s="35"/>
      <c r="FW139" s="35"/>
      <c r="FX139" s="35"/>
      <c r="FY139" s="35"/>
      <c r="FZ139" s="35"/>
      <c r="GA139" s="35"/>
      <c r="GB139" s="35"/>
      <c r="GC139" s="35"/>
      <c r="GD139" s="35"/>
      <c r="GE139" s="35"/>
      <c r="GF139" s="35"/>
      <c r="GG139" s="35"/>
      <c r="GH139" s="35"/>
      <c r="GI139" s="35"/>
      <c r="GJ139" s="35"/>
      <c r="GK139" s="35"/>
      <c r="GL139" s="35"/>
      <c r="GM139" s="35"/>
      <c r="GN139" s="35"/>
      <c r="GO139" s="35"/>
      <c r="GP139" s="35"/>
      <c r="GQ139" s="35"/>
      <c r="GR139" s="35"/>
      <c r="GS139" s="35"/>
      <c r="GT139" s="35"/>
      <c r="GU139" s="35"/>
      <c r="GV139" s="35"/>
      <c r="GW139" s="35"/>
      <c r="GX139" s="35"/>
      <c r="GY139" s="35"/>
      <c r="GZ139" s="35"/>
      <c r="HA139" s="35"/>
      <c r="HB139" s="35"/>
      <c r="HC139" s="35"/>
      <c r="HD139" s="35"/>
      <c r="HE139" s="35"/>
      <c r="HF139" s="35"/>
      <c r="HG139" s="35"/>
      <c r="HH139" s="35"/>
      <c r="HI139" s="35"/>
      <c r="HJ139" s="35"/>
      <c r="HK139" s="35"/>
      <c r="HL139" s="35"/>
    </row>
    <row r="140" spans="1:220" ht="16.5" customHeight="1" x14ac:dyDescent="0.15">
      <c r="A140" s="70"/>
      <c r="B140" s="56" t="s">
        <v>263</v>
      </c>
      <c r="C140" s="58" t="s">
        <v>230</v>
      </c>
      <c r="D140" s="1" t="s">
        <v>276</v>
      </c>
      <c r="G140" s="85" t="s">
        <v>478</v>
      </c>
      <c r="H140" s="15"/>
      <c r="I140" s="15"/>
    </row>
    <row r="141" spans="1:220" s="38" customFormat="1" ht="16.5" customHeight="1" x14ac:dyDescent="0.15">
      <c r="A141" s="70"/>
      <c r="B141" s="56" t="s">
        <v>264</v>
      </c>
      <c r="C141" s="59"/>
      <c r="D141" s="38" t="s">
        <v>369</v>
      </c>
      <c r="E141" s="8"/>
      <c r="F141" s="8"/>
      <c r="G141" s="85" t="s">
        <v>478</v>
      </c>
      <c r="H141" s="15"/>
      <c r="I141" s="15"/>
      <c r="J141" s="31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5"/>
      <c r="BE141" s="35"/>
      <c r="BF141" s="35"/>
      <c r="BG141" s="35"/>
      <c r="BH141" s="35"/>
      <c r="BI141" s="35"/>
      <c r="BJ141" s="35"/>
      <c r="BK141" s="35"/>
      <c r="BL141" s="35"/>
      <c r="BM141" s="35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  <c r="CX141" s="35"/>
      <c r="CY141" s="35"/>
      <c r="CZ141" s="35"/>
      <c r="DA141" s="35"/>
      <c r="DB141" s="35"/>
      <c r="DC141" s="35"/>
      <c r="DD141" s="35"/>
      <c r="DE141" s="35"/>
      <c r="DF141" s="35"/>
      <c r="DG141" s="35"/>
      <c r="DH141" s="35"/>
      <c r="DI141" s="35"/>
      <c r="DJ141" s="35"/>
      <c r="DK141" s="35"/>
      <c r="DL141" s="35"/>
      <c r="DM141" s="35"/>
      <c r="DN141" s="35"/>
      <c r="DO141" s="35"/>
      <c r="DP141" s="35"/>
      <c r="DQ141" s="35"/>
      <c r="DR141" s="35"/>
      <c r="DS141" s="35"/>
      <c r="DT141" s="35"/>
      <c r="DU141" s="35"/>
      <c r="DV141" s="35"/>
      <c r="DW141" s="35"/>
      <c r="DX141" s="35"/>
      <c r="DY141" s="35"/>
      <c r="DZ141" s="35"/>
      <c r="EA141" s="35"/>
      <c r="EB141" s="35"/>
      <c r="EC141" s="35"/>
      <c r="ED141" s="35"/>
      <c r="EE141" s="35"/>
      <c r="EF141" s="35"/>
      <c r="EG141" s="35"/>
      <c r="EH141" s="35"/>
      <c r="EI141" s="35"/>
      <c r="EJ141" s="35"/>
      <c r="EK141" s="35"/>
      <c r="EL141" s="35"/>
      <c r="EM141" s="35"/>
      <c r="EN141" s="35"/>
      <c r="EO141" s="35"/>
      <c r="EP141" s="35"/>
      <c r="EQ141" s="35"/>
      <c r="ER141" s="35"/>
      <c r="ES141" s="35"/>
      <c r="ET141" s="35"/>
      <c r="EU141" s="35"/>
      <c r="EV141" s="35"/>
      <c r="EW141" s="35"/>
      <c r="EX141" s="35"/>
      <c r="EY141" s="35"/>
      <c r="EZ141" s="35"/>
      <c r="FA141" s="35"/>
      <c r="FB141" s="35"/>
      <c r="FC141" s="35"/>
      <c r="FD141" s="35"/>
      <c r="FE141" s="35"/>
      <c r="FF141" s="35"/>
      <c r="FG141" s="35"/>
      <c r="FH141" s="35"/>
      <c r="FI141" s="35"/>
      <c r="FJ141" s="35"/>
      <c r="FK141" s="35"/>
      <c r="FL141" s="35"/>
      <c r="FM141" s="35"/>
      <c r="FN141" s="35"/>
      <c r="FO141" s="35"/>
      <c r="FP141" s="35"/>
      <c r="FQ141" s="35"/>
      <c r="FR141" s="35"/>
      <c r="FS141" s="35"/>
      <c r="FT141" s="35"/>
      <c r="FU141" s="35"/>
      <c r="FV141" s="35"/>
      <c r="FW141" s="35"/>
      <c r="FX141" s="35"/>
      <c r="FY141" s="35"/>
      <c r="FZ141" s="35"/>
      <c r="GA141" s="35"/>
      <c r="GB141" s="35"/>
      <c r="GC141" s="35"/>
      <c r="GD141" s="35"/>
      <c r="GE141" s="35"/>
      <c r="GF141" s="35"/>
      <c r="GG141" s="35"/>
      <c r="GH141" s="35"/>
      <c r="GI141" s="35"/>
      <c r="GJ141" s="35"/>
      <c r="GK141" s="35"/>
      <c r="GL141" s="35"/>
      <c r="GM141" s="35"/>
      <c r="GN141" s="35"/>
      <c r="GO141" s="35"/>
      <c r="GP141" s="35"/>
      <c r="GQ141" s="35"/>
      <c r="GR141" s="35"/>
      <c r="GS141" s="35"/>
      <c r="GT141" s="35"/>
      <c r="GU141" s="35"/>
      <c r="GV141" s="35"/>
      <c r="GW141" s="35"/>
      <c r="GX141" s="35"/>
      <c r="GY141" s="35"/>
      <c r="GZ141" s="35"/>
      <c r="HA141" s="35"/>
      <c r="HB141" s="35"/>
      <c r="HC141" s="35"/>
      <c r="HD141" s="35"/>
      <c r="HE141" s="35"/>
      <c r="HF141" s="35"/>
      <c r="HG141" s="35"/>
      <c r="HH141" s="35"/>
      <c r="HI141" s="35"/>
      <c r="HJ141" s="35"/>
      <c r="HK141" s="35"/>
      <c r="HL141" s="35"/>
    </row>
    <row r="142" spans="1:220" s="38" customFormat="1" ht="16.5" customHeight="1" x14ac:dyDescent="0.15">
      <c r="A142" s="70"/>
      <c r="B142" s="56" t="s">
        <v>309</v>
      </c>
      <c r="C142" s="59"/>
      <c r="D142" s="1" t="s">
        <v>277</v>
      </c>
      <c r="E142" s="8"/>
      <c r="F142" s="8"/>
      <c r="G142" s="85" t="s">
        <v>478</v>
      </c>
      <c r="H142" s="15"/>
      <c r="I142" s="15"/>
      <c r="J142" s="31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  <c r="BD142" s="35"/>
      <c r="BE142" s="35"/>
      <c r="BF142" s="35"/>
      <c r="BG142" s="35"/>
      <c r="BH142" s="35"/>
      <c r="BI142" s="35"/>
      <c r="BJ142" s="35"/>
      <c r="BK142" s="35"/>
      <c r="BL142" s="35"/>
      <c r="BM142" s="35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  <c r="CX142" s="35"/>
      <c r="CY142" s="35"/>
      <c r="CZ142" s="35"/>
      <c r="DA142" s="35"/>
      <c r="DB142" s="35"/>
      <c r="DC142" s="35"/>
      <c r="DD142" s="35"/>
      <c r="DE142" s="35"/>
      <c r="DF142" s="35"/>
      <c r="DG142" s="35"/>
      <c r="DH142" s="35"/>
      <c r="DI142" s="35"/>
      <c r="DJ142" s="35"/>
      <c r="DK142" s="35"/>
      <c r="DL142" s="35"/>
      <c r="DM142" s="35"/>
      <c r="DN142" s="35"/>
      <c r="DO142" s="35"/>
      <c r="DP142" s="35"/>
      <c r="DQ142" s="35"/>
      <c r="DR142" s="35"/>
      <c r="DS142" s="35"/>
      <c r="DT142" s="35"/>
      <c r="DU142" s="35"/>
      <c r="DV142" s="35"/>
      <c r="DW142" s="35"/>
      <c r="DX142" s="35"/>
      <c r="DY142" s="35"/>
      <c r="DZ142" s="35"/>
      <c r="EA142" s="35"/>
      <c r="EB142" s="35"/>
      <c r="EC142" s="35"/>
      <c r="ED142" s="35"/>
      <c r="EE142" s="35"/>
      <c r="EF142" s="35"/>
      <c r="EG142" s="35"/>
      <c r="EH142" s="35"/>
      <c r="EI142" s="35"/>
      <c r="EJ142" s="35"/>
      <c r="EK142" s="35"/>
      <c r="EL142" s="35"/>
      <c r="EM142" s="35"/>
      <c r="EN142" s="35"/>
      <c r="EO142" s="35"/>
      <c r="EP142" s="35"/>
      <c r="EQ142" s="35"/>
      <c r="ER142" s="35"/>
      <c r="ES142" s="35"/>
      <c r="ET142" s="35"/>
      <c r="EU142" s="35"/>
      <c r="EV142" s="35"/>
      <c r="EW142" s="35"/>
      <c r="EX142" s="35"/>
      <c r="EY142" s="35"/>
      <c r="EZ142" s="35"/>
      <c r="FA142" s="35"/>
      <c r="FB142" s="35"/>
      <c r="FC142" s="35"/>
      <c r="FD142" s="35"/>
      <c r="FE142" s="35"/>
      <c r="FF142" s="35"/>
      <c r="FG142" s="35"/>
      <c r="FH142" s="35"/>
      <c r="FI142" s="35"/>
      <c r="FJ142" s="35"/>
      <c r="FK142" s="35"/>
      <c r="FL142" s="35"/>
      <c r="FM142" s="35"/>
      <c r="FN142" s="35"/>
      <c r="FO142" s="35"/>
      <c r="FP142" s="35"/>
      <c r="FQ142" s="35"/>
      <c r="FR142" s="35"/>
      <c r="FS142" s="35"/>
      <c r="FT142" s="35"/>
      <c r="FU142" s="35"/>
      <c r="FV142" s="35"/>
      <c r="FW142" s="35"/>
      <c r="FX142" s="35"/>
      <c r="FY142" s="35"/>
      <c r="FZ142" s="35"/>
      <c r="GA142" s="35"/>
      <c r="GB142" s="35"/>
      <c r="GC142" s="35"/>
      <c r="GD142" s="35"/>
      <c r="GE142" s="35"/>
      <c r="GF142" s="35"/>
      <c r="GG142" s="35"/>
      <c r="GH142" s="35"/>
      <c r="GI142" s="35"/>
      <c r="GJ142" s="35"/>
      <c r="GK142" s="35"/>
      <c r="GL142" s="35"/>
      <c r="GM142" s="35"/>
      <c r="GN142" s="35"/>
      <c r="GO142" s="35"/>
      <c r="GP142" s="35"/>
      <c r="GQ142" s="35"/>
      <c r="GR142" s="35"/>
      <c r="GS142" s="35"/>
      <c r="GT142" s="35"/>
      <c r="GU142" s="35"/>
      <c r="GV142" s="35"/>
      <c r="GW142" s="35"/>
      <c r="GX142" s="35"/>
      <c r="GY142" s="35"/>
      <c r="GZ142" s="35"/>
      <c r="HA142" s="35"/>
      <c r="HB142" s="35"/>
      <c r="HC142" s="35"/>
      <c r="HD142" s="35"/>
      <c r="HE142" s="35"/>
      <c r="HF142" s="35"/>
      <c r="HG142" s="35"/>
      <c r="HH142" s="35"/>
      <c r="HI142" s="35"/>
      <c r="HJ142" s="35"/>
      <c r="HK142" s="35"/>
      <c r="HL142" s="35"/>
    </row>
    <row r="143" spans="1:220" s="38" customFormat="1" ht="16.5" customHeight="1" x14ac:dyDescent="0.15">
      <c r="A143" s="70"/>
      <c r="B143" s="56" t="s">
        <v>310</v>
      </c>
      <c r="C143" s="59"/>
      <c r="D143" s="1" t="s">
        <v>278</v>
      </c>
      <c r="E143" s="8"/>
      <c r="F143" s="8"/>
      <c r="G143" s="85" t="s">
        <v>478</v>
      </c>
      <c r="H143" s="15"/>
      <c r="I143" s="15"/>
      <c r="J143" s="31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35"/>
      <c r="BE143" s="35"/>
      <c r="BF143" s="35"/>
      <c r="BG143" s="35"/>
      <c r="BH143" s="35"/>
      <c r="BI143" s="35"/>
      <c r="BJ143" s="35"/>
      <c r="BK143" s="35"/>
      <c r="BL143" s="35"/>
      <c r="BM143" s="35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  <c r="CX143" s="35"/>
      <c r="CY143" s="35"/>
      <c r="CZ143" s="35"/>
      <c r="DA143" s="35"/>
      <c r="DB143" s="35"/>
      <c r="DC143" s="35"/>
      <c r="DD143" s="35"/>
      <c r="DE143" s="35"/>
      <c r="DF143" s="35"/>
      <c r="DG143" s="35"/>
      <c r="DH143" s="35"/>
      <c r="DI143" s="35"/>
      <c r="DJ143" s="35"/>
      <c r="DK143" s="35"/>
      <c r="DL143" s="35"/>
      <c r="DM143" s="35"/>
      <c r="DN143" s="35"/>
      <c r="DO143" s="35"/>
      <c r="DP143" s="35"/>
      <c r="DQ143" s="35"/>
      <c r="DR143" s="35"/>
      <c r="DS143" s="35"/>
      <c r="DT143" s="35"/>
      <c r="DU143" s="35"/>
      <c r="DV143" s="35"/>
      <c r="DW143" s="35"/>
      <c r="DX143" s="35"/>
      <c r="DY143" s="35"/>
      <c r="DZ143" s="35"/>
      <c r="EA143" s="35"/>
      <c r="EB143" s="35"/>
      <c r="EC143" s="35"/>
      <c r="ED143" s="35"/>
      <c r="EE143" s="35"/>
      <c r="EF143" s="35"/>
      <c r="EG143" s="35"/>
      <c r="EH143" s="35"/>
      <c r="EI143" s="35"/>
      <c r="EJ143" s="35"/>
      <c r="EK143" s="35"/>
      <c r="EL143" s="35"/>
      <c r="EM143" s="35"/>
      <c r="EN143" s="35"/>
      <c r="EO143" s="35"/>
      <c r="EP143" s="35"/>
      <c r="EQ143" s="35"/>
      <c r="ER143" s="35"/>
      <c r="ES143" s="35"/>
      <c r="ET143" s="35"/>
      <c r="EU143" s="35"/>
      <c r="EV143" s="35"/>
      <c r="EW143" s="35"/>
      <c r="EX143" s="35"/>
      <c r="EY143" s="35"/>
      <c r="EZ143" s="35"/>
      <c r="FA143" s="35"/>
      <c r="FB143" s="35"/>
      <c r="FC143" s="35"/>
      <c r="FD143" s="35"/>
      <c r="FE143" s="35"/>
      <c r="FF143" s="35"/>
      <c r="FG143" s="35"/>
      <c r="FH143" s="35"/>
      <c r="FI143" s="35"/>
      <c r="FJ143" s="35"/>
      <c r="FK143" s="35"/>
      <c r="FL143" s="35"/>
      <c r="FM143" s="35"/>
      <c r="FN143" s="35"/>
      <c r="FO143" s="35"/>
      <c r="FP143" s="35"/>
      <c r="FQ143" s="35"/>
      <c r="FR143" s="35"/>
      <c r="FS143" s="35"/>
      <c r="FT143" s="35"/>
      <c r="FU143" s="35"/>
      <c r="FV143" s="35"/>
      <c r="FW143" s="35"/>
      <c r="FX143" s="35"/>
      <c r="FY143" s="35"/>
      <c r="FZ143" s="35"/>
      <c r="GA143" s="35"/>
      <c r="GB143" s="35"/>
      <c r="GC143" s="35"/>
      <c r="GD143" s="35"/>
      <c r="GE143" s="35"/>
      <c r="GF143" s="35"/>
      <c r="GG143" s="35"/>
      <c r="GH143" s="35"/>
      <c r="GI143" s="35"/>
      <c r="GJ143" s="35"/>
      <c r="GK143" s="35"/>
      <c r="GL143" s="35"/>
      <c r="GM143" s="35"/>
      <c r="GN143" s="35"/>
      <c r="GO143" s="35"/>
      <c r="GP143" s="35"/>
      <c r="GQ143" s="35"/>
      <c r="GR143" s="35"/>
      <c r="GS143" s="35"/>
      <c r="GT143" s="35"/>
      <c r="GU143" s="35"/>
      <c r="GV143" s="35"/>
      <c r="GW143" s="35"/>
      <c r="GX143" s="35"/>
      <c r="GY143" s="35"/>
      <c r="GZ143" s="35"/>
      <c r="HA143" s="35"/>
      <c r="HB143" s="35"/>
      <c r="HC143" s="35"/>
      <c r="HD143" s="35"/>
      <c r="HE143" s="35"/>
      <c r="HF143" s="35"/>
      <c r="HG143" s="35"/>
      <c r="HH143" s="35"/>
      <c r="HI143" s="35"/>
      <c r="HJ143" s="35"/>
      <c r="HK143" s="35"/>
      <c r="HL143" s="35"/>
    </row>
    <row r="144" spans="1:220" s="38" customFormat="1" ht="16.5" customHeight="1" x14ac:dyDescent="0.15">
      <c r="A144" s="70"/>
      <c r="B144" s="56" t="s">
        <v>311</v>
      </c>
      <c r="C144" s="60"/>
      <c r="D144" s="38" t="s">
        <v>279</v>
      </c>
      <c r="E144" s="8"/>
      <c r="F144" s="8"/>
      <c r="G144" s="85" t="s">
        <v>478</v>
      </c>
      <c r="H144" s="15"/>
      <c r="I144" s="15"/>
      <c r="J144" s="31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5"/>
      <c r="BE144" s="35"/>
      <c r="BF144" s="35"/>
      <c r="BG144" s="35"/>
      <c r="BH144" s="35"/>
      <c r="BI144" s="35"/>
      <c r="BJ144" s="35"/>
      <c r="BK144" s="35"/>
      <c r="BL144" s="35"/>
      <c r="BM144" s="35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  <c r="CX144" s="35"/>
      <c r="CY144" s="35"/>
      <c r="CZ144" s="35"/>
      <c r="DA144" s="35"/>
      <c r="DB144" s="35"/>
      <c r="DC144" s="35"/>
      <c r="DD144" s="35"/>
      <c r="DE144" s="35"/>
      <c r="DF144" s="35"/>
      <c r="DG144" s="35"/>
      <c r="DH144" s="35"/>
      <c r="DI144" s="35"/>
      <c r="DJ144" s="35"/>
      <c r="DK144" s="35"/>
      <c r="DL144" s="35"/>
      <c r="DM144" s="35"/>
      <c r="DN144" s="35"/>
      <c r="DO144" s="35"/>
      <c r="DP144" s="35"/>
      <c r="DQ144" s="35"/>
      <c r="DR144" s="35"/>
      <c r="DS144" s="35"/>
      <c r="DT144" s="35"/>
      <c r="DU144" s="35"/>
      <c r="DV144" s="35"/>
      <c r="DW144" s="35"/>
      <c r="DX144" s="35"/>
      <c r="DY144" s="35"/>
      <c r="DZ144" s="35"/>
      <c r="EA144" s="35"/>
      <c r="EB144" s="35"/>
      <c r="EC144" s="35"/>
      <c r="ED144" s="35"/>
      <c r="EE144" s="35"/>
      <c r="EF144" s="35"/>
      <c r="EG144" s="35"/>
      <c r="EH144" s="35"/>
      <c r="EI144" s="35"/>
      <c r="EJ144" s="35"/>
      <c r="EK144" s="35"/>
      <c r="EL144" s="35"/>
      <c r="EM144" s="35"/>
      <c r="EN144" s="35"/>
      <c r="EO144" s="35"/>
      <c r="EP144" s="35"/>
      <c r="EQ144" s="35"/>
      <c r="ER144" s="35"/>
      <c r="ES144" s="35"/>
      <c r="ET144" s="35"/>
      <c r="EU144" s="35"/>
      <c r="EV144" s="35"/>
      <c r="EW144" s="35"/>
      <c r="EX144" s="35"/>
      <c r="EY144" s="35"/>
      <c r="EZ144" s="35"/>
      <c r="FA144" s="35"/>
      <c r="FB144" s="35"/>
      <c r="FC144" s="35"/>
      <c r="FD144" s="35"/>
      <c r="FE144" s="35"/>
      <c r="FF144" s="35"/>
      <c r="FG144" s="35"/>
      <c r="FH144" s="35"/>
      <c r="FI144" s="35"/>
      <c r="FJ144" s="35"/>
      <c r="FK144" s="35"/>
      <c r="FL144" s="35"/>
      <c r="FM144" s="35"/>
      <c r="FN144" s="35"/>
      <c r="FO144" s="35"/>
      <c r="FP144" s="35"/>
      <c r="FQ144" s="35"/>
      <c r="FR144" s="35"/>
      <c r="FS144" s="35"/>
      <c r="FT144" s="35"/>
      <c r="FU144" s="35"/>
      <c r="FV144" s="35"/>
      <c r="FW144" s="35"/>
      <c r="FX144" s="35"/>
      <c r="FY144" s="35"/>
      <c r="FZ144" s="35"/>
      <c r="GA144" s="35"/>
      <c r="GB144" s="35"/>
      <c r="GC144" s="35"/>
      <c r="GD144" s="35"/>
      <c r="GE144" s="35"/>
      <c r="GF144" s="35"/>
      <c r="GG144" s="35"/>
      <c r="GH144" s="35"/>
      <c r="GI144" s="35"/>
      <c r="GJ144" s="35"/>
      <c r="GK144" s="35"/>
      <c r="GL144" s="35"/>
      <c r="GM144" s="35"/>
      <c r="GN144" s="35"/>
      <c r="GO144" s="35"/>
      <c r="GP144" s="35"/>
      <c r="GQ144" s="35"/>
      <c r="GR144" s="35"/>
      <c r="GS144" s="35"/>
      <c r="GT144" s="35"/>
      <c r="GU144" s="35"/>
      <c r="GV144" s="35"/>
      <c r="GW144" s="35"/>
      <c r="GX144" s="35"/>
      <c r="GY144" s="35"/>
      <c r="GZ144" s="35"/>
      <c r="HA144" s="35"/>
      <c r="HB144" s="35"/>
      <c r="HC144" s="35"/>
      <c r="HD144" s="35"/>
      <c r="HE144" s="35"/>
      <c r="HF144" s="35"/>
      <c r="HG144" s="35"/>
      <c r="HH144" s="35"/>
      <c r="HI144" s="35"/>
      <c r="HJ144" s="35"/>
      <c r="HK144" s="35"/>
      <c r="HL144" s="35"/>
    </row>
    <row r="145" spans="1:220" s="38" customFormat="1" ht="25.5" customHeight="1" x14ac:dyDescent="0.15">
      <c r="A145" s="70"/>
      <c r="B145" s="56" t="s">
        <v>312</v>
      </c>
      <c r="C145" s="58" t="s">
        <v>231</v>
      </c>
      <c r="D145" s="1" t="s">
        <v>280</v>
      </c>
      <c r="E145" s="8"/>
      <c r="F145" s="8"/>
      <c r="G145" s="85" t="s">
        <v>478</v>
      </c>
      <c r="H145" s="15"/>
      <c r="I145" s="15"/>
      <c r="J145" s="31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5"/>
      <c r="BE145" s="35"/>
      <c r="BF145" s="35"/>
      <c r="BG145" s="35"/>
      <c r="BH145" s="35"/>
      <c r="BI145" s="35"/>
      <c r="BJ145" s="35"/>
      <c r="BK145" s="35"/>
      <c r="BL145" s="35"/>
      <c r="BM145" s="35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  <c r="CX145" s="35"/>
      <c r="CY145" s="35"/>
      <c r="CZ145" s="35"/>
      <c r="DA145" s="35"/>
      <c r="DB145" s="35"/>
      <c r="DC145" s="35"/>
      <c r="DD145" s="35"/>
      <c r="DE145" s="35"/>
      <c r="DF145" s="35"/>
      <c r="DG145" s="35"/>
      <c r="DH145" s="35"/>
      <c r="DI145" s="35"/>
      <c r="DJ145" s="35"/>
      <c r="DK145" s="35"/>
      <c r="DL145" s="35"/>
      <c r="DM145" s="35"/>
      <c r="DN145" s="35"/>
      <c r="DO145" s="35"/>
      <c r="DP145" s="35"/>
      <c r="DQ145" s="35"/>
      <c r="DR145" s="35"/>
      <c r="DS145" s="35"/>
      <c r="DT145" s="35"/>
      <c r="DU145" s="35"/>
      <c r="DV145" s="35"/>
      <c r="DW145" s="35"/>
      <c r="DX145" s="35"/>
      <c r="DY145" s="35"/>
      <c r="DZ145" s="35"/>
      <c r="EA145" s="35"/>
      <c r="EB145" s="35"/>
      <c r="EC145" s="35"/>
      <c r="ED145" s="35"/>
      <c r="EE145" s="35"/>
      <c r="EF145" s="35"/>
      <c r="EG145" s="35"/>
      <c r="EH145" s="35"/>
      <c r="EI145" s="35"/>
      <c r="EJ145" s="35"/>
      <c r="EK145" s="35"/>
      <c r="EL145" s="35"/>
      <c r="EM145" s="35"/>
      <c r="EN145" s="35"/>
      <c r="EO145" s="35"/>
      <c r="EP145" s="35"/>
      <c r="EQ145" s="35"/>
      <c r="ER145" s="35"/>
      <c r="ES145" s="35"/>
      <c r="ET145" s="35"/>
      <c r="EU145" s="35"/>
      <c r="EV145" s="35"/>
      <c r="EW145" s="35"/>
      <c r="EX145" s="35"/>
      <c r="EY145" s="35"/>
      <c r="EZ145" s="35"/>
      <c r="FA145" s="35"/>
      <c r="FB145" s="35"/>
      <c r="FC145" s="35"/>
      <c r="FD145" s="35"/>
      <c r="FE145" s="35"/>
      <c r="FF145" s="35"/>
      <c r="FG145" s="35"/>
      <c r="FH145" s="35"/>
      <c r="FI145" s="35"/>
      <c r="FJ145" s="35"/>
      <c r="FK145" s="35"/>
      <c r="FL145" s="35"/>
      <c r="FM145" s="35"/>
      <c r="FN145" s="35"/>
      <c r="FO145" s="35"/>
      <c r="FP145" s="35"/>
      <c r="FQ145" s="35"/>
      <c r="FR145" s="35"/>
      <c r="FS145" s="35"/>
      <c r="FT145" s="35"/>
      <c r="FU145" s="35"/>
      <c r="FV145" s="35"/>
      <c r="FW145" s="35"/>
      <c r="FX145" s="35"/>
      <c r="FY145" s="35"/>
      <c r="FZ145" s="35"/>
      <c r="GA145" s="35"/>
      <c r="GB145" s="35"/>
      <c r="GC145" s="35"/>
      <c r="GD145" s="35"/>
      <c r="GE145" s="35"/>
      <c r="GF145" s="35"/>
      <c r="GG145" s="35"/>
      <c r="GH145" s="35"/>
      <c r="GI145" s="35"/>
      <c r="GJ145" s="35"/>
      <c r="GK145" s="35"/>
      <c r="GL145" s="35"/>
      <c r="GM145" s="35"/>
      <c r="GN145" s="35"/>
      <c r="GO145" s="35"/>
      <c r="GP145" s="35"/>
      <c r="GQ145" s="35"/>
      <c r="GR145" s="35"/>
      <c r="GS145" s="35"/>
      <c r="GT145" s="35"/>
      <c r="GU145" s="35"/>
      <c r="GV145" s="35"/>
      <c r="GW145" s="35"/>
      <c r="GX145" s="35"/>
      <c r="GY145" s="35"/>
      <c r="GZ145" s="35"/>
      <c r="HA145" s="35"/>
      <c r="HB145" s="35"/>
      <c r="HC145" s="35"/>
      <c r="HD145" s="35"/>
      <c r="HE145" s="35"/>
      <c r="HF145" s="35"/>
      <c r="HG145" s="35"/>
      <c r="HH145" s="35"/>
      <c r="HI145" s="35"/>
      <c r="HJ145" s="35"/>
      <c r="HK145" s="35"/>
      <c r="HL145" s="35"/>
    </row>
    <row r="146" spans="1:220" s="38" customFormat="1" ht="27.75" customHeight="1" x14ac:dyDescent="0.15">
      <c r="A146" s="70"/>
      <c r="B146" s="56" t="s">
        <v>313</v>
      </c>
      <c r="C146" s="59"/>
      <c r="D146" s="38" t="s">
        <v>281</v>
      </c>
      <c r="E146" s="8"/>
      <c r="F146" s="8"/>
      <c r="G146" s="85" t="s">
        <v>478</v>
      </c>
      <c r="H146" s="15"/>
      <c r="I146" s="15"/>
      <c r="J146" s="31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  <c r="CX146" s="35"/>
      <c r="CY146" s="35"/>
      <c r="CZ146" s="35"/>
      <c r="DA146" s="35"/>
      <c r="DB146" s="35"/>
      <c r="DC146" s="35"/>
      <c r="DD146" s="35"/>
      <c r="DE146" s="35"/>
      <c r="DF146" s="35"/>
      <c r="DG146" s="35"/>
      <c r="DH146" s="35"/>
      <c r="DI146" s="35"/>
      <c r="DJ146" s="35"/>
      <c r="DK146" s="35"/>
      <c r="DL146" s="35"/>
      <c r="DM146" s="35"/>
      <c r="DN146" s="35"/>
      <c r="DO146" s="35"/>
      <c r="DP146" s="35"/>
      <c r="DQ146" s="35"/>
      <c r="DR146" s="35"/>
      <c r="DS146" s="35"/>
      <c r="DT146" s="35"/>
      <c r="DU146" s="35"/>
      <c r="DV146" s="35"/>
      <c r="DW146" s="35"/>
      <c r="DX146" s="35"/>
      <c r="DY146" s="35"/>
      <c r="DZ146" s="35"/>
      <c r="EA146" s="35"/>
      <c r="EB146" s="35"/>
      <c r="EC146" s="35"/>
      <c r="ED146" s="35"/>
      <c r="EE146" s="35"/>
      <c r="EF146" s="35"/>
      <c r="EG146" s="35"/>
      <c r="EH146" s="35"/>
      <c r="EI146" s="35"/>
      <c r="EJ146" s="35"/>
      <c r="EK146" s="35"/>
      <c r="EL146" s="35"/>
      <c r="EM146" s="35"/>
      <c r="EN146" s="35"/>
      <c r="EO146" s="35"/>
      <c r="EP146" s="35"/>
      <c r="EQ146" s="35"/>
      <c r="ER146" s="35"/>
      <c r="ES146" s="35"/>
      <c r="ET146" s="35"/>
      <c r="EU146" s="35"/>
      <c r="EV146" s="35"/>
      <c r="EW146" s="35"/>
      <c r="EX146" s="35"/>
      <c r="EY146" s="35"/>
      <c r="EZ146" s="35"/>
      <c r="FA146" s="35"/>
      <c r="FB146" s="35"/>
      <c r="FC146" s="35"/>
      <c r="FD146" s="35"/>
      <c r="FE146" s="35"/>
      <c r="FF146" s="35"/>
      <c r="FG146" s="35"/>
      <c r="FH146" s="35"/>
      <c r="FI146" s="35"/>
      <c r="FJ146" s="35"/>
      <c r="FK146" s="35"/>
      <c r="FL146" s="35"/>
      <c r="FM146" s="35"/>
      <c r="FN146" s="35"/>
      <c r="FO146" s="35"/>
      <c r="FP146" s="35"/>
      <c r="FQ146" s="35"/>
      <c r="FR146" s="35"/>
      <c r="FS146" s="35"/>
      <c r="FT146" s="35"/>
      <c r="FU146" s="35"/>
      <c r="FV146" s="35"/>
      <c r="FW146" s="35"/>
      <c r="FX146" s="35"/>
      <c r="FY146" s="35"/>
      <c r="FZ146" s="35"/>
      <c r="GA146" s="35"/>
      <c r="GB146" s="35"/>
      <c r="GC146" s="35"/>
      <c r="GD146" s="35"/>
      <c r="GE146" s="35"/>
      <c r="GF146" s="35"/>
      <c r="GG146" s="35"/>
      <c r="GH146" s="35"/>
      <c r="GI146" s="35"/>
      <c r="GJ146" s="35"/>
      <c r="GK146" s="35"/>
      <c r="GL146" s="35"/>
      <c r="GM146" s="35"/>
      <c r="GN146" s="35"/>
      <c r="GO146" s="35"/>
      <c r="GP146" s="35"/>
      <c r="GQ146" s="35"/>
      <c r="GR146" s="35"/>
      <c r="GS146" s="35"/>
      <c r="GT146" s="35"/>
      <c r="GU146" s="35"/>
      <c r="GV146" s="35"/>
      <c r="GW146" s="35"/>
      <c r="GX146" s="35"/>
      <c r="GY146" s="35"/>
      <c r="GZ146" s="35"/>
      <c r="HA146" s="35"/>
      <c r="HB146" s="35"/>
      <c r="HC146" s="35"/>
      <c r="HD146" s="35"/>
      <c r="HE146" s="35"/>
      <c r="HF146" s="35"/>
      <c r="HG146" s="35"/>
      <c r="HH146" s="35"/>
      <c r="HI146" s="35"/>
      <c r="HJ146" s="35"/>
      <c r="HK146" s="35"/>
      <c r="HL146" s="35"/>
    </row>
    <row r="147" spans="1:220" ht="16.5" customHeight="1" x14ac:dyDescent="0.15">
      <c r="A147" s="70"/>
      <c r="B147" s="56" t="s">
        <v>314</v>
      </c>
      <c r="C147" s="58" t="s">
        <v>232</v>
      </c>
      <c r="D147" s="1" t="s">
        <v>282</v>
      </c>
      <c r="G147" s="85" t="s">
        <v>478</v>
      </c>
      <c r="H147" s="15"/>
      <c r="I147" s="15"/>
    </row>
    <row r="148" spans="1:220" s="38" customFormat="1" ht="16.5" customHeight="1" x14ac:dyDescent="0.15">
      <c r="A148" s="70"/>
      <c r="B148" s="56" t="s">
        <v>315</v>
      </c>
      <c r="C148" s="59"/>
      <c r="D148" s="38" t="s">
        <v>370</v>
      </c>
      <c r="E148" s="8"/>
      <c r="F148" s="8"/>
      <c r="G148" s="85" t="s">
        <v>478</v>
      </c>
      <c r="H148" s="15"/>
      <c r="I148" s="15"/>
      <c r="J148" s="31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  <c r="CX148" s="35"/>
      <c r="CY148" s="35"/>
      <c r="CZ148" s="35"/>
      <c r="DA148" s="35"/>
      <c r="DB148" s="35"/>
      <c r="DC148" s="35"/>
      <c r="DD148" s="35"/>
      <c r="DE148" s="35"/>
      <c r="DF148" s="35"/>
      <c r="DG148" s="35"/>
      <c r="DH148" s="35"/>
      <c r="DI148" s="35"/>
      <c r="DJ148" s="35"/>
      <c r="DK148" s="35"/>
      <c r="DL148" s="35"/>
      <c r="DM148" s="35"/>
      <c r="DN148" s="35"/>
      <c r="DO148" s="35"/>
      <c r="DP148" s="35"/>
      <c r="DQ148" s="35"/>
      <c r="DR148" s="35"/>
      <c r="DS148" s="35"/>
      <c r="DT148" s="35"/>
      <c r="DU148" s="35"/>
      <c r="DV148" s="35"/>
      <c r="DW148" s="35"/>
      <c r="DX148" s="35"/>
      <c r="DY148" s="35"/>
      <c r="DZ148" s="35"/>
      <c r="EA148" s="35"/>
      <c r="EB148" s="35"/>
      <c r="EC148" s="35"/>
      <c r="ED148" s="35"/>
      <c r="EE148" s="35"/>
      <c r="EF148" s="35"/>
      <c r="EG148" s="35"/>
      <c r="EH148" s="35"/>
      <c r="EI148" s="35"/>
      <c r="EJ148" s="35"/>
      <c r="EK148" s="35"/>
      <c r="EL148" s="35"/>
      <c r="EM148" s="35"/>
      <c r="EN148" s="35"/>
      <c r="EO148" s="35"/>
      <c r="EP148" s="35"/>
      <c r="EQ148" s="35"/>
      <c r="ER148" s="35"/>
      <c r="ES148" s="35"/>
      <c r="ET148" s="35"/>
      <c r="EU148" s="35"/>
      <c r="EV148" s="35"/>
      <c r="EW148" s="35"/>
      <c r="EX148" s="35"/>
      <c r="EY148" s="35"/>
      <c r="EZ148" s="35"/>
      <c r="FA148" s="35"/>
      <c r="FB148" s="35"/>
      <c r="FC148" s="35"/>
      <c r="FD148" s="35"/>
      <c r="FE148" s="35"/>
      <c r="FF148" s="35"/>
      <c r="FG148" s="35"/>
      <c r="FH148" s="35"/>
      <c r="FI148" s="35"/>
      <c r="FJ148" s="35"/>
      <c r="FK148" s="35"/>
      <c r="FL148" s="35"/>
      <c r="FM148" s="35"/>
      <c r="FN148" s="35"/>
      <c r="FO148" s="35"/>
      <c r="FP148" s="35"/>
      <c r="FQ148" s="35"/>
      <c r="FR148" s="35"/>
      <c r="FS148" s="35"/>
      <c r="FT148" s="35"/>
      <c r="FU148" s="35"/>
      <c r="FV148" s="35"/>
      <c r="FW148" s="35"/>
      <c r="FX148" s="35"/>
      <c r="FY148" s="35"/>
      <c r="FZ148" s="35"/>
      <c r="GA148" s="35"/>
      <c r="GB148" s="35"/>
      <c r="GC148" s="35"/>
      <c r="GD148" s="35"/>
      <c r="GE148" s="35"/>
      <c r="GF148" s="35"/>
      <c r="GG148" s="35"/>
      <c r="GH148" s="35"/>
      <c r="GI148" s="35"/>
      <c r="GJ148" s="35"/>
      <c r="GK148" s="35"/>
      <c r="GL148" s="35"/>
      <c r="GM148" s="35"/>
      <c r="GN148" s="35"/>
      <c r="GO148" s="35"/>
      <c r="GP148" s="35"/>
      <c r="GQ148" s="35"/>
      <c r="GR148" s="35"/>
      <c r="GS148" s="35"/>
      <c r="GT148" s="35"/>
      <c r="GU148" s="35"/>
      <c r="GV148" s="35"/>
      <c r="GW148" s="35"/>
      <c r="GX148" s="35"/>
      <c r="GY148" s="35"/>
      <c r="GZ148" s="35"/>
      <c r="HA148" s="35"/>
      <c r="HB148" s="35"/>
      <c r="HC148" s="35"/>
      <c r="HD148" s="35"/>
      <c r="HE148" s="35"/>
      <c r="HF148" s="35"/>
      <c r="HG148" s="35"/>
      <c r="HH148" s="35"/>
      <c r="HI148" s="35"/>
      <c r="HJ148" s="35"/>
      <c r="HK148" s="35"/>
      <c r="HL148" s="35"/>
    </row>
    <row r="149" spans="1:220" s="38" customFormat="1" ht="16.5" customHeight="1" x14ac:dyDescent="0.15">
      <c r="A149" s="70"/>
      <c r="B149" s="56" t="s">
        <v>316</v>
      </c>
      <c r="C149" s="59"/>
      <c r="D149" s="1" t="s">
        <v>348</v>
      </c>
      <c r="E149" s="8"/>
      <c r="F149" s="8"/>
      <c r="G149" s="85" t="s">
        <v>478</v>
      </c>
      <c r="H149" s="15"/>
      <c r="I149" s="15"/>
      <c r="J149" s="31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5"/>
      <c r="BE149" s="35"/>
      <c r="BF149" s="35"/>
      <c r="BG149" s="35"/>
      <c r="BH149" s="35"/>
      <c r="BI149" s="35"/>
      <c r="BJ149" s="35"/>
      <c r="BK149" s="35"/>
      <c r="BL149" s="35"/>
      <c r="BM149" s="35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  <c r="CX149" s="35"/>
      <c r="CY149" s="35"/>
      <c r="CZ149" s="35"/>
      <c r="DA149" s="35"/>
      <c r="DB149" s="35"/>
      <c r="DC149" s="35"/>
      <c r="DD149" s="35"/>
      <c r="DE149" s="35"/>
      <c r="DF149" s="35"/>
      <c r="DG149" s="35"/>
      <c r="DH149" s="35"/>
      <c r="DI149" s="35"/>
      <c r="DJ149" s="35"/>
      <c r="DK149" s="35"/>
      <c r="DL149" s="35"/>
      <c r="DM149" s="35"/>
      <c r="DN149" s="35"/>
      <c r="DO149" s="35"/>
      <c r="DP149" s="35"/>
      <c r="DQ149" s="35"/>
      <c r="DR149" s="35"/>
      <c r="DS149" s="35"/>
      <c r="DT149" s="35"/>
      <c r="DU149" s="35"/>
      <c r="DV149" s="35"/>
      <c r="DW149" s="35"/>
      <c r="DX149" s="35"/>
      <c r="DY149" s="35"/>
      <c r="DZ149" s="35"/>
      <c r="EA149" s="35"/>
      <c r="EB149" s="35"/>
      <c r="EC149" s="35"/>
      <c r="ED149" s="35"/>
      <c r="EE149" s="35"/>
      <c r="EF149" s="35"/>
      <c r="EG149" s="35"/>
      <c r="EH149" s="35"/>
      <c r="EI149" s="35"/>
      <c r="EJ149" s="35"/>
      <c r="EK149" s="35"/>
      <c r="EL149" s="35"/>
      <c r="EM149" s="35"/>
      <c r="EN149" s="35"/>
      <c r="EO149" s="35"/>
      <c r="EP149" s="35"/>
      <c r="EQ149" s="35"/>
      <c r="ER149" s="35"/>
      <c r="ES149" s="35"/>
      <c r="ET149" s="35"/>
      <c r="EU149" s="35"/>
      <c r="EV149" s="35"/>
      <c r="EW149" s="35"/>
      <c r="EX149" s="35"/>
      <c r="EY149" s="35"/>
      <c r="EZ149" s="35"/>
      <c r="FA149" s="35"/>
      <c r="FB149" s="35"/>
      <c r="FC149" s="35"/>
      <c r="FD149" s="35"/>
      <c r="FE149" s="35"/>
      <c r="FF149" s="35"/>
      <c r="FG149" s="35"/>
      <c r="FH149" s="35"/>
      <c r="FI149" s="35"/>
      <c r="FJ149" s="35"/>
      <c r="FK149" s="35"/>
      <c r="FL149" s="35"/>
      <c r="FM149" s="35"/>
      <c r="FN149" s="35"/>
      <c r="FO149" s="35"/>
      <c r="FP149" s="35"/>
      <c r="FQ149" s="35"/>
      <c r="FR149" s="35"/>
      <c r="FS149" s="35"/>
      <c r="FT149" s="35"/>
      <c r="FU149" s="35"/>
      <c r="FV149" s="35"/>
      <c r="FW149" s="35"/>
      <c r="FX149" s="35"/>
      <c r="FY149" s="35"/>
      <c r="FZ149" s="35"/>
      <c r="GA149" s="35"/>
      <c r="GB149" s="35"/>
      <c r="GC149" s="35"/>
      <c r="GD149" s="35"/>
      <c r="GE149" s="35"/>
      <c r="GF149" s="35"/>
      <c r="GG149" s="35"/>
      <c r="GH149" s="35"/>
      <c r="GI149" s="35"/>
      <c r="GJ149" s="35"/>
      <c r="GK149" s="35"/>
      <c r="GL149" s="35"/>
      <c r="GM149" s="35"/>
      <c r="GN149" s="35"/>
      <c r="GO149" s="35"/>
      <c r="GP149" s="35"/>
      <c r="GQ149" s="35"/>
      <c r="GR149" s="35"/>
      <c r="GS149" s="35"/>
      <c r="GT149" s="35"/>
      <c r="GU149" s="35"/>
      <c r="GV149" s="35"/>
      <c r="GW149" s="35"/>
      <c r="GX149" s="35"/>
      <c r="GY149" s="35"/>
      <c r="GZ149" s="35"/>
      <c r="HA149" s="35"/>
      <c r="HB149" s="35"/>
      <c r="HC149" s="35"/>
      <c r="HD149" s="35"/>
      <c r="HE149" s="35"/>
      <c r="HF149" s="35"/>
      <c r="HG149" s="35"/>
      <c r="HH149" s="35"/>
      <c r="HI149" s="35"/>
      <c r="HJ149" s="35"/>
      <c r="HK149" s="35"/>
      <c r="HL149" s="35"/>
    </row>
    <row r="150" spans="1:220" s="38" customFormat="1" ht="16.5" customHeight="1" x14ac:dyDescent="0.15">
      <c r="A150" s="70"/>
      <c r="B150" s="56" t="s">
        <v>317</v>
      </c>
      <c r="C150" s="59"/>
      <c r="D150" s="1" t="s">
        <v>283</v>
      </c>
      <c r="E150" s="8"/>
      <c r="F150" s="8"/>
      <c r="G150" s="85" t="s">
        <v>478</v>
      </c>
      <c r="H150" s="15"/>
      <c r="I150" s="15"/>
      <c r="J150" s="31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5"/>
      <c r="BE150" s="35"/>
      <c r="BF150" s="35"/>
      <c r="BG150" s="35"/>
      <c r="BH150" s="35"/>
      <c r="BI150" s="35"/>
      <c r="BJ150" s="35"/>
      <c r="BK150" s="35"/>
      <c r="BL150" s="35"/>
      <c r="BM150" s="35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  <c r="CX150" s="35"/>
      <c r="CY150" s="35"/>
      <c r="CZ150" s="35"/>
      <c r="DA150" s="35"/>
      <c r="DB150" s="35"/>
      <c r="DC150" s="35"/>
      <c r="DD150" s="35"/>
      <c r="DE150" s="35"/>
      <c r="DF150" s="35"/>
      <c r="DG150" s="35"/>
      <c r="DH150" s="35"/>
      <c r="DI150" s="35"/>
      <c r="DJ150" s="35"/>
      <c r="DK150" s="35"/>
      <c r="DL150" s="35"/>
      <c r="DM150" s="35"/>
      <c r="DN150" s="35"/>
      <c r="DO150" s="35"/>
      <c r="DP150" s="35"/>
      <c r="DQ150" s="35"/>
      <c r="DR150" s="35"/>
      <c r="DS150" s="35"/>
      <c r="DT150" s="35"/>
      <c r="DU150" s="35"/>
      <c r="DV150" s="35"/>
      <c r="DW150" s="35"/>
      <c r="DX150" s="35"/>
      <c r="DY150" s="35"/>
      <c r="DZ150" s="35"/>
      <c r="EA150" s="35"/>
      <c r="EB150" s="35"/>
      <c r="EC150" s="35"/>
      <c r="ED150" s="35"/>
      <c r="EE150" s="35"/>
      <c r="EF150" s="35"/>
      <c r="EG150" s="35"/>
      <c r="EH150" s="35"/>
      <c r="EI150" s="35"/>
      <c r="EJ150" s="35"/>
      <c r="EK150" s="35"/>
      <c r="EL150" s="35"/>
      <c r="EM150" s="35"/>
      <c r="EN150" s="35"/>
      <c r="EO150" s="35"/>
      <c r="EP150" s="35"/>
      <c r="EQ150" s="35"/>
      <c r="ER150" s="35"/>
      <c r="ES150" s="35"/>
      <c r="ET150" s="35"/>
      <c r="EU150" s="35"/>
      <c r="EV150" s="35"/>
      <c r="EW150" s="35"/>
      <c r="EX150" s="35"/>
      <c r="EY150" s="35"/>
      <c r="EZ150" s="35"/>
      <c r="FA150" s="35"/>
      <c r="FB150" s="35"/>
      <c r="FC150" s="35"/>
      <c r="FD150" s="35"/>
      <c r="FE150" s="35"/>
      <c r="FF150" s="35"/>
      <c r="FG150" s="35"/>
      <c r="FH150" s="35"/>
      <c r="FI150" s="35"/>
      <c r="FJ150" s="35"/>
      <c r="FK150" s="35"/>
      <c r="FL150" s="35"/>
      <c r="FM150" s="35"/>
      <c r="FN150" s="35"/>
      <c r="FO150" s="35"/>
      <c r="FP150" s="35"/>
      <c r="FQ150" s="35"/>
      <c r="FR150" s="35"/>
      <c r="FS150" s="35"/>
      <c r="FT150" s="35"/>
      <c r="FU150" s="35"/>
      <c r="FV150" s="35"/>
      <c r="FW150" s="35"/>
      <c r="FX150" s="35"/>
      <c r="FY150" s="35"/>
      <c r="FZ150" s="35"/>
      <c r="GA150" s="35"/>
      <c r="GB150" s="35"/>
      <c r="GC150" s="35"/>
      <c r="GD150" s="35"/>
      <c r="GE150" s="35"/>
      <c r="GF150" s="35"/>
      <c r="GG150" s="35"/>
      <c r="GH150" s="35"/>
      <c r="GI150" s="35"/>
      <c r="GJ150" s="35"/>
      <c r="GK150" s="35"/>
      <c r="GL150" s="35"/>
      <c r="GM150" s="35"/>
      <c r="GN150" s="35"/>
      <c r="GO150" s="35"/>
      <c r="GP150" s="35"/>
      <c r="GQ150" s="35"/>
      <c r="GR150" s="35"/>
      <c r="GS150" s="35"/>
      <c r="GT150" s="35"/>
      <c r="GU150" s="35"/>
      <c r="GV150" s="35"/>
      <c r="GW150" s="35"/>
      <c r="GX150" s="35"/>
      <c r="GY150" s="35"/>
      <c r="GZ150" s="35"/>
      <c r="HA150" s="35"/>
      <c r="HB150" s="35"/>
      <c r="HC150" s="35"/>
      <c r="HD150" s="35"/>
      <c r="HE150" s="35"/>
      <c r="HF150" s="35"/>
      <c r="HG150" s="35"/>
      <c r="HH150" s="35"/>
      <c r="HI150" s="35"/>
      <c r="HJ150" s="35"/>
      <c r="HK150" s="35"/>
      <c r="HL150" s="35"/>
    </row>
    <row r="151" spans="1:220" s="38" customFormat="1" ht="16.5" customHeight="1" x14ac:dyDescent="0.15">
      <c r="A151" s="70"/>
      <c r="B151" s="56" t="s">
        <v>318</v>
      </c>
      <c r="C151" s="60"/>
      <c r="D151" s="38" t="s">
        <v>284</v>
      </c>
      <c r="E151" s="8"/>
      <c r="F151" s="8"/>
      <c r="G151" s="85" t="s">
        <v>478</v>
      </c>
      <c r="H151" s="15"/>
      <c r="I151" s="15"/>
      <c r="J151" s="31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5"/>
      <c r="BE151" s="35"/>
      <c r="BF151" s="35"/>
      <c r="BG151" s="35"/>
      <c r="BH151" s="35"/>
      <c r="BI151" s="35"/>
      <c r="BJ151" s="35"/>
      <c r="BK151" s="35"/>
      <c r="BL151" s="35"/>
      <c r="BM151" s="35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  <c r="CX151" s="35"/>
      <c r="CY151" s="35"/>
      <c r="CZ151" s="35"/>
      <c r="DA151" s="35"/>
      <c r="DB151" s="35"/>
      <c r="DC151" s="35"/>
      <c r="DD151" s="35"/>
      <c r="DE151" s="35"/>
      <c r="DF151" s="35"/>
      <c r="DG151" s="35"/>
      <c r="DH151" s="35"/>
      <c r="DI151" s="35"/>
      <c r="DJ151" s="35"/>
      <c r="DK151" s="35"/>
      <c r="DL151" s="35"/>
      <c r="DM151" s="35"/>
      <c r="DN151" s="35"/>
      <c r="DO151" s="35"/>
      <c r="DP151" s="35"/>
      <c r="DQ151" s="35"/>
      <c r="DR151" s="35"/>
      <c r="DS151" s="35"/>
      <c r="DT151" s="35"/>
      <c r="DU151" s="35"/>
      <c r="DV151" s="35"/>
      <c r="DW151" s="35"/>
      <c r="DX151" s="35"/>
      <c r="DY151" s="35"/>
      <c r="DZ151" s="35"/>
      <c r="EA151" s="35"/>
      <c r="EB151" s="35"/>
      <c r="EC151" s="35"/>
      <c r="ED151" s="35"/>
      <c r="EE151" s="35"/>
      <c r="EF151" s="35"/>
      <c r="EG151" s="35"/>
      <c r="EH151" s="35"/>
      <c r="EI151" s="35"/>
      <c r="EJ151" s="35"/>
      <c r="EK151" s="35"/>
      <c r="EL151" s="35"/>
      <c r="EM151" s="35"/>
      <c r="EN151" s="35"/>
      <c r="EO151" s="35"/>
      <c r="EP151" s="35"/>
      <c r="EQ151" s="35"/>
      <c r="ER151" s="35"/>
      <c r="ES151" s="35"/>
      <c r="ET151" s="35"/>
      <c r="EU151" s="35"/>
      <c r="EV151" s="35"/>
      <c r="EW151" s="35"/>
      <c r="EX151" s="35"/>
      <c r="EY151" s="35"/>
      <c r="EZ151" s="35"/>
      <c r="FA151" s="35"/>
      <c r="FB151" s="35"/>
      <c r="FC151" s="35"/>
      <c r="FD151" s="35"/>
      <c r="FE151" s="35"/>
      <c r="FF151" s="35"/>
      <c r="FG151" s="35"/>
      <c r="FH151" s="35"/>
      <c r="FI151" s="35"/>
      <c r="FJ151" s="35"/>
      <c r="FK151" s="35"/>
      <c r="FL151" s="35"/>
      <c r="FM151" s="35"/>
      <c r="FN151" s="35"/>
      <c r="FO151" s="35"/>
      <c r="FP151" s="35"/>
      <c r="FQ151" s="35"/>
      <c r="FR151" s="35"/>
      <c r="FS151" s="35"/>
      <c r="FT151" s="35"/>
      <c r="FU151" s="35"/>
      <c r="FV151" s="35"/>
      <c r="FW151" s="35"/>
      <c r="FX151" s="35"/>
      <c r="FY151" s="35"/>
      <c r="FZ151" s="35"/>
      <c r="GA151" s="35"/>
      <c r="GB151" s="35"/>
      <c r="GC151" s="35"/>
      <c r="GD151" s="35"/>
      <c r="GE151" s="35"/>
      <c r="GF151" s="35"/>
      <c r="GG151" s="35"/>
      <c r="GH151" s="35"/>
      <c r="GI151" s="35"/>
      <c r="GJ151" s="35"/>
      <c r="GK151" s="35"/>
      <c r="GL151" s="35"/>
      <c r="GM151" s="35"/>
      <c r="GN151" s="35"/>
      <c r="GO151" s="35"/>
      <c r="GP151" s="35"/>
      <c r="GQ151" s="35"/>
      <c r="GR151" s="35"/>
      <c r="GS151" s="35"/>
      <c r="GT151" s="35"/>
      <c r="GU151" s="35"/>
      <c r="GV151" s="35"/>
      <c r="GW151" s="35"/>
      <c r="GX151" s="35"/>
      <c r="GY151" s="35"/>
      <c r="GZ151" s="35"/>
      <c r="HA151" s="35"/>
      <c r="HB151" s="35"/>
      <c r="HC151" s="35"/>
      <c r="HD151" s="35"/>
      <c r="HE151" s="35"/>
      <c r="HF151" s="35"/>
      <c r="HG151" s="35"/>
      <c r="HH151" s="35"/>
      <c r="HI151" s="35"/>
      <c r="HJ151" s="35"/>
      <c r="HK151" s="35"/>
      <c r="HL151" s="35"/>
    </row>
    <row r="152" spans="1:220" s="38" customFormat="1" ht="25.5" customHeight="1" x14ac:dyDescent="0.15">
      <c r="A152" s="70"/>
      <c r="B152" s="56" t="s">
        <v>319</v>
      </c>
      <c r="C152" s="58" t="s">
        <v>233</v>
      </c>
      <c r="D152" s="1" t="s">
        <v>285</v>
      </c>
      <c r="E152" s="8"/>
      <c r="F152" s="8"/>
      <c r="G152" s="85" t="s">
        <v>478</v>
      </c>
      <c r="H152" s="15"/>
      <c r="I152" s="15"/>
      <c r="J152" s="31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5"/>
      <c r="BE152" s="35"/>
      <c r="BF152" s="35"/>
      <c r="BG152" s="35"/>
      <c r="BH152" s="35"/>
      <c r="BI152" s="35"/>
      <c r="BJ152" s="35"/>
      <c r="BK152" s="35"/>
      <c r="BL152" s="35"/>
      <c r="BM152" s="35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  <c r="CX152" s="35"/>
      <c r="CY152" s="35"/>
      <c r="CZ152" s="35"/>
      <c r="DA152" s="35"/>
      <c r="DB152" s="35"/>
      <c r="DC152" s="35"/>
      <c r="DD152" s="35"/>
      <c r="DE152" s="35"/>
      <c r="DF152" s="35"/>
      <c r="DG152" s="35"/>
      <c r="DH152" s="35"/>
      <c r="DI152" s="35"/>
      <c r="DJ152" s="35"/>
      <c r="DK152" s="35"/>
      <c r="DL152" s="35"/>
      <c r="DM152" s="35"/>
      <c r="DN152" s="35"/>
      <c r="DO152" s="35"/>
      <c r="DP152" s="35"/>
      <c r="DQ152" s="35"/>
      <c r="DR152" s="35"/>
      <c r="DS152" s="35"/>
      <c r="DT152" s="35"/>
      <c r="DU152" s="35"/>
      <c r="DV152" s="35"/>
      <c r="DW152" s="35"/>
      <c r="DX152" s="35"/>
      <c r="DY152" s="35"/>
      <c r="DZ152" s="35"/>
      <c r="EA152" s="35"/>
      <c r="EB152" s="35"/>
      <c r="EC152" s="35"/>
      <c r="ED152" s="35"/>
      <c r="EE152" s="35"/>
      <c r="EF152" s="35"/>
      <c r="EG152" s="35"/>
      <c r="EH152" s="35"/>
      <c r="EI152" s="35"/>
      <c r="EJ152" s="35"/>
      <c r="EK152" s="35"/>
      <c r="EL152" s="35"/>
      <c r="EM152" s="35"/>
      <c r="EN152" s="35"/>
      <c r="EO152" s="35"/>
      <c r="EP152" s="35"/>
      <c r="EQ152" s="35"/>
      <c r="ER152" s="35"/>
      <c r="ES152" s="35"/>
      <c r="ET152" s="35"/>
      <c r="EU152" s="35"/>
      <c r="EV152" s="35"/>
      <c r="EW152" s="35"/>
      <c r="EX152" s="35"/>
      <c r="EY152" s="35"/>
      <c r="EZ152" s="35"/>
      <c r="FA152" s="35"/>
      <c r="FB152" s="35"/>
      <c r="FC152" s="35"/>
      <c r="FD152" s="35"/>
      <c r="FE152" s="35"/>
      <c r="FF152" s="35"/>
      <c r="FG152" s="35"/>
      <c r="FH152" s="35"/>
      <c r="FI152" s="35"/>
      <c r="FJ152" s="35"/>
      <c r="FK152" s="35"/>
      <c r="FL152" s="35"/>
      <c r="FM152" s="35"/>
      <c r="FN152" s="35"/>
      <c r="FO152" s="35"/>
      <c r="FP152" s="35"/>
      <c r="FQ152" s="35"/>
      <c r="FR152" s="35"/>
      <c r="FS152" s="35"/>
      <c r="FT152" s="35"/>
      <c r="FU152" s="35"/>
      <c r="FV152" s="35"/>
      <c r="FW152" s="35"/>
      <c r="FX152" s="35"/>
      <c r="FY152" s="35"/>
      <c r="FZ152" s="35"/>
      <c r="GA152" s="35"/>
      <c r="GB152" s="35"/>
      <c r="GC152" s="35"/>
      <c r="GD152" s="35"/>
      <c r="GE152" s="35"/>
      <c r="GF152" s="35"/>
      <c r="GG152" s="35"/>
      <c r="GH152" s="35"/>
      <c r="GI152" s="35"/>
      <c r="GJ152" s="35"/>
      <c r="GK152" s="35"/>
      <c r="GL152" s="35"/>
      <c r="GM152" s="35"/>
      <c r="GN152" s="35"/>
      <c r="GO152" s="35"/>
      <c r="GP152" s="35"/>
      <c r="GQ152" s="35"/>
      <c r="GR152" s="35"/>
      <c r="GS152" s="35"/>
      <c r="GT152" s="35"/>
      <c r="GU152" s="35"/>
      <c r="GV152" s="35"/>
      <c r="GW152" s="35"/>
      <c r="GX152" s="35"/>
      <c r="GY152" s="35"/>
      <c r="GZ152" s="35"/>
      <c r="HA152" s="35"/>
      <c r="HB152" s="35"/>
      <c r="HC152" s="35"/>
      <c r="HD152" s="35"/>
      <c r="HE152" s="35"/>
      <c r="HF152" s="35"/>
      <c r="HG152" s="35"/>
      <c r="HH152" s="35"/>
      <c r="HI152" s="35"/>
      <c r="HJ152" s="35"/>
      <c r="HK152" s="35"/>
      <c r="HL152" s="35"/>
    </row>
    <row r="153" spans="1:220" s="38" customFormat="1" ht="25.5" customHeight="1" x14ac:dyDescent="0.15">
      <c r="A153" s="70"/>
      <c r="B153" s="56" t="s">
        <v>320</v>
      </c>
      <c r="C153" s="59"/>
      <c r="D153" s="38" t="s">
        <v>286</v>
      </c>
      <c r="E153" s="8"/>
      <c r="F153" s="8"/>
      <c r="G153" s="85" t="s">
        <v>478</v>
      </c>
      <c r="H153" s="15"/>
      <c r="I153" s="15"/>
      <c r="J153" s="31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  <c r="CX153" s="35"/>
      <c r="CY153" s="35"/>
      <c r="CZ153" s="35"/>
      <c r="DA153" s="35"/>
      <c r="DB153" s="35"/>
      <c r="DC153" s="35"/>
      <c r="DD153" s="35"/>
      <c r="DE153" s="35"/>
      <c r="DF153" s="35"/>
      <c r="DG153" s="35"/>
      <c r="DH153" s="35"/>
      <c r="DI153" s="35"/>
      <c r="DJ153" s="35"/>
      <c r="DK153" s="35"/>
      <c r="DL153" s="35"/>
      <c r="DM153" s="35"/>
      <c r="DN153" s="35"/>
      <c r="DO153" s="35"/>
      <c r="DP153" s="35"/>
      <c r="DQ153" s="35"/>
      <c r="DR153" s="35"/>
      <c r="DS153" s="35"/>
      <c r="DT153" s="35"/>
      <c r="DU153" s="35"/>
      <c r="DV153" s="35"/>
      <c r="DW153" s="35"/>
      <c r="DX153" s="35"/>
      <c r="DY153" s="35"/>
      <c r="DZ153" s="35"/>
      <c r="EA153" s="35"/>
      <c r="EB153" s="35"/>
      <c r="EC153" s="35"/>
      <c r="ED153" s="35"/>
      <c r="EE153" s="35"/>
      <c r="EF153" s="35"/>
      <c r="EG153" s="35"/>
      <c r="EH153" s="35"/>
      <c r="EI153" s="35"/>
      <c r="EJ153" s="35"/>
      <c r="EK153" s="35"/>
      <c r="EL153" s="35"/>
      <c r="EM153" s="35"/>
      <c r="EN153" s="35"/>
      <c r="EO153" s="35"/>
      <c r="EP153" s="35"/>
      <c r="EQ153" s="35"/>
      <c r="ER153" s="35"/>
      <c r="ES153" s="35"/>
      <c r="ET153" s="35"/>
      <c r="EU153" s="35"/>
      <c r="EV153" s="35"/>
      <c r="EW153" s="35"/>
      <c r="EX153" s="35"/>
      <c r="EY153" s="35"/>
      <c r="EZ153" s="35"/>
      <c r="FA153" s="35"/>
      <c r="FB153" s="35"/>
      <c r="FC153" s="35"/>
      <c r="FD153" s="35"/>
      <c r="FE153" s="35"/>
      <c r="FF153" s="35"/>
      <c r="FG153" s="35"/>
      <c r="FH153" s="35"/>
      <c r="FI153" s="35"/>
      <c r="FJ153" s="35"/>
      <c r="FK153" s="35"/>
      <c r="FL153" s="35"/>
      <c r="FM153" s="35"/>
      <c r="FN153" s="35"/>
      <c r="FO153" s="35"/>
      <c r="FP153" s="35"/>
      <c r="FQ153" s="35"/>
      <c r="FR153" s="35"/>
      <c r="FS153" s="35"/>
      <c r="FT153" s="35"/>
      <c r="FU153" s="35"/>
      <c r="FV153" s="35"/>
      <c r="FW153" s="35"/>
      <c r="FX153" s="35"/>
      <c r="FY153" s="35"/>
      <c r="FZ153" s="35"/>
      <c r="GA153" s="35"/>
      <c r="GB153" s="35"/>
      <c r="GC153" s="35"/>
      <c r="GD153" s="35"/>
      <c r="GE153" s="35"/>
      <c r="GF153" s="35"/>
      <c r="GG153" s="35"/>
      <c r="GH153" s="35"/>
      <c r="GI153" s="35"/>
      <c r="GJ153" s="35"/>
      <c r="GK153" s="35"/>
      <c r="GL153" s="35"/>
      <c r="GM153" s="35"/>
      <c r="GN153" s="35"/>
      <c r="GO153" s="35"/>
      <c r="GP153" s="35"/>
      <c r="GQ153" s="35"/>
      <c r="GR153" s="35"/>
      <c r="GS153" s="35"/>
      <c r="GT153" s="35"/>
      <c r="GU153" s="35"/>
      <c r="GV153" s="35"/>
      <c r="GW153" s="35"/>
      <c r="GX153" s="35"/>
      <c r="GY153" s="35"/>
      <c r="GZ153" s="35"/>
      <c r="HA153" s="35"/>
      <c r="HB153" s="35"/>
      <c r="HC153" s="35"/>
      <c r="HD153" s="35"/>
      <c r="HE153" s="35"/>
      <c r="HF153" s="35"/>
      <c r="HG153" s="35"/>
      <c r="HH153" s="35"/>
      <c r="HI153" s="35"/>
      <c r="HJ153" s="35"/>
      <c r="HK153" s="35"/>
      <c r="HL153" s="35"/>
    </row>
    <row r="154" spans="1:220" s="38" customFormat="1" ht="16.5" customHeight="1" x14ac:dyDescent="0.15">
      <c r="A154" s="70"/>
      <c r="B154" s="56" t="s">
        <v>321</v>
      </c>
      <c r="C154" s="58" t="s">
        <v>234</v>
      </c>
      <c r="D154" s="1" t="s">
        <v>287</v>
      </c>
      <c r="E154" s="8"/>
      <c r="F154" s="8"/>
      <c r="G154" s="85" t="s">
        <v>478</v>
      </c>
      <c r="H154" s="15"/>
      <c r="I154" s="15"/>
      <c r="J154" s="31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5"/>
      <c r="BE154" s="35"/>
      <c r="BF154" s="35"/>
      <c r="BG154" s="35"/>
      <c r="BH154" s="35"/>
      <c r="BI154" s="35"/>
      <c r="BJ154" s="35"/>
      <c r="BK154" s="35"/>
      <c r="BL154" s="35"/>
      <c r="BM154" s="35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  <c r="CX154" s="35"/>
      <c r="CY154" s="35"/>
      <c r="CZ154" s="35"/>
      <c r="DA154" s="35"/>
      <c r="DB154" s="35"/>
      <c r="DC154" s="35"/>
      <c r="DD154" s="35"/>
      <c r="DE154" s="35"/>
      <c r="DF154" s="35"/>
      <c r="DG154" s="35"/>
      <c r="DH154" s="35"/>
      <c r="DI154" s="35"/>
      <c r="DJ154" s="35"/>
      <c r="DK154" s="35"/>
      <c r="DL154" s="35"/>
      <c r="DM154" s="35"/>
      <c r="DN154" s="35"/>
      <c r="DO154" s="35"/>
      <c r="DP154" s="35"/>
      <c r="DQ154" s="35"/>
      <c r="DR154" s="35"/>
      <c r="DS154" s="35"/>
      <c r="DT154" s="35"/>
      <c r="DU154" s="35"/>
      <c r="DV154" s="35"/>
      <c r="DW154" s="35"/>
      <c r="DX154" s="35"/>
      <c r="DY154" s="35"/>
      <c r="DZ154" s="35"/>
      <c r="EA154" s="35"/>
      <c r="EB154" s="35"/>
      <c r="EC154" s="35"/>
      <c r="ED154" s="35"/>
      <c r="EE154" s="35"/>
      <c r="EF154" s="35"/>
      <c r="EG154" s="35"/>
      <c r="EH154" s="35"/>
      <c r="EI154" s="35"/>
      <c r="EJ154" s="35"/>
      <c r="EK154" s="35"/>
      <c r="EL154" s="35"/>
      <c r="EM154" s="35"/>
      <c r="EN154" s="35"/>
      <c r="EO154" s="35"/>
      <c r="EP154" s="35"/>
      <c r="EQ154" s="35"/>
      <c r="ER154" s="35"/>
      <c r="ES154" s="35"/>
      <c r="ET154" s="35"/>
      <c r="EU154" s="35"/>
      <c r="EV154" s="35"/>
      <c r="EW154" s="35"/>
      <c r="EX154" s="35"/>
      <c r="EY154" s="35"/>
      <c r="EZ154" s="35"/>
      <c r="FA154" s="35"/>
      <c r="FB154" s="35"/>
      <c r="FC154" s="35"/>
      <c r="FD154" s="35"/>
      <c r="FE154" s="35"/>
      <c r="FF154" s="35"/>
      <c r="FG154" s="35"/>
      <c r="FH154" s="35"/>
      <c r="FI154" s="35"/>
      <c r="FJ154" s="35"/>
      <c r="FK154" s="35"/>
      <c r="FL154" s="35"/>
      <c r="FM154" s="35"/>
      <c r="FN154" s="35"/>
      <c r="FO154" s="35"/>
      <c r="FP154" s="35"/>
      <c r="FQ154" s="35"/>
      <c r="FR154" s="35"/>
      <c r="FS154" s="35"/>
      <c r="FT154" s="35"/>
      <c r="FU154" s="35"/>
      <c r="FV154" s="35"/>
      <c r="FW154" s="35"/>
      <c r="FX154" s="35"/>
      <c r="FY154" s="35"/>
      <c r="FZ154" s="35"/>
      <c r="GA154" s="35"/>
      <c r="GB154" s="35"/>
      <c r="GC154" s="35"/>
      <c r="GD154" s="35"/>
      <c r="GE154" s="35"/>
      <c r="GF154" s="35"/>
      <c r="GG154" s="35"/>
      <c r="GH154" s="35"/>
      <c r="GI154" s="35"/>
      <c r="GJ154" s="35"/>
      <c r="GK154" s="35"/>
      <c r="GL154" s="35"/>
      <c r="GM154" s="35"/>
      <c r="GN154" s="35"/>
      <c r="GO154" s="35"/>
      <c r="GP154" s="35"/>
      <c r="GQ154" s="35"/>
      <c r="GR154" s="35"/>
      <c r="GS154" s="35"/>
      <c r="GT154" s="35"/>
      <c r="GU154" s="35"/>
      <c r="GV154" s="35"/>
      <c r="GW154" s="35"/>
      <c r="GX154" s="35"/>
      <c r="GY154" s="35"/>
      <c r="GZ154" s="35"/>
      <c r="HA154" s="35"/>
      <c r="HB154" s="35"/>
      <c r="HC154" s="35"/>
      <c r="HD154" s="35"/>
      <c r="HE154" s="35"/>
      <c r="HF154" s="35"/>
      <c r="HG154" s="35"/>
      <c r="HH154" s="35"/>
      <c r="HI154" s="35"/>
      <c r="HJ154" s="35"/>
      <c r="HK154" s="35"/>
      <c r="HL154" s="35"/>
    </row>
    <row r="155" spans="1:220" s="38" customFormat="1" ht="16.5" customHeight="1" x14ac:dyDescent="0.15">
      <c r="A155" s="70"/>
      <c r="B155" s="56" t="s">
        <v>322</v>
      </c>
      <c r="C155" s="59"/>
      <c r="D155" s="38" t="s">
        <v>371</v>
      </c>
      <c r="E155" s="8"/>
      <c r="F155" s="8"/>
      <c r="G155" s="85" t="s">
        <v>478</v>
      </c>
      <c r="H155" s="15"/>
      <c r="I155" s="15"/>
      <c r="J155" s="31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35"/>
      <c r="BE155" s="35"/>
      <c r="BF155" s="35"/>
      <c r="BG155" s="35"/>
      <c r="BH155" s="35"/>
      <c r="BI155" s="35"/>
      <c r="BJ155" s="35"/>
      <c r="BK155" s="35"/>
      <c r="BL155" s="35"/>
      <c r="BM155" s="35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  <c r="CX155" s="35"/>
      <c r="CY155" s="35"/>
      <c r="CZ155" s="35"/>
      <c r="DA155" s="35"/>
      <c r="DB155" s="35"/>
      <c r="DC155" s="35"/>
      <c r="DD155" s="35"/>
      <c r="DE155" s="35"/>
      <c r="DF155" s="35"/>
      <c r="DG155" s="35"/>
      <c r="DH155" s="35"/>
      <c r="DI155" s="35"/>
      <c r="DJ155" s="35"/>
      <c r="DK155" s="35"/>
      <c r="DL155" s="35"/>
      <c r="DM155" s="35"/>
      <c r="DN155" s="35"/>
      <c r="DO155" s="35"/>
      <c r="DP155" s="35"/>
      <c r="DQ155" s="35"/>
      <c r="DR155" s="35"/>
      <c r="DS155" s="35"/>
      <c r="DT155" s="35"/>
      <c r="DU155" s="35"/>
      <c r="DV155" s="35"/>
      <c r="DW155" s="35"/>
      <c r="DX155" s="35"/>
      <c r="DY155" s="35"/>
      <c r="DZ155" s="35"/>
      <c r="EA155" s="35"/>
      <c r="EB155" s="35"/>
      <c r="EC155" s="35"/>
      <c r="ED155" s="35"/>
      <c r="EE155" s="35"/>
      <c r="EF155" s="35"/>
      <c r="EG155" s="35"/>
      <c r="EH155" s="35"/>
      <c r="EI155" s="35"/>
      <c r="EJ155" s="35"/>
      <c r="EK155" s="35"/>
      <c r="EL155" s="35"/>
      <c r="EM155" s="35"/>
      <c r="EN155" s="35"/>
      <c r="EO155" s="35"/>
      <c r="EP155" s="35"/>
      <c r="EQ155" s="35"/>
      <c r="ER155" s="35"/>
      <c r="ES155" s="35"/>
      <c r="ET155" s="35"/>
      <c r="EU155" s="35"/>
      <c r="EV155" s="35"/>
      <c r="EW155" s="35"/>
      <c r="EX155" s="35"/>
      <c r="EY155" s="35"/>
      <c r="EZ155" s="35"/>
      <c r="FA155" s="35"/>
      <c r="FB155" s="35"/>
      <c r="FC155" s="35"/>
      <c r="FD155" s="35"/>
      <c r="FE155" s="35"/>
      <c r="FF155" s="35"/>
      <c r="FG155" s="35"/>
      <c r="FH155" s="35"/>
      <c r="FI155" s="35"/>
      <c r="FJ155" s="35"/>
      <c r="FK155" s="35"/>
      <c r="FL155" s="35"/>
      <c r="FM155" s="35"/>
      <c r="FN155" s="35"/>
      <c r="FO155" s="35"/>
      <c r="FP155" s="35"/>
      <c r="FQ155" s="35"/>
      <c r="FR155" s="35"/>
      <c r="FS155" s="35"/>
      <c r="FT155" s="35"/>
      <c r="FU155" s="35"/>
      <c r="FV155" s="35"/>
      <c r="FW155" s="35"/>
      <c r="FX155" s="35"/>
      <c r="FY155" s="35"/>
      <c r="FZ155" s="35"/>
      <c r="GA155" s="35"/>
      <c r="GB155" s="35"/>
      <c r="GC155" s="35"/>
      <c r="GD155" s="35"/>
      <c r="GE155" s="35"/>
      <c r="GF155" s="35"/>
      <c r="GG155" s="35"/>
      <c r="GH155" s="35"/>
      <c r="GI155" s="35"/>
      <c r="GJ155" s="35"/>
      <c r="GK155" s="35"/>
      <c r="GL155" s="35"/>
      <c r="GM155" s="35"/>
      <c r="GN155" s="35"/>
      <c r="GO155" s="35"/>
      <c r="GP155" s="35"/>
      <c r="GQ155" s="35"/>
      <c r="GR155" s="35"/>
      <c r="GS155" s="35"/>
      <c r="GT155" s="35"/>
      <c r="GU155" s="35"/>
      <c r="GV155" s="35"/>
      <c r="GW155" s="35"/>
      <c r="GX155" s="35"/>
      <c r="GY155" s="35"/>
      <c r="GZ155" s="35"/>
      <c r="HA155" s="35"/>
      <c r="HB155" s="35"/>
      <c r="HC155" s="35"/>
      <c r="HD155" s="35"/>
      <c r="HE155" s="35"/>
      <c r="HF155" s="35"/>
      <c r="HG155" s="35"/>
      <c r="HH155" s="35"/>
      <c r="HI155" s="35"/>
      <c r="HJ155" s="35"/>
      <c r="HK155" s="35"/>
      <c r="HL155" s="35"/>
    </row>
    <row r="156" spans="1:220" s="38" customFormat="1" ht="16.5" customHeight="1" x14ac:dyDescent="0.15">
      <c r="A156" s="70"/>
      <c r="B156" s="56" t="s">
        <v>323</v>
      </c>
      <c r="C156" s="59"/>
      <c r="D156" s="1" t="s">
        <v>347</v>
      </c>
      <c r="E156" s="8"/>
      <c r="F156" s="8"/>
      <c r="G156" s="85" t="s">
        <v>478</v>
      </c>
      <c r="H156" s="15"/>
      <c r="I156" s="15"/>
      <c r="J156" s="31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  <c r="CX156" s="35"/>
      <c r="CY156" s="35"/>
      <c r="CZ156" s="35"/>
      <c r="DA156" s="35"/>
      <c r="DB156" s="35"/>
      <c r="DC156" s="35"/>
      <c r="DD156" s="35"/>
      <c r="DE156" s="35"/>
      <c r="DF156" s="35"/>
      <c r="DG156" s="35"/>
      <c r="DH156" s="35"/>
      <c r="DI156" s="35"/>
      <c r="DJ156" s="35"/>
      <c r="DK156" s="35"/>
      <c r="DL156" s="35"/>
      <c r="DM156" s="35"/>
      <c r="DN156" s="35"/>
      <c r="DO156" s="35"/>
      <c r="DP156" s="35"/>
      <c r="DQ156" s="35"/>
      <c r="DR156" s="35"/>
      <c r="DS156" s="35"/>
      <c r="DT156" s="35"/>
      <c r="DU156" s="35"/>
      <c r="DV156" s="35"/>
      <c r="DW156" s="35"/>
      <c r="DX156" s="35"/>
      <c r="DY156" s="35"/>
      <c r="DZ156" s="35"/>
      <c r="EA156" s="35"/>
      <c r="EB156" s="35"/>
      <c r="EC156" s="35"/>
      <c r="ED156" s="35"/>
      <c r="EE156" s="35"/>
      <c r="EF156" s="35"/>
      <c r="EG156" s="35"/>
      <c r="EH156" s="35"/>
      <c r="EI156" s="35"/>
      <c r="EJ156" s="35"/>
      <c r="EK156" s="35"/>
      <c r="EL156" s="35"/>
      <c r="EM156" s="35"/>
      <c r="EN156" s="35"/>
      <c r="EO156" s="35"/>
      <c r="EP156" s="35"/>
      <c r="EQ156" s="35"/>
      <c r="ER156" s="35"/>
      <c r="ES156" s="35"/>
      <c r="ET156" s="35"/>
      <c r="EU156" s="35"/>
      <c r="EV156" s="35"/>
      <c r="EW156" s="35"/>
      <c r="EX156" s="35"/>
      <c r="EY156" s="35"/>
      <c r="EZ156" s="35"/>
      <c r="FA156" s="35"/>
      <c r="FB156" s="35"/>
      <c r="FC156" s="35"/>
      <c r="FD156" s="35"/>
      <c r="FE156" s="35"/>
      <c r="FF156" s="35"/>
      <c r="FG156" s="35"/>
      <c r="FH156" s="35"/>
      <c r="FI156" s="35"/>
      <c r="FJ156" s="35"/>
      <c r="FK156" s="35"/>
      <c r="FL156" s="35"/>
      <c r="FM156" s="35"/>
      <c r="FN156" s="35"/>
      <c r="FO156" s="35"/>
      <c r="FP156" s="35"/>
      <c r="FQ156" s="35"/>
      <c r="FR156" s="35"/>
      <c r="FS156" s="35"/>
      <c r="FT156" s="35"/>
      <c r="FU156" s="35"/>
      <c r="FV156" s="35"/>
      <c r="FW156" s="35"/>
      <c r="FX156" s="35"/>
      <c r="FY156" s="35"/>
      <c r="FZ156" s="35"/>
      <c r="GA156" s="35"/>
      <c r="GB156" s="35"/>
      <c r="GC156" s="35"/>
      <c r="GD156" s="35"/>
      <c r="GE156" s="35"/>
      <c r="GF156" s="35"/>
      <c r="GG156" s="35"/>
      <c r="GH156" s="35"/>
      <c r="GI156" s="35"/>
      <c r="GJ156" s="35"/>
      <c r="GK156" s="35"/>
      <c r="GL156" s="35"/>
      <c r="GM156" s="35"/>
      <c r="GN156" s="35"/>
      <c r="GO156" s="35"/>
      <c r="GP156" s="35"/>
      <c r="GQ156" s="35"/>
      <c r="GR156" s="35"/>
      <c r="GS156" s="35"/>
      <c r="GT156" s="35"/>
      <c r="GU156" s="35"/>
      <c r="GV156" s="35"/>
      <c r="GW156" s="35"/>
      <c r="GX156" s="35"/>
      <c r="GY156" s="35"/>
      <c r="GZ156" s="35"/>
      <c r="HA156" s="35"/>
      <c r="HB156" s="35"/>
      <c r="HC156" s="35"/>
      <c r="HD156" s="35"/>
      <c r="HE156" s="35"/>
      <c r="HF156" s="35"/>
      <c r="HG156" s="35"/>
      <c r="HH156" s="35"/>
      <c r="HI156" s="35"/>
      <c r="HJ156" s="35"/>
      <c r="HK156" s="35"/>
      <c r="HL156" s="35"/>
    </row>
    <row r="157" spans="1:220" s="38" customFormat="1" ht="16.5" customHeight="1" x14ac:dyDescent="0.15">
      <c r="A157" s="70"/>
      <c r="B157" s="56" t="s">
        <v>378</v>
      </c>
      <c r="C157" s="59"/>
      <c r="D157" s="1" t="s">
        <v>288</v>
      </c>
      <c r="E157" s="8"/>
      <c r="F157" s="8"/>
      <c r="G157" s="85" t="s">
        <v>478</v>
      </c>
      <c r="H157" s="15"/>
      <c r="I157" s="15"/>
      <c r="J157" s="31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5"/>
      <c r="BE157" s="35"/>
      <c r="BF157" s="35"/>
      <c r="BG157" s="35"/>
      <c r="BH157" s="35"/>
      <c r="BI157" s="35"/>
      <c r="BJ157" s="35"/>
      <c r="BK157" s="35"/>
      <c r="BL157" s="35"/>
      <c r="BM157" s="35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  <c r="CX157" s="35"/>
      <c r="CY157" s="35"/>
      <c r="CZ157" s="35"/>
      <c r="DA157" s="35"/>
      <c r="DB157" s="35"/>
      <c r="DC157" s="35"/>
      <c r="DD157" s="35"/>
      <c r="DE157" s="35"/>
      <c r="DF157" s="35"/>
      <c r="DG157" s="35"/>
      <c r="DH157" s="35"/>
      <c r="DI157" s="35"/>
      <c r="DJ157" s="35"/>
      <c r="DK157" s="35"/>
      <c r="DL157" s="35"/>
      <c r="DM157" s="35"/>
      <c r="DN157" s="35"/>
      <c r="DO157" s="35"/>
      <c r="DP157" s="35"/>
      <c r="DQ157" s="35"/>
      <c r="DR157" s="35"/>
      <c r="DS157" s="35"/>
      <c r="DT157" s="35"/>
      <c r="DU157" s="35"/>
      <c r="DV157" s="35"/>
      <c r="DW157" s="35"/>
      <c r="DX157" s="35"/>
      <c r="DY157" s="35"/>
      <c r="DZ157" s="35"/>
      <c r="EA157" s="35"/>
      <c r="EB157" s="35"/>
      <c r="EC157" s="35"/>
      <c r="ED157" s="35"/>
      <c r="EE157" s="35"/>
      <c r="EF157" s="35"/>
      <c r="EG157" s="35"/>
      <c r="EH157" s="35"/>
      <c r="EI157" s="35"/>
      <c r="EJ157" s="35"/>
      <c r="EK157" s="35"/>
      <c r="EL157" s="35"/>
      <c r="EM157" s="35"/>
      <c r="EN157" s="35"/>
      <c r="EO157" s="35"/>
      <c r="EP157" s="35"/>
      <c r="EQ157" s="35"/>
      <c r="ER157" s="35"/>
      <c r="ES157" s="35"/>
      <c r="ET157" s="35"/>
      <c r="EU157" s="35"/>
      <c r="EV157" s="35"/>
      <c r="EW157" s="35"/>
      <c r="EX157" s="35"/>
      <c r="EY157" s="35"/>
      <c r="EZ157" s="35"/>
      <c r="FA157" s="35"/>
      <c r="FB157" s="35"/>
      <c r="FC157" s="35"/>
      <c r="FD157" s="35"/>
      <c r="FE157" s="35"/>
      <c r="FF157" s="35"/>
      <c r="FG157" s="35"/>
      <c r="FH157" s="35"/>
      <c r="FI157" s="35"/>
      <c r="FJ157" s="35"/>
      <c r="FK157" s="35"/>
      <c r="FL157" s="35"/>
      <c r="FM157" s="35"/>
      <c r="FN157" s="35"/>
      <c r="FO157" s="35"/>
      <c r="FP157" s="35"/>
      <c r="FQ157" s="35"/>
      <c r="FR157" s="35"/>
      <c r="FS157" s="35"/>
      <c r="FT157" s="35"/>
      <c r="FU157" s="35"/>
      <c r="FV157" s="35"/>
      <c r="FW157" s="35"/>
      <c r="FX157" s="35"/>
      <c r="FY157" s="35"/>
      <c r="FZ157" s="35"/>
      <c r="GA157" s="35"/>
      <c r="GB157" s="35"/>
      <c r="GC157" s="35"/>
      <c r="GD157" s="35"/>
      <c r="GE157" s="35"/>
      <c r="GF157" s="35"/>
      <c r="GG157" s="35"/>
      <c r="GH157" s="35"/>
      <c r="GI157" s="35"/>
      <c r="GJ157" s="35"/>
      <c r="GK157" s="35"/>
      <c r="GL157" s="35"/>
      <c r="GM157" s="35"/>
      <c r="GN157" s="35"/>
      <c r="GO157" s="35"/>
      <c r="GP157" s="35"/>
      <c r="GQ157" s="35"/>
      <c r="GR157" s="35"/>
      <c r="GS157" s="35"/>
      <c r="GT157" s="35"/>
      <c r="GU157" s="35"/>
      <c r="GV157" s="35"/>
      <c r="GW157" s="35"/>
      <c r="GX157" s="35"/>
      <c r="GY157" s="35"/>
      <c r="GZ157" s="35"/>
      <c r="HA157" s="35"/>
      <c r="HB157" s="35"/>
      <c r="HC157" s="35"/>
      <c r="HD157" s="35"/>
      <c r="HE157" s="35"/>
      <c r="HF157" s="35"/>
      <c r="HG157" s="35"/>
      <c r="HH157" s="35"/>
      <c r="HI157" s="35"/>
      <c r="HJ157" s="35"/>
      <c r="HK157" s="35"/>
      <c r="HL157" s="35"/>
    </row>
    <row r="158" spans="1:220" s="38" customFormat="1" ht="16.5" customHeight="1" x14ac:dyDescent="0.15">
      <c r="A158" s="70"/>
      <c r="B158" s="56" t="s">
        <v>379</v>
      </c>
      <c r="C158" s="60"/>
      <c r="D158" s="38" t="s">
        <v>289</v>
      </c>
      <c r="E158" s="8"/>
      <c r="F158" s="8"/>
      <c r="G158" s="85" t="s">
        <v>478</v>
      </c>
      <c r="H158" s="15"/>
      <c r="I158" s="15"/>
      <c r="J158" s="31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5"/>
      <c r="BE158" s="35"/>
      <c r="BF158" s="35"/>
      <c r="BG158" s="35"/>
      <c r="BH158" s="35"/>
      <c r="BI158" s="35"/>
      <c r="BJ158" s="35"/>
      <c r="BK158" s="35"/>
      <c r="BL158" s="35"/>
      <c r="BM158" s="35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  <c r="CX158" s="35"/>
      <c r="CY158" s="35"/>
      <c r="CZ158" s="35"/>
      <c r="DA158" s="35"/>
      <c r="DB158" s="35"/>
      <c r="DC158" s="35"/>
      <c r="DD158" s="35"/>
      <c r="DE158" s="35"/>
      <c r="DF158" s="35"/>
      <c r="DG158" s="35"/>
      <c r="DH158" s="35"/>
      <c r="DI158" s="35"/>
      <c r="DJ158" s="35"/>
      <c r="DK158" s="35"/>
      <c r="DL158" s="35"/>
      <c r="DM158" s="35"/>
      <c r="DN158" s="35"/>
      <c r="DO158" s="35"/>
      <c r="DP158" s="35"/>
      <c r="DQ158" s="35"/>
      <c r="DR158" s="35"/>
      <c r="DS158" s="35"/>
      <c r="DT158" s="35"/>
      <c r="DU158" s="35"/>
      <c r="DV158" s="35"/>
      <c r="DW158" s="35"/>
      <c r="DX158" s="35"/>
      <c r="DY158" s="35"/>
      <c r="DZ158" s="35"/>
      <c r="EA158" s="35"/>
      <c r="EB158" s="35"/>
      <c r="EC158" s="35"/>
      <c r="ED158" s="35"/>
      <c r="EE158" s="35"/>
      <c r="EF158" s="35"/>
      <c r="EG158" s="35"/>
      <c r="EH158" s="35"/>
      <c r="EI158" s="35"/>
      <c r="EJ158" s="35"/>
      <c r="EK158" s="35"/>
      <c r="EL158" s="35"/>
      <c r="EM158" s="35"/>
      <c r="EN158" s="35"/>
      <c r="EO158" s="35"/>
      <c r="EP158" s="35"/>
      <c r="EQ158" s="35"/>
      <c r="ER158" s="35"/>
      <c r="ES158" s="35"/>
      <c r="ET158" s="35"/>
      <c r="EU158" s="35"/>
      <c r="EV158" s="35"/>
      <c r="EW158" s="35"/>
      <c r="EX158" s="35"/>
      <c r="EY158" s="35"/>
      <c r="EZ158" s="35"/>
      <c r="FA158" s="35"/>
      <c r="FB158" s="35"/>
      <c r="FC158" s="35"/>
      <c r="FD158" s="35"/>
      <c r="FE158" s="35"/>
      <c r="FF158" s="35"/>
      <c r="FG158" s="35"/>
      <c r="FH158" s="35"/>
      <c r="FI158" s="35"/>
      <c r="FJ158" s="35"/>
      <c r="FK158" s="35"/>
      <c r="FL158" s="35"/>
      <c r="FM158" s="35"/>
      <c r="FN158" s="35"/>
      <c r="FO158" s="35"/>
      <c r="FP158" s="35"/>
      <c r="FQ158" s="35"/>
      <c r="FR158" s="35"/>
      <c r="FS158" s="35"/>
      <c r="FT158" s="35"/>
      <c r="FU158" s="35"/>
      <c r="FV158" s="35"/>
      <c r="FW158" s="35"/>
      <c r="FX158" s="35"/>
      <c r="FY158" s="35"/>
      <c r="FZ158" s="35"/>
      <c r="GA158" s="35"/>
      <c r="GB158" s="35"/>
      <c r="GC158" s="35"/>
      <c r="GD158" s="35"/>
      <c r="GE158" s="35"/>
      <c r="GF158" s="35"/>
      <c r="GG158" s="35"/>
      <c r="GH158" s="35"/>
      <c r="GI158" s="35"/>
      <c r="GJ158" s="35"/>
      <c r="GK158" s="35"/>
      <c r="GL158" s="35"/>
      <c r="GM158" s="35"/>
      <c r="GN158" s="35"/>
      <c r="GO158" s="35"/>
      <c r="GP158" s="35"/>
      <c r="GQ158" s="35"/>
      <c r="GR158" s="35"/>
      <c r="GS158" s="35"/>
      <c r="GT158" s="35"/>
      <c r="GU158" s="35"/>
      <c r="GV158" s="35"/>
      <c r="GW158" s="35"/>
      <c r="GX158" s="35"/>
      <c r="GY158" s="35"/>
      <c r="GZ158" s="35"/>
      <c r="HA158" s="35"/>
      <c r="HB158" s="35"/>
      <c r="HC158" s="35"/>
      <c r="HD158" s="35"/>
      <c r="HE158" s="35"/>
      <c r="HF158" s="35"/>
      <c r="HG158" s="35"/>
      <c r="HH158" s="35"/>
      <c r="HI158" s="35"/>
      <c r="HJ158" s="35"/>
      <c r="HK158" s="35"/>
      <c r="HL158" s="35"/>
    </row>
    <row r="159" spans="1:220" s="38" customFormat="1" ht="24" customHeight="1" x14ac:dyDescent="0.15">
      <c r="A159" s="70"/>
      <c r="B159" s="56" t="s">
        <v>380</v>
      </c>
      <c r="C159" s="58" t="s">
        <v>235</v>
      </c>
      <c r="D159" s="1" t="s">
        <v>290</v>
      </c>
      <c r="E159" s="8"/>
      <c r="F159" s="8"/>
      <c r="G159" s="85" t="s">
        <v>478</v>
      </c>
      <c r="H159" s="15"/>
      <c r="I159" s="15"/>
      <c r="J159" s="31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/>
      <c r="BE159" s="35"/>
      <c r="BF159" s="35"/>
      <c r="BG159" s="35"/>
      <c r="BH159" s="35"/>
      <c r="BI159" s="35"/>
      <c r="BJ159" s="35"/>
      <c r="BK159" s="35"/>
      <c r="BL159" s="35"/>
      <c r="BM159" s="35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  <c r="CX159" s="35"/>
      <c r="CY159" s="35"/>
      <c r="CZ159" s="35"/>
      <c r="DA159" s="35"/>
      <c r="DB159" s="35"/>
      <c r="DC159" s="35"/>
      <c r="DD159" s="35"/>
      <c r="DE159" s="35"/>
      <c r="DF159" s="35"/>
      <c r="DG159" s="35"/>
      <c r="DH159" s="35"/>
      <c r="DI159" s="35"/>
      <c r="DJ159" s="35"/>
      <c r="DK159" s="35"/>
      <c r="DL159" s="35"/>
      <c r="DM159" s="35"/>
      <c r="DN159" s="35"/>
      <c r="DO159" s="35"/>
      <c r="DP159" s="35"/>
      <c r="DQ159" s="35"/>
      <c r="DR159" s="35"/>
      <c r="DS159" s="35"/>
      <c r="DT159" s="35"/>
      <c r="DU159" s="35"/>
      <c r="DV159" s="35"/>
      <c r="DW159" s="35"/>
      <c r="DX159" s="35"/>
      <c r="DY159" s="35"/>
      <c r="DZ159" s="35"/>
      <c r="EA159" s="35"/>
      <c r="EB159" s="35"/>
      <c r="EC159" s="35"/>
      <c r="ED159" s="35"/>
      <c r="EE159" s="35"/>
      <c r="EF159" s="35"/>
      <c r="EG159" s="35"/>
      <c r="EH159" s="35"/>
      <c r="EI159" s="35"/>
      <c r="EJ159" s="35"/>
      <c r="EK159" s="35"/>
      <c r="EL159" s="35"/>
      <c r="EM159" s="35"/>
      <c r="EN159" s="35"/>
      <c r="EO159" s="35"/>
      <c r="EP159" s="35"/>
      <c r="EQ159" s="35"/>
      <c r="ER159" s="35"/>
      <c r="ES159" s="35"/>
      <c r="ET159" s="35"/>
      <c r="EU159" s="35"/>
      <c r="EV159" s="35"/>
      <c r="EW159" s="35"/>
      <c r="EX159" s="35"/>
      <c r="EY159" s="35"/>
      <c r="EZ159" s="35"/>
      <c r="FA159" s="35"/>
      <c r="FB159" s="35"/>
      <c r="FC159" s="35"/>
      <c r="FD159" s="35"/>
      <c r="FE159" s="35"/>
      <c r="FF159" s="35"/>
      <c r="FG159" s="35"/>
      <c r="FH159" s="35"/>
      <c r="FI159" s="35"/>
      <c r="FJ159" s="35"/>
      <c r="FK159" s="35"/>
      <c r="FL159" s="35"/>
      <c r="FM159" s="35"/>
      <c r="FN159" s="35"/>
      <c r="FO159" s="35"/>
      <c r="FP159" s="35"/>
      <c r="FQ159" s="35"/>
      <c r="FR159" s="35"/>
      <c r="FS159" s="35"/>
      <c r="FT159" s="35"/>
      <c r="FU159" s="35"/>
      <c r="FV159" s="35"/>
      <c r="FW159" s="35"/>
      <c r="FX159" s="35"/>
      <c r="FY159" s="35"/>
      <c r="FZ159" s="35"/>
      <c r="GA159" s="35"/>
      <c r="GB159" s="35"/>
      <c r="GC159" s="35"/>
      <c r="GD159" s="35"/>
      <c r="GE159" s="35"/>
      <c r="GF159" s="35"/>
      <c r="GG159" s="35"/>
      <c r="GH159" s="35"/>
      <c r="GI159" s="35"/>
      <c r="GJ159" s="35"/>
      <c r="GK159" s="35"/>
      <c r="GL159" s="35"/>
      <c r="GM159" s="35"/>
      <c r="GN159" s="35"/>
      <c r="GO159" s="35"/>
      <c r="GP159" s="35"/>
      <c r="GQ159" s="35"/>
      <c r="GR159" s="35"/>
      <c r="GS159" s="35"/>
      <c r="GT159" s="35"/>
      <c r="GU159" s="35"/>
      <c r="GV159" s="35"/>
      <c r="GW159" s="35"/>
      <c r="GX159" s="35"/>
      <c r="GY159" s="35"/>
      <c r="GZ159" s="35"/>
      <c r="HA159" s="35"/>
      <c r="HB159" s="35"/>
      <c r="HC159" s="35"/>
      <c r="HD159" s="35"/>
      <c r="HE159" s="35"/>
      <c r="HF159" s="35"/>
      <c r="HG159" s="35"/>
      <c r="HH159" s="35"/>
      <c r="HI159" s="35"/>
      <c r="HJ159" s="35"/>
      <c r="HK159" s="35"/>
      <c r="HL159" s="35"/>
    </row>
    <row r="160" spans="1:220" ht="24.75" customHeight="1" x14ac:dyDescent="0.15">
      <c r="A160" s="70"/>
      <c r="B160" s="56" t="s">
        <v>381</v>
      </c>
      <c r="C160" s="59"/>
      <c r="D160" s="38" t="s">
        <v>291</v>
      </c>
      <c r="G160" s="85" t="s">
        <v>478</v>
      </c>
      <c r="H160" s="8"/>
    </row>
    <row r="161" spans="1:8" x14ac:dyDescent="0.15">
      <c r="A161" s="70"/>
      <c r="B161" s="56" t="s">
        <v>382</v>
      </c>
      <c r="C161" s="58" t="s">
        <v>236</v>
      </c>
      <c r="D161" s="1" t="s">
        <v>292</v>
      </c>
      <c r="G161" s="85" t="s">
        <v>478</v>
      </c>
      <c r="H161" s="8"/>
    </row>
    <row r="162" spans="1:8" x14ac:dyDescent="0.15">
      <c r="A162" s="70"/>
      <c r="B162" s="56" t="s">
        <v>383</v>
      </c>
      <c r="C162" s="59"/>
      <c r="D162" s="38" t="s">
        <v>372</v>
      </c>
      <c r="G162" s="85" t="s">
        <v>478</v>
      </c>
      <c r="H162" s="8"/>
    </row>
    <row r="163" spans="1:8" x14ac:dyDescent="0.15">
      <c r="A163" s="70"/>
      <c r="B163" s="56" t="s">
        <v>384</v>
      </c>
      <c r="C163" s="59"/>
      <c r="D163" s="1" t="s">
        <v>346</v>
      </c>
      <c r="G163" s="85" t="s">
        <v>478</v>
      </c>
      <c r="H163" s="8"/>
    </row>
    <row r="164" spans="1:8" x14ac:dyDescent="0.15">
      <c r="A164" s="70"/>
      <c r="B164" s="56" t="s">
        <v>385</v>
      </c>
      <c r="C164" s="59"/>
      <c r="D164" s="1" t="s">
        <v>293</v>
      </c>
      <c r="G164" s="85" t="s">
        <v>478</v>
      </c>
      <c r="H164" s="8"/>
    </row>
    <row r="165" spans="1:8" x14ac:dyDescent="0.15">
      <c r="A165" s="70"/>
      <c r="B165" s="56" t="s">
        <v>386</v>
      </c>
      <c r="C165" s="60"/>
      <c r="D165" s="38" t="s">
        <v>294</v>
      </c>
      <c r="G165" s="85" t="s">
        <v>478</v>
      </c>
      <c r="H165" s="8"/>
    </row>
    <row r="166" spans="1:8" x14ac:dyDescent="0.15">
      <c r="A166" s="70"/>
      <c r="B166" s="56" t="s">
        <v>387</v>
      </c>
      <c r="C166" s="58" t="s">
        <v>237</v>
      </c>
      <c r="D166" s="1" t="s">
        <v>295</v>
      </c>
      <c r="G166" s="85" t="s">
        <v>478</v>
      </c>
      <c r="H166" s="8"/>
    </row>
    <row r="167" spans="1:8" x14ac:dyDescent="0.15">
      <c r="A167" s="70"/>
      <c r="B167" s="56" t="s">
        <v>388</v>
      </c>
      <c r="C167" s="59"/>
      <c r="D167" s="38" t="s">
        <v>296</v>
      </c>
      <c r="G167" s="85" t="s">
        <v>478</v>
      </c>
      <c r="H167" s="8"/>
    </row>
    <row r="168" spans="1:8" x14ac:dyDescent="0.15">
      <c r="A168" s="70"/>
      <c r="B168" s="56" t="s">
        <v>389</v>
      </c>
      <c r="C168" s="58" t="s">
        <v>238</v>
      </c>
      <c r="D168" s="1" t="s">
        <v>303</v>
      </c>
      <c r="G168" s="85" t="s">
        <v>478</v>
      </c>
      <c r="H168" s="8"/>
    </row>
    <row r="169" spans="1:8" x14ac:dyDescent="0.15">
      <c r="A169" s="70"/>
      <c r="B169" s="56" t="s">
        <v>390</v>
      </c>
      <c r="C169" s="59"/>
      <c r="D169" s="38" t="s">
        <v>373</v>
      </c>
      <c r="G169" s="85" t="s">
        <v>478</v>
      </c>
      <c r="H169" s="8"/>
    </row>
    <row r="170" spans="1:8" x14ac:dyDescent="0.15">
      <c r="A170" s="70"/>
      <c r="B170" s="56" t="s">
        <v>391</v>
      </c>
      <c r="C170" s="59"/>
      <c r="D170" s="1" t="s">
        <v>345</v>
      </c>
      <c r="G170" s="85" t="s">
        <v>478</v>
      </c>
      <c r="H170" s="8"/>
    </row>
    <row r="171" spans="1:8" x14ac:dyDescent="0.15">
      <c r="A171" s="70"/>
      <c r="B171" s="56" t="s">
        <v>324</v>
      </c>
      <c r="C171" s="59"/>
      <c r="D171" s="1" t="s">
        <v>304</v>
      </c>
      <c r="G171" s="85" t="s">
        <v>478</v>
      </c>
      <c r="H171" s="8"/>
    </row>
    <row r="172" spans="1:8" x14ac:dyDescent="0.15">
      <c r="A172" s="70"/>
      <c r="B172" s="56" t="s">
        <v>325</v>
      </c>
      <c r="C172" s="60"/>
      <c r="D172" s="38" t="s">
        <v>305</v>
      </c>
      <c r="G172" s="85" t="s">
        <v>478</v>
      </c>
      <c r="H172" s="8"/>
    </row>
    <row r="173" spans="1:8" x14ac:dyDescent="0.15">
      <c r="A173" s="70"/>
      <c r="B173" s="56" t="s">
        <v>326</v>
      </c>
      <c r="C173" s="58" t="s">
        <v>239</v>
      </c>
      <c r="D173" s="1" t="s">
        <v>306</v>
      </c>
      <c r="G173" s="85" t="s">
        <v>478</v>
      </c>
      <c r="H173" s="8"/>
    </row>
    <row r="174" spans="1:8" x14ac:dyDescent="0.15">
      <c r="A174" s="70"/>
      <c r="B174" s="56" t="s">
        <v>327</v>
      </c>
      <c r="C174" s="59"/>
      <c r="D174" s="38" t="s">
        <v>307</v>
      </c>
      <c r="G174" s="85" t="s">
        <v>478</v>
      </c>
      <c r="H174" s="8"/>
    </row>
    <row r="175" spans="1:8" x14ac:dyDescent="0.15">
      <c r="A175" s="70"/>
      <c r="B175" s="56" t="s">
        <v>328</v>
      </c>
      <c r="C175" s="58" t="s">
        <v>240</v>
      </c>
      <c r="D175" s="1" t="s">
        <v>297</v>
      </c>
      <c r="G175" s="85" t="s">
        <v>478</v>
      </c>
      <c r="H175" s="8"/>
    </row>
    <row r="176" spans="1:8" x14ac:dyDescent="0.15">
      <c r="A176" s="70"/>
      <c r="B176" s="56" t="s">
        <v>329</v>
      </c>
      <c r="C176" s="59"/>
      <c r="D176" s="38" t="s">
        <v>374</v>
      </c>
      <c r="G176" s="85" t="s">
        <v>478</v>
      </c>
      <c r="H176" s="8"/>
    </row>
    <row r="177" spans="1:8" x14ac:dyDescent="0.15">
      <c r="A177" s="70"/>
      <c r="B177" s="56" t="s">
        <v>330</v>
      </c>
      <c r="C177" s="59"/>
      <c r="D177" s="1" t="s">
        <v>298</v>
      </c>
      <c r="G177" s="85" t="s">
        <v>478</v>
      </c>
      <c r="H177" s="8"/>
    </row>
    <row r="178" spans="1:8" x14ac:dyDescent="0.15">
      <c r="A178" s="70"/>
      <c r="B178" s="56" t="s">
        <v>331</v>
      </c>
      <c r="C178" s="59"/>
      <c r="D178" s="1" t="s">
        <v>299</v>
      </c>
      <c r="G178" s="85" t="s">
        <v>478</v>
      </c>
      <c r="H178" s="8"/>
    </row>
    <row r="179" spans="1:8" x14ac:dyDescent="0.15">
      <c r="A179" s="70"/>
      <c r="B179" s="56" t="s">
        <v>332</v>
      </c>
      <c r="C179" s="60"/>
      <c r="D179" s="38" t="s">
        <v>300</v>
      </c>
      <c r="G179" s="85" t="s">
        <v>478</v>
      </c>
      <c r="H179" s="8"/>
    </row>
    <row r="180" spans="1:8" x14ac:dyDescent="0.15">
      <c r="A180" s="70"/>
      <c r="B180" s="56" t="s">
        <v>333</v>
      </c>
      <c r="C180" s="58" t="s">
        <v>241</v>
      </c>
      <c r="D180" s="1" t="s">
        <v>301</v>
      </c>
      <c r="G180" s="85" t="s">
        <v>478</v>
      </c>
      <c r="H180" s="8"/>
    </row>
    <row r="181" spans="1:8" x14ac:dyDescent="0.15">
      <c r="A181" s="70"/>
      <c r="B181" s="56" t="s">
        <v>334</v>
      </c>
      <c r="C181" s="59"/>
      <c r="D181" s="38" t="s">
        <v>302</v>
      </c>
      <c r="G181" s="85" t="s">
        <v>478</v>
      </c>
      <c r="H181" s="8"/>
    </row>
    <row r="182" spans="1:8" x14ac:dyDescent="0.15">
      <c r="A182" s="67" t="s">
        <v>203</v>
      </c>
      <c r="B182" s="56" t="s">
        <v>335</v>
      </c>
      <c r="C182" s="58" t="s">
        <v>204</v>
      </c>
      <c r="D182" s="8" t="s">
        <v>205</v>
      </c>
      <c r="G182" s="85" t="s">
        <v>478</v>
      </c>
      <c r="H182" s="8"/>
    </row>
    <row r="183" spans="1:8" x14ac:dyDescent="0.15">
      <c r="A183" s="67"/>
      <c r="B183" s="56" t="s">
        <v>336</v>
      </c>
      <c r="C183" s="59"/>
      <c r="D183" s="8" t="s">
        <v>212</v>
      </c>
      <c r="G183" s="85" t="s">
        <v>478</v>
      </c>
      <c r="H183" s="8"/>
    </row>
    <row r="184" spans="1:8" x14ac:dyDescent="0.15">
      <c r="A184" s="67"/>
      <c r="B184" s="56" t="s">
        <v>337</v>
      </c>
      <c r="C184" s="59"/>
      <c r="D184" s="8" t="s">
        <v>210</v>
      </c>
      <c r="G184" s="85" t="s">
        <v>478</v>
      </c>
      <c r="H184" s="8"/>
    </row>
    <row r="185" spans="1:8" x14ac:dyDescent="0.15">
      <c r="A185" s="67"/>
      <c r="B185" s="56" t="s">
        <v>392</v>
      </c>
      <c r="C185" s="68"/>
      <c r="D185" s="8" t="s">
        <v>213</v>
      </c>
      <c r="G185" s="85" t="s">
        <v>478</v>
      </c>
      <c r="H185" s="8"/>
    </row>
    <row r="186" spans="1:8" x14ac:dyDescent="0.15">
      <c r="A186" s="67"/>
      <c r="B186" s="56" t="s">
        <v>393</v>
      </c>
      <c r="C186" s="58" t="s">
        <v>206</v>
      </c>
      <c r="D186" s="8" t="s">
        <v>205</v>
      </c>
      <c r="G186" s="85" t="s">
        <v>478</v>
      </c>
      <c r="H186" s="8"/>
    </row>
    <row r="187" spans="1:8" x14ac:dyDescent="0.15">
      <c r="A187" s="67"/>
      <c r="B187" s="56" t="s">
        <v>394</v>
      </c>
      <c r="C187" s="59"/>
      <c r="D187" s="8" t="s">
        <v>212</v>
      </c>
      <c r="G187" s="85" t="s">
        <v>478</v>
      </c>
      <c r="H187" s="8"/>
    </row>
    <row r="188" spans="1:8" x14ac:dyDescent="0.15">
      <c r="A188" s="67"/>
      <c r="B188" s="56" t="s">
        <v>395</v>
      </c>
      <c r="C188" s="59"/>
      <c r="D188" s="8" t="s">
        <v>210</v>
      </c>
      <c r="G188" s="85" t="s">
        <v>478</v>
      </c>
      <c r="H188" s="8"/>
    </row>
    <row r="189" spans="1:8" x14ac:dyDescent="0.15">
      <c r="A189" s="67"/>
      <c r="B189" s="56" t="s">
        <v>396</v>
      </c>
      <c r="C189" s="68"/>
      <c r="D189" s="8" t="s">
        <v>213</v>
      </c>
      <c r="G189" s="85" t="s">
        <v>478</v>
      </c>
      <c r="H189" s="8"/>
    </row>
    <row r="190" spans="1:8" x14ac:dyDescent="0.15">
      <c r="A190" s="67"/>
      <c r="B190" s="56" t="s">
        <v>397</v>
      </c>
      <c r="C190" s="58" t="s">
        <v>207</v>
      </c>
      <c r="D190" s="8" t="s">
        <v>205</v>
      </c>
      <c r="G190" s="85" t="s">
        <v>478</v>
      </c>
      <c r="H190" s="8"/>
    </row>
    <row r="191" spans="1:8" x14ac:dyDescent="0.15">
      <c r="A191" s="67"/>
      <c r="B191" s="56" t="s">
        <v>398</v>
      </c>
      <c r="C191" s="59"/>
      <c r="D191" s="8" t="s">
        <v>212</v>
      </c>
      <c r="G191" s="85" t="s">
        <v>478</v>
      </c>
      <c r="H191" s="8"/>
    </row>
    <row r="192" spans="1:8" x14ac:dyDescent="0.15">
      <c r="A192" s="67"/>
      <c r="B192" s="56" t="s">
        <v>399</v>
      </c>
      <c r="C192" s="59"/>
      <c r="D192" s="8" t="s">
        <v>210</v>
      </c>
      <c r="G192" s="85" t="s">
        <v>478</v>
      </c>
      <c r="H192" s="8"/>
    </row>
    <row r="193" spans="1:220" x14ac:dyDescent="0.15">
      <c r="A193" s="67"/>
      <c r="B193" s="56" t="s">
        <v>400</v>
      </c>
      <c r="C193" s="68"/>
      <c r="D193" s="8" t="s">
        <v>213</v>
      </c>
      <c r="G193" s="85" t="s">
        <v>478</v>
      </c>
      <c r="H193" s="8"/>
    </row>
    <row r="194" spans="1:220" x14ac:dyDescent="0.15">
      <c r="A194" s="67"/>
      <c r="B194" s="56" t="s">
        <v>401</v>
      </c>
      <c r="C194" s="58" t="s">
        <v>208</v>
      </c>
      <c r="D194" s="8" t="s">
        <v>209</v>
      </c>
      <c r="G194" s="85" t="s">
        <v>478</v>
      </c>
      <c r="H194" s="8"/>
    </row>
    <row r="195" spans="1:220" x14ac:dyDescent="0.15">
      <c r="A195" s="67"/>
      <c r="B195" s="56" t="s">
        <v>402</v>
      </c>
      <c r="C195" s="68"/>
      <c r="D195" s="8" t="s">
        <v>211</v>
      </c>
      <c r="G195" s="85" t="s">
        <v>478</v>
      </c>
      <c r="H195" s="8"/>
    </row>
    <row r="196" spans="1:220" ht="33" x14ac:dyDescent="0.15">
      <c r="A196" s="67"/>
      <c r="B196" s="56" t="s">
        <v>490</v>
      </c>
      <c r="C196" s="53" t="s">
        <v>216</v>
      </c>
      <c r="D196" s="8" t="s">
        <v>217</v>
      </c>
      <c r="G196" s="87" t="s">
        <v>20</v>
      </c>
      <c r="H196" s="8"/>
      <c r="J196" s="89" t="s">
        <v>483</v>
      </c>
    </row>
    <row r="197" spans="1:220" s="21" customFormat="1" x14ac:dyDescent="0.15">
      <c r="A197" s="61" t="s">
        <v>341</v>
      </c>
      <c r="B197" s="62"/>
      <c r="C197" s="62"/>
      <c r="D197" s="62"/>
      <c r="E197" s="62"/>
      <c r="F197" s="62"/>
      <c r="G197" s="62"/>
      <c r="H197" s="62"/>
      <c r="I197" s="62"/>
      <c r="J197" s="63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  <c r="EW197" s="17"/>
      <c r="EX197" s="17"/>
      <c r="EY197" s="17"/>
      <c r="EZ197" s="17"/>
      <c r="FA197" s="17"/>
      <c r="FB197" s="17"/>
      <c r="FC197" s="17"/>
      <c r="FD197" s="17"/>
      <c r="FE197" s="17"/>
      <c r="FF197" s="17"/>
      <c r="FG197" s="17"/>
      <c r="FH197" s="17"/>
      <c r="FI197" s="17"/>
      <c r="FJ197" s="17"/>
      <c r="FK197" s="17"/>
      <c r="FL197" s="17"/>
      <c r="FM197" s="17"/>
      <c r="FN197" s="17"/>
      <c r="FO197" s="17"/>
      <c r="FP197" s="17"/>
      <c r="FQ197" s="17"/>
      <c r="FR197" s="17"/>
      <c r="FS197" s="17"/>
      <c r="FT197" s="17"/>
      <c r="FU197" s="17"/>
      <c r="FV197" s="17"/>
      <c r="FW197" s="17"/>
      <c r="FX197" s="17"/>
      <c r="FY197" s="17"/>
      <c r="FZ197" s="17"/>
      <c r="GA197" s="17"/>
      <c r="GB197" s="17"/>
      <c r="GC197" s="17"/>
      <c r="GD197" s="17"/>
      <c r="GE197" s="17"/>
      <c r="GF197" s="17"/>
      <c r="GG197" s="17"/>
      <c r="GH197" s="17"/>
      <c r="GI197" s="17"/>
      <c r="GJ197" s="17"/>
      <c r="GK197" s="17"/>
      <c r="GL197" s="17"/>
      <c r="GM197" s="17"/>
      <c r="GN197" s="17"/>
      <c r="GO197" s="17"/>
      <c r="GP197" s="17"/>
      <c r="GQ197" s="17"/>
      <c r="GR197" s="17"/>
      <c r="GS197" s="17"/>
      <c r="GT197" s="17"/>
      <c r="GU197" s="17"/>
      <c r="GV197" s="17"/>
      <c r="GW197" s="17"/>
      <c r="GX197" s="17"/>
      <c r="GY197" s="17"/>
      <c r="GZ197" s="17"/>
      <c r="HA197" s="17"/>
      <c r="HB197" s="17"/>
      <c r="HC197" s="17"/>
      <c r="HD197" s="17"/>
      <c r="HE197" s="17"/>
      <c r="HF197" s="17"/>
      <c r="HG197" s="17"/>
      <c r="HH197" s="17"/>
      <c r="HI197" s="17"/>
      <c r="HJ197" s="17"/>
      <c r="HK197" s="17"/>
      <c r="HL197" s="17"/>
    </row>
    <row r="198" spans="1:220" ht="13.5" customHeight="1" x14ac:dyDescent="0.15">
      <c r="A198" s="13" t="s">
        <v>27</v>
      </c>
      <c r="B198" s="50" t="s">
        <v>28</v>
      </c>
      <c r="C198" s="14" t="s">
        <v>0</v>
      </c>
      <c r="D198" s="7" t="s">
        <v>29</v>
      </c>
      <c r="E198" s="50" t="s">
        <v>30</v>
      </c>
      <c r="F198" s="50" t="s">
        <v>31</v>
      </c>
      <c r="G198" s="64" t="s">
        <v>34</v>
      </c>
      <c r="H198" s="64"/>
      <c r="I198" s="64"/>
      <c r="J198" s="30" t="s">
        <v>10</v>
      </c>
    </row>
    <row r="199" spans="1:220" ht="15.75" customHeight="1" x14ac:dyDescent="0.15">
      <c r="A199" s="69" t="s">
        <v>342</v>
      </c>
      <c r="B199" s="51" t="s">
        <v>491</v>
      </c>
      <c r="C199" s="58" t="s">
        <v>196</v>
      </c>
      <c r="D199" s="1" t="s">
        <v>193</v>
      </c>
      <c r="G199" s="85" t="s">
        <v>478</v>
      </c>
      <c r="H199" s="15"/>
      <c r="I199" s="15"/>
    </row>
    <row r="200" spans="1:220" s="38" customFormat="1" ht="18.75" customHeight="1" x14ac:dyDescent="0.15">
      <c r="A200" s="70"/>
      <c r="B200" s="56" t="s">
        <v>403</v>
      </c>
      <c r="C200" s="60"/>
      <c r="D200" s="1" t="s">
        <v>194</v>
      </c>
      <c r="E200" s="8"/>
      <c r="F200" s="8"/>
      <c r="G200" s="85" t="s">
        <v>478</v>
      </c>
      <c r="H200" s="15"/>
      <c r="I200" s="15"/>
      <c r="J200" s="8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  <c r="AZ200" s="35"/>
      <c r="BA200" s="35"/>
      <c r="BB200" s="35"/>
      <c r="BC200" s="35"/>
      <c r="BD200" s="35"/>
      <c r="BE200" s="35"/>
      <c r="BF200" s="35"/>
      <c r="BG200" s="35"/>
      <c r="BH200" s="35"/>
      <c r="BI200" s="35"/>
      <c r="BJ200" s="35"/>
      <c r="BK200" s="35"/>
      <c r="BL200" s="35"/>
      <c r="BM200" s="35"/>
      <c r="BN200" s="35"/>
      <c r="BO200" s="35"/>
      <c r="BP200" s="35"/>
      <c r="BQ200" s="35"/>
      <c r="BR200" s="35"/>
      <c r="BS200" s="35"/>
      <c r="BT200" s="35"/>
      <c r="BU200" s="35"/>
      <c r="BV200" s="35"/>
      <c r="BW200" s="35"/>
      <c r="BX200" s="35"/>
      <c r="BY200" s="35"/>
      <c r="BZ200" s="35"/>
      <c r="CA200" s="35"/>
      <c r="CB200" s="35"/>
      <c r="CC200" s="35"/>
      <c r="CD200" s="35"/>
      <c r="CE200" s="35"/>
      <c r="CF200" s="35"/>
      <c r="CG200" s="35"/>
      <c r="CH200" s="35"/>
      <c r="CI200" s="35"/>
      <c r="CJ200" s="35"/>
      <c r="CK200" s="35"/>
      <c r="CL200" s="35"/>
      <c r="CM200" s="35"/>
      <c r="CN200" s="35"/>
      <c r="CO200" s="35"/>
      <c r="CP200" s="35"/>
      <c r="CQ200" s="35"/>
      <c r="CR200" s="35"/>
      <c r="CS200" s="35"/>
      <c r="CT200" s="35"/>
      <c r="CU200" s="35"/>
      <c r="CV200" s="35"/>
      <c r="CW200" s="35"/>
      <c r="CX200" s="35"/>
      <c r="CY200" s="35"/>
      <c r="CZ200" s="35"/>
      <c r="DA200" s="35"/>
      <c r="DB200" s="35"/>
      <c r="DC200" s="35"/>
      <c r="DD200" s="35"/>
      <c r="DE200" s="35"/>
      <c r="DF200" s="35"/>
      <c r="DG200" s="35"/>
      <c r="DH200" s="35"/>
      <c r="DI200" s="35"/>
      <c r="DJ200" s="35"/>
      <c r="DK200" s="35"/>
      <c r="DL200" s="35"/>
      <c r="DM200" s="35"/>
      <c r="DN200" s="35"/>
      <c r="DO200" s="35"/>
      <c r="DP200" s="35"/>
      <c r="DQ200" s="35"/>
      <c r="DR200" s="35"/>
      <c r="DS200" s="35"/>
      <c r="DT200" s="35"/>
      <c r="DU200" s="35"/>
      <c r="DV200" s="35"/>
      <c r="DW200" s="35"/>
      <c r="DX200" s="35"/>
      <c r="DY200" s="35"/>
      <c r="DZ200" s="35"/>
      <c r="EA200" s="35"/>
      <c r="EB200" s="35"/>
      <c r="EC200" s="35"/>
      <c r="ED200" s="35"/>
      <c r="EE200" s="35"/>
      <c r="EF200" s="35"/>
      <c r="EG200" s="35"/>
      <c r="EH200" s="35"/>
      <c r="EI200" s="35"/>
      <c r="EJ200" s="35"/>
      <c r="EK200" s="35"/>
      <c r="EL200" s="35"/>
      <c r="EM200" s="35"/>
      <c r="EN200" s="35"/>
      <c r="EO200" s="35"/>
      <c r="EP200" s="35"/>
      <c r="EQ200" s="35"/>
      <c r="ER200" s="35"/>
      <c r="ES200" s="35"/>
      <c r="ET200" s="35"/>
      <c r="EU200" s="35"/>
      <c r="EV200" s="35"/>
      <c r="EW200" s="35"/>
      <c r="EX200" s="35"/>
      <c r="EY200" s="35"/>
      <c r="EZ200" s="35"/>
      <c r="FA200" s="35"/>
      <c r="FB200" s="35"/>
      <c r="FC200" s="35"/>
      <c r="FD200" s="35"/>
      <c r="FE200" s="35"/>
      <c r="FF200" s="35"/>
      <c r="FG200" s="35"/>
      <c r="FH200" s="35"/>
      <c r="FI200" s="35"/>
      <c r="FJ200" s="35"/>
      <c r="FK200" s="35"/>
      <c r="FL200" s="35"/>
      <c r="FM200" s="35"/>
      <c r="FN200" s="35"/>
      <c r="FO200" s="35"/>
      <c r="FP200" s="35"/>
      <c r="FQ200" s="35"/>
      <c r="FR200" s="35"/>
      <c r="FS200" s="35"/>
      <c r="FT200" s="35"/>
      <c r="FU200" s="35"/>
      <c r="FV200" s="35"/>
      <c r="FW200" s="35"/>
      <c r="FX200" s="35"/>
      <c r="FY200" s="35"/>
      <c r="FZ200" s="35"/>
      <c r="GA200" s="35"/>
      <c r="GB200" s="35"/>
      <c r="GC200" s="35"/>
      <c r="GD200" s="35"/>
      <c r="GE200" s="35"/>
      <c r="GF200" s="35"/>
      <c r="GG200" s="35"/>
      <c r="GH200" s="35"/>
      <c r="GI200" s="35"/>
      <c r="GJ200" s="35"/>
      <c r="GK200" s="35"/>
      <c r="GL200" s="35"/>
      <c r="GM200" s="35"/>
      <c r="GN200" s="35"/>
      <c r="GO200" s="35"/>
      <c r="GP200" s="35"/>
      <c r="GQ200" s="35"/>
      <c r="GR200" s="35"/>
      <c r="GS200" s="35"/>
      <c r="GT200" s="35"/>
      <c r="GU200" s="35"/>
      <c r="GV200" s="35"/>
      <c r="GW200" s="35"/>
      <c r="GX200" s="35"/>
      <c r="GY200" s="35"/>
      <c r="GZ200" s="35"/>
      <c r="HA200" s="35"/>
      <c r="HB200" s="35"/>
      <c r="HC200" s="35"/>
      <c r="HD200" s="35"/>
      <c r="HE200" s="35"/>
      <c r="HF200" s="35"/>
      <c r="HG200" s="35"/>
      <c r="HH200" s="35"/>
      <c r="HI200" s="35"/>
      <c r="HJ200" s="35"/>
      <c r="HK200" s="35"/>
      <c r="HL200" s="35"/>
    </row>
    <row r="201" spans="1:220" s="22" customFormat="1" ht="24" customHeight="1" x14ac:dyDescent="0.15">
      <c r="A201" s="70"/>
      <c r="B201" s="56" t="s">
        <v>445</v>
      </c>
      <c r="C201" s="58" t="s">
        <v>195</v>
      </c>
      <c r="D201" s="1" t="s">
        <v>193</v>
      </c>
      <c r="E201" s="8"/>
      <c r="F201" s="8"/>
      <c r="G201" s="85" t="s">
        <v>478</v>
      </c>
      <c r="H201" s="15"/>
      <c r="I201" s="15"/>
      <c r="J201" s="31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/>
      <c r="CW201" s="18"/>
      <c r="CX201" s="18"/>
      <c r="CY201" s="18"/>
      <c r="CZ201" s="18"/>
      <c r="DA201" s="18"/>
      <c r="DB201" s="18"/>
      <c r="DC201" s="18"/>
      <c r="DD201" s="18"/>
      <c r="DE201" s="18"/>
      <c r="DF201" s="18"/>
      <c r="DG201" s="18"/>
      <c r="DH201" s="18"/>
      <c r="DI201" s="18"/>
      <c r="DJ201" s="18"/>
      <c r="DK201" s="18"/>
      <c r="DL201" s="18"/>
      <c r="DM201" s="18"/>
      <c r="DN201" s="18"/>
      <c r="DO201" s="18"/>
      <c r="DP201" s="18"/>
      <c r="DQ201" s="18"/>
      <c r="DR201" s="18"/>
      <c r="DS201" s="18"/>
      <c r="DT201" s="18"/>
      <c r="DU201" s="18"/>
      <c r="DV201" s="18"/>
      <c r="DW201" s="18"/>
      <c r="DX201" s="18"/>
      <c r="DY201" s="18"/>
      <c r="DZ201" s="18"/>
      <c r="EA201" s="18"/>
      <c r="EB201" s="18"/>
      <c r="EC201" s="18"/>
      <c r="ED201" s="18"/>
      <c r="EE201" s="18"/>
      <c r="EF201" s="18"/>
      <c r="EG201" s="18"/>
      <c r="EH201" s="18"/>
      <c r="EI201" s="18"/>
      <c r="EJ201" s="18"/>
      <c r="EK201" s="18"/>
      <c r="EL201" s="18"/>
      <c r="EM201" s="18"/>
      <c r="EN201" s="18"/>
      <c r="EO201" s="18"/>
      <c r="EP201" s="18"/>
      <c r="EQ201" s="18"/>
      <c r="ER201" s="18"/>
      <c r="ES201" s="18"/>
      <c r="ET201" s="18"/>
      <c r="EU201" s="18"/>
      <c r="EV201" s="18"/>
      <c r="EW201" s="18"/>
      <c r="EX201" s="18"/>
      <c r="EY201" s="18"/>
      <c r="EZ201" s="18"/>
      <c r="FA201" s="18"/>
      <c r="FB201" s="18"/>
      <c r="FC201" s="18"/>
      <c r="FD201" s="18"/>
      <c r="FE201" s="18"/>
      <c r="FF201" s="18"/>
      <c r="FG201" s="18"/>
      <c r="FH201" s="18"/>
      <c r="FI201" s="18"/>
      <c r="FJ201" s="18"/>
      <c r="FK201" s="18"/>
      <c r="FL201" s="18"/>
      <c r="FM201" s="18"/>
      <c r="FN201" s="18"/>
      <c r="FO201" s="18"/>
      <c r="FP201" s="18"/>
      <c r="FQ201" s="18"/>
      <c r="FR201" s="18"/>
      <c r="FS201" s="18"/>
      <c r="FT201" s="18"/>
      <c r="FU201" s="18"/>
      <c r="FV201" s="18"/>
      <c r="FW201" s="18"/>
      <c r="FX201" s="18"/>
      <c r="FY201" s="18"/>
      <c r="FZ201" s="18"/>
      <c r="GA201" s="18"/>
      <c r="GB201" s="18"/>
      <c r="GC201" s="18"/>
      <c r="GD201" s="18"/>
      <c r="GE201" s="18"/>
      <c r="GF201" s="18"/>
      <c r="GG201" s="18"/>
      <c r="GH201" s="18"/>
      <c r="GI201" s="18"/>
      <c r="GJ201" s="18"/>
      <c r="GK201" s="18"/>
      <c r="GL201" s="18"/>
      <c r="GM201" s="18"/>
      <c r="GN201" s="18"/>
      <c r="GO201" s="18"/>
      <c r="GP201" s="18"/>
      <c r="GQ201" s="18"/>
      <c r="GR201" s="18"/>
      <c r="GS201" s="18"/>
      <c r="GT201" s="18"/>
      <c r="GU201" s="18"/>
      <c r="GV201" s="18"/>
      <c r="GW201" s="18"/>
      <c r="GX201" s="18"/>
      <c r="GY201" s="18"/>
      <c r="GZ201" s="18"/>
      <c r="HA201" s="18"/>
      <c r="HB201" s="18"/>
      <c r="HC201" s="18"/>
      <c r="HD201" s="18"/>
      <c r="HE201" s="18"/>
      <c r="HF201" s="18"/>
      <c r="HG201" s="18"/>
      <c r="HH201" s="18"/>
      <c r="HI201" s="18"/>
      <c r="HJ201" s="18"/>
      <c r="HK201" s="18"/>
      <c r="HL201" s="18"/>
    </row>
    <row r="202" spans="1:220" s="22" customFormat="1" ht="22.5" customHeight="1" x14ac:dyDescent="0.15">
      <c r="A202" s="70"/>
      <c r="B202" s="56" t="s">
        <v>446</v>
      </c>
      <c r="C202" s="60"/>
      <c r="D202" s="1" t="s">
        <v>194</v>
      </c>
      <c r="E202" s="8"/>
      <c r="F202" s="8"/>
      <c r="G202" s="85" t="s">
        <v>478</v>
      </c>
      <c r="H202" s="15"/>
      <c r="I202" s="15"/>
      <c r="J202" s="31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/>
      <c r="CW202" s="18"/>
      <c r="CX202" s="18"/>
      <c r="CY202" s="18"/>
      <c r="CZ202" s="18"/>
      <c r="DA202" s="18"/>
      <c r="DB202" s="18"/>
      <c r="DC202" s="18"/>
      <c r="DD202" s="18"/>
      <c r="DE202" s="18"/>
      <c r="DF202" s="18"/>
      <c r="DG202" s="18"/>
      <c r="DH202" s="18"/>
      <c r="DI202" s="18"/>
      <c r="DJ202" s="18"/>
      <c r="DK202" s="18"/>
      <c r="DL202" s="18"/>
      <c r="DM202" s="18"/>
      <c r="DN202" s="18"/>
      <c r="DO202" s="18"/>
      <c r="DP202" s="18"/>
      <c r="DQ202" s="18"/>
      <c r="DR202" s="18"/>
      <c r="DS202" s="18"/>
      <c r="DT202" s="18"/>
      <c r="DU202" s="18"/>
      <c r="DV202" s="18"/>
      <c r="DW202" s="18"/>
      <c r="DX202" s="18"/>
      <c r="DY202" s="18"/>
      <c r="DZ202" s="18"/>
      <c r="EA202" s="18"/>
      <c r="EB202" s="18"/>
      <c r="EC202" s="18"/>
      <c r="ED202" s="18"/>
      <c r="EE202" s="18"/>
      <c r="EF202" s="18"/>
      <c r="EG202" s="18"/>
      <c r="EH202" s="18"/>
      <c r="EI202" s="18"/>
      <c r="EJ202" s="18"/>
      <c r="EK202" s="18"/>
      <c r="EL202" s="18"/>
      <c r="EM202" s="18"/>
      <c r="EN202" s="18"/>
      <c r="EO202" s="18"/>
      <c r="EP202" s="18"/>
      <c r="EQ202" s="18"/>
      <c r="ER202" s="18"/>
      <c r="ES202" s="18"/>
      <c r="ET202" s="18"/>
      <c r="EU202" s="18"/>
      <c r="EV202" s="18"/>
      <c r="EW202" s="18"/>
      <c r="EX202" s="18"/>
      <c r="EY202" s="18"/>
      <c r="EZ202" s="18"/>
      <c r="FA202" s="18"/>
      <c r="FB202" s="18"/>
      <c r="FC202" s="18"/>
      <c r="FD202" s="18"/>
      <c r="FE202" s="18"/>
      <c r="FF202" s="18"/>
      <c r="FG202" s="18"/>
      <c r="FH202" s="18"/>
      <c r="FI202" s="18"/>
      <c r="FJ202" s="18"/>
      <c r="FK202" s="18"/>
      <c r="FL202" s="18"/>
      <c r="FM202" s="18"/>
      <c r="FN202" s="18"/>
      <c r="FO202" s="18"/>
      <c r="FP202" s="18"/>
      <c r="FQ202" s="18"/>
      <c r="FR202" s="18"/>
      <c r="FS202" s="18"/>
      <c r="FT202" s="18"/>
      <c r="FU202" s="18"/>
      <c r="FV202" s="18"/>
      <c r="FW202" s="18"/>
      <c r="FX202" s="18"/>
      <c r="FY202" s="18"/>
      <c r="FZ202" s="18"/>
      <c r="GA202" s="18"/>
      <c r="GB202" s="18"/>
      <c r="GC202" s="18"/>
      <c r="GD202" s="18"/>
      <c r="GE202" s="18"/>
      <c r="GF202" s="18"/>
      <c r="GG202" s="18"/>
      <c r="GH202" s="18"/>
      <c r="GI202" s="18"/>
      <c r="GJ202" s="18"/>
      <c r="GK202" s="18"/>
      <c r="GL202" s="18"/>
      <c r="GM202" s="18"/>
      <c r="GN202" s="18"/>
      <c r="GO202" s="18"/>
      <c r="GP202" s="18"/>
      <c r="GQ202" s="18"/>
      <c r="GR202" s="18"/>
      <c r="GS202" s="18"/>
      <c r="GT202" s="18"/>
      <c r="GU202" s="18"/>
      <c r="GV202" s="18"/>
      <c r="GW202" s="18"/>
      <c r="GX202" s="18"/>
      <c r="GY202" s="18"/>
      <c r="GZ202" s="18"/>
      <c r="HA202" s="18"/>
      <c r="HB202" s="18"/>
      <c r="HC202" s="18"/>
      <c r="HD202" s="18"/>
      <c r="HE202" s="18"/>
      <c r="HF202" s="18"/>
      <c r="HG202" s="18"/>
      <c r="HH202" s="18"/>
      <c r="HI202" s="18"/>
      <c r="HJ202" s="18"/>
      <c r="HK202" s="18"/>
      <c r="HL202" s="18"/>
    </row>
    <row r="203" spans="1:220" s="22" customFormat="1" ht="16.5" customHeight="1" x14ac:dyDescent="0.15">
      <c r="A203" s="70"/>
      <c r="B203" s="56" t="s">
        <v>447</v>
      </c>
      <c r="C203" s="58" t="s">
        <v>197</v>
      </c>
      <c r="D203" s="1" t="s">
        <v>198</v>
      </c>
      <c r="E203" s="8"/>
      <c r="F203" s="8"/>
      <c r="G203" s="85" t="s">
        <v>478</v>
      </c>
      <c r="H203" s="15"/>
      <c r="I203" s="15"/>
      <c r="J203" s="31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18"/>
      <c r="CW203" s="18"/>
      <c r="CX203" s="18"/>
      <c r="CY203" s="18"/>
      <c r="CZ203" s="18"/>
      <c r="DA203" s="18"/>
      <c r="DB203" s="18"/>
      <c r="DC203" s="18"/>
      <c r="DD203" s="18"/>
      <c r="DE203" s="18"/>
      <c r="DF203" s="18"/>
      <c r="DG203" s="18"/>
      <c r="DH203" s="18"/>
      <c r="DI203" s="18"/>
      <c r="DJ203" s="18"/>
      <c r="DK203" s="18"/>
      <c r="DL203" s="18"/>
      <c r="DM203" s="18"/>
      <c r="DN203" s="18"/>
      <c r="DO203" s="18"/>
      <c r="DP203" s="18"/>
      <c r="DQ203" s="18"/>
      <c r="DR203" s="18"/>
      <c r="DS203" s="18"/>
      <c r="DT203" s="18"/>
      <c r="DU203" s="18"/>
      <c r="DV203" s="18"/>
      <c r="DW203" s="18"/>
      <c r="DX203" s="18"/>
      <c r="DY203" s="18"/>
      <c r="DZ203" s="18"/>
      <c r="EA203" s="18"/>
      <c r="EB203" s="18"/>
      <c r="EC203" s="18"/>
      <c r="ED203" s="18"/>
      <c r="EE203" s="18"/>
      <c r="EF203" s="18"/>
      <c r="EG203" s="18"/>
      <c r="EH203" s="18"/>
      <c r="EI203" s="18"/>
      <c r="EJ203" s="18"/>
      <c r="EK203" s="18"/>
      <c r="EL203" s="18"/>
      <c r="EM203" s="18"/>
      <c r="EN203" s="18"/>
      <c r="EO203" s="18"/>
      <c r="EP203" s="18"/>
      <c r="EQ203" s="18"/>
      <c r="ER203" s="18"/>
      <c r="ES203" s="18"/>
      <c r="ET203" s="18"/>
      <c r="EU203" s="18"/>
      <c r="EV203" s="18"/>
      <c r="EW203" s="18"/>
      <c r="EX203" s="18"/>
      <c r="EY203" s="18"/>
      <c r="EZ203" s="18"/>
      <c r="FA203" s="18"/>
      <c r="FB203" s="18"/>
      <c r="FC203" s="18"/>
      <c r="FD203" s="18"/>
      <c r="FE203" s="18"/>
      <c r="FF203" s="18"/>
      <c r="FG203" s="18"/>
      <c r="FH203" s="18"/>
      <c r="FI203" s="18"/>
      <c r="FJ203" s="18"/>
      <c r="FK203" s="18"/>
      <c r="FL203" s="18"/>
      <c r="FM203" s="18"/>
      <c r="FN203" s="18"/>
      <c r="FO203" s="18"/>
      <c r="FP203" s="18"/>
      <c r="FQ203" s="18"/>
      <c r="FR203" s="18"/>
      <c r="FS203" s="18"/>
      <c r="FT203" s="18"/>
      <c r="FU203" s="18"/>
      <c r="FV203" s="18"/>
      <c r="FW203" s="18"/>
      <c r="FX203" s="18"/>
      <c r="FY203" s="18"/>
      <c r="FZ203" s="18"/>
      <c r="GA203" s="18"/>
      <c r="GB203" s="18"/>
      <c r="GC203" s="18"/>
      <c r="GD203" s="18"/>
      <c r="GE203" s="18"/>
      <c r="GF203" s="18"/>
      <c r="GG203" s="18"/>
      <c r="GH203" s="18"/>
      <c r="GI203" s="18"/>
      <c r="GJ203" s="18"/>
      <c r="GK203" s="18"/>
      <c r="GL203" s="18"/>
      <c r="GM203" s="18"/>
      <c r="GN203" s="18"/>
      <c r="GO203" s="18"/>
      <c r="GP203" s="18"/>
      <c r="GQ203" s="18"/>
      <c r="GR203" s="18"/>
      <c r="GS203" s="18"/>
      <c r="GT203" s="18"/>
      <c r="GU203" s="18"/>
      <c r="GV203" s="18"/>
      <c r="GW203" s="18"/>
      <c r="GX203" s="18"/>
      <c r="GY203" s="18"/>
      <c r="GZ203" s="18"/>
      <c r="HA203" s="18"/>
      <c r="HB203" s="18"/>
      <c r="HC203" s="18"/>
      <c r="HD203" s="18"/>
      <c r="HE203" s="18"/>
      <c r="HF203" s="18"/>
      <c r="HG203" s="18"/>
      <c r="HH203" s="18"/>
      <c r="HI203" s="18"/>
      <c r="HJ203" s="18"/>
      <c r="HK203" s="18"/>
      <c r="HL203" s="18"/>
    </row>
    <row r="204" spans="1:220" s="22" customFormat="1" ht="16.5" customHeight="1" x14ac:dyDescent="0.15">
      <c r="A204" s="70"/>
      <c r="B204" s="56" t="s">
        <v>448</v>
      </c>
      <c r="C204" s="59"/>
      <c r="D204" s="1" t="s">
        <v>199</v>
      </c>
      <c r="E204" s="8"/>
      <c r="F204" s="8"/>
      <c r="G204" s="85" t="s">
        <v>478</v>
      </c>
      <c r="H204" s="15"/>
      <c r="I204" s="15"/>
      <c r="J204" s="31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  <c r="CZ204" s="18"/>
      <c r="DA204" s="18"/>
      <c r="DB204" s="18"/>
      <c r="DC204" s="18"/>
      <c r="DD204" s="18"/>
      <c r="DE204" s="18"/>
      <c r="DF204" s="18"/>
      <c r="DG204" s="18"/>
      <c r="DH204" s="18"/>
      <c r="DI204" s="18"/>
      <c r="DJ204" s="18"/>
      <c r="DK204" s="18"/>
      <c r="DL204" s="18"/>
      <c r="DM204" s="18"/>
      <c r="DN204" s="18"/>
      <c r="DO204" s="18"/>
      <c r="DP204" s="18"/>
      <c r="DQ204" s="18"/>
      <c r="DR204" s="18"/>
      <c r="DS204" s="18"/>
      <c r="DT204" s="18"/>
      <c r="DU204" s="18"/>
      <c r="DV204" s="18"/>
      <c r="DW204" s="18"/>
      <c r="DX204" s="18"/>
      <c r="DY204" s="18"/>
      <c r="DZ204" s="18"/>
      <c r="EA204" s="18"/>
      <c r="EB204" s="18"/>
      <c r="EC204" s="18"/>
      <c r="ED204" s="18"/>
      <c r="EE204" s="18"/>
      <c r="EF204" s="18"/>
      <c r="EG204" s="18"/>
      <c r="EH204" s="18"/>
      <c r="EI204" s="18"/>
      <c r="EJ204" s="18"/>
      <c r="EK204" s="18"/>
      <c r="EL204" s="18"/>
      <c r="EM204" s="18"/>
      <c r="EN204" s="18"/>
      <c r="EO204" s="18"/>
      <c r="EP204" s="18"/>
      <c r="EQ204" s="18"/>
      <c r="ER204" s="18"/>
      <c r="ES204" s="18"/>
      <c r="ET204" s="18"/>
      <c r="EU204" s="18"/>
      <c r="EV204" s="18"/>
      <c r="EW204" s="18"/>
      <c r="EX204" s="18"/>
      <c r="EY204" s="18"/>
      <c r="EZ204" s="18"/>
      <c r="FA204" s="18"/>
      <c r="FB204" s="18"/>
      <c r="FC204" s="18"/>
      <c r="FD204" s="18"/>
      <c r="FE204" s="18"/>
      <c r="FF204" s="18"/>
      <c r="FG204" s="18"/>
      <c r="FH204" s="18"/>
      <c r="FI204" s="18"/>
      <c r="FJ204" s="18"/>
      <c r="FK204" s="18"/>
      <c r="FL204" s="18"/>
      <c r="FM204" s="18"/>
      <c r="FN204" s="18"/>
      <c r="FO204" s="18"/>
      <c r="FP204" s="18"/>
      <c r="FQ204" s="18"/>
      <c r="FR204" s="18"/>
      <c r="FS204" s="18"/>
      <c r="FT204" s="18"/>
      <c r="FU204" s="18"/>
      <c r="FV204" s="18"/>
      <c r="FW204" s="18"/>
      <c r="FX204" s="18"/>
      <c r="FY204" s="18"/>
      <c r="FZ204" s="18"/>
      <c r="GA204" s="18"/>
      <c r="GB204" s="18"/>
      <c r="GC204" s="18"/>
      <c r="GD204" s="18"/>
      <c r="GE204" s="18"/>
      <c r="GF204" s="18"/>
      <c r="GG204" s="18"/>
      <c r="GH204" s="18"/>
      <c r="GI204" s="18"/>
      <c r="GJ204" s="18"/>
      <c r="GK204" s="18"/>
      <c r="GL204" s="18"/>
      <c r="GM204" s="18"/>
      <c r="GN204" s="18"/>
      <c r="GO204" s="18"/>
      <c r="GP204" s="18"/>
      <c r="GQ204" s="18"/>
      <c r="GR204" s="18"/>
      <c r="GS204" s="18"/>
      <c r="GT204" s="18"/>
      <c r="GU204" s="18"/>
      <c r="GV204" s="18"/>
      <c r="GW204" s="18"/>
      <c r="GX204" s="18"/>
      <c r="GY204" s="18"/>
      <c r="GZ204" s="18"/>
      <c r="HA204" s="18"/>
      <c r="HB204" s="18"/>
      <c r="HC204" s="18"/>
      <c r="HD204" s="18"/>
      <c r="HE204" s="18"/>
      <c r="HF204" s="18"/>
      <c r="HG204" s="18"/>
      <c r="HH204" s="18"/>
      <c r="HI204" s="18"/>
      <c r="HJ204" s="18"/>
      <c r="HK204" s="18"/>
      <c r="HL204" s="18"/>
    </row>
    <row r="205" spans="1:220" s="22" customFormat="1" ht="16.5" customHeight="1" x14ac:dyDescent="0.15">
      <c r="A205" s="70"/>
      <c r="B205" s="56" t="s">
        <v>449</v>
      </c>
      <c r="C205" s="59"/>
      <c r="D205" s="1" t="s">
        <v>200</v>
      </c>
      <c r="E205" s="8"/>
      <c r="F205" s="8"/>
      <c r="G205" s="85" t="s">
        <v>478</v>
      </c>
      <c r="H205" s="15"/>
      <c r="I205" s="15"/>
      <c r="J205" s="31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  <c r="CZ205" s="18"/>
      <c r="DA205" s="18"/>
      <c r="DB205" s="18"/>
      <c r="DC205" s="18"/>
      <c r="DD205" s="18"/>
      <c r="DE205" s="18"/>
      <c r="DF205" s="18"/>
      <c r="DG205" s="18"/>
      <c r="DH205" s="18"/>
      <c r="DI205" s="18"/>
      <c r="DJ205" s="18"/>
      <c r="DK205" s="18"/>
      <c r="DL205" s="18"/>
      <c r="DM205" s="18"/>
      <c r="DN205" s="18"/>
      <c r="DO205" s="18"/>
      <c r="DP205" s="18"/>
      <c r="DQ205" s="18"/>
      <c r="DR205" s="18"/>
      <c r="DS205" s="18"/>
      <c r="DT205" s="18"/>
      <c r="DU205" s="18"/>
      <c r="DV205" s="18"/>
      <c r="DW205" s="18"/>
      <c r="DX205" s="18"/>
      <c r="DY205" s="18"/>
      <c r="DZ205" s="18"/>
      <c r="EA205" s="18"/>
      <c r="EB205" s="18"/>
      <c r="EC205" s="18"/>
      <c r="ED205" s="18"/>
      <c r="EE205" s="18"/>
      <c r="EF205" s="18"/>
      <c r="EG205" s="18"/>
      <c r="EH205" s="18"/>
      <c r="EI205" s="18"/>
      <c r="EJ205" s="18"/>
      <c r="EK205" s="18"/>
      <c r="EL205" s="18"/>
      <c r="EM205" s="18"/>
      <c r="EN205" s="18"/>
      <c r="EO205" s="18"/>
      <c r="EP205" s="18"/>
      <c r="EQ205" s="18"/>
      <c r="ER205" s="18"/>
      <c r="ES205" s="18"/>
      <c r="ET205" s="18"/>
      <c r="EU205" s="18"/>
      <c r="EV205" s="18"/>
      <c r="EW205" s="18"/>
      <c r="EX205" s="18"/>
      <c r="EY205" s="18"/>
      <c r="EZ205" s="18"/>
      <c r="FA205" s="18"/>
      <c r="FB205" s="18"/>
      <c r="FC205" s="18"/>
      <c r="FD205" s="18"/>
      <c r="FE205" s="18"/>
      <c r="FF205" s="18"/>
      <c r="FG205" s="18"/>
      <c r="FH205" s="18"/>
      <c r="FI205" s="18"/>
      <c r="FJ205" s="18"/>
      <c r="FK205" s="18"/>
      <c r="FL205" s="18"/>
      <c r="FM205" s="18"/>
      <c r="FN205" s="18"/>
      <c r="FO205" s="18"/>
      <c r="FP205" s="18"/>
      <c r="FQ205" s="18"/>
      <c r="FR205" s="18"/>
      <c r="FS205" s="18"/>
      <c r="FT205" s="18"/>
      <c r="FU205" s="18"/>
      <c r="FV205" s="18"/>
      <c r="FW205" s="18"/>
      <c r="FX205" s="18"/>
      <c r="FY205" s="18"/>
      <c r="FZ205" s="18"/>
      <c r="GA205" s="18"/>
      <c r="GB205" s="18"/>
      <c r="GC205" s="18"/>
      <c r="GD205" s="18"/>
      <c r="GE205" s="18"/>
      <c r="GF205" s="18"/>
      <c r="GG205" s="18"/>
      <c r="GH205" s="18"/>
      <c r="GI205" s="18"/>
      <c r="GJ205" s="18"/>
      <c r="GK205" s="18"/>
      <c r="GL205" s="18"/>
      <c r="GM205" s="18"/>
      <c r="GN205" s="18"/>
      <c r="GO205" s="18"/>
      <c r="GP205" s="18"/>
      <c r="GQ205" s="18"/>
      <c r="GR205" s="18"/>
      <c r="GS205" s="18"/>
      <c r="GT205" s="18"/>
      <c r="GU205" s="18"/>
      <c r="GV205" s="18"/>
      <c r="GW205" s="18"/>
      <c r="GX205" s="18"/>
      <c r="GY205" s="18"/>
      <c r="GZ205" s="18"/>
      <c r="HA205" s="18"/>
      <c r="HB205" s="18"/>
      <c r="HC205" s="18"/>
      <c r="HD205" s="18"/>
      <c r="HE205" s="18"/>
      <c r="HF205" s="18"/>
      <c r="HG205" s="18"/>
      <c r="HH205" s="18"/>
      <c r="HI205" s="18"/>
      <c r="HJ205" s="18"/>
      <c r="HK205" s="18"/>
      <c r="HL205" s="18"/>
    </row>
    <row r="206" spans="1:220" s="22" customFormat="1" ht="16.5" customHeight="1" x14ac:dyDescent="0.15">
      <c r="A206" s="70"/>
      <c r="B206" s="56" t="s">
        <v>450</v>
      </c>
      <c r="C206" s="59"/>
      <c r="D206" s="1" t="s">
        <v>201</v>
      </c>
      <c r="E206" s="8"/>
      <c r="F206" s="8"/>
      <c r="G206" s="85" t="s">
        <v>478</v>
      </c>
      <c r="H206" s="15"/>
      <c r="I206" s="15"/>
      <c r="J206" s="31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  <c r="CZ206" s="18"/>
      <c r="DA206" s="18"/>
      <c r="DB206" s="18"/>
      <c r="DC206" s="18"/>
      <c r="DD206" s="18"/>
      <c r="DE206" s="18"/>
      <c r="DF206" s="18"/>
      <c r="DG206" s="18"/>
      <c r="DH206" s="18"/>
      <c r="DI206" s="18"/>
      <c r="DJ206" s="18"/>
      <c r="DK206" s="18"/>
      <c r="DL206" s="18"/>
      <c r="DM206" s="18"/>
      <c r="DN206" s="18"/>
      <c r="DO206" s="18"/>
      <c r="DP206" s="18"/>
      <c r="DQ206" s="18"/>
      <c r="DR206" s="18"/>
      <c r="DS206" s="18"/>
      <c r="DT206" s="18"/>
      <c r="DU206" s="18"/>
      <c r="DV206" s="18"/>
      <c r="DW206" s="18"/>
      <c r="DX206" s="18"/>
      <c r="DY206" s="18"/>
      <c r="DZ206" s="18"/>
      <c r="EA206" s="18"/>
      <c r="EB206" s="18"/>
      <c r="EC206" s="18"/>
      <c r="ED206" s="18"/>
      <c r="EE206" s="18"/>
      <c r="EF206" s="18"/>
      <c r="EG206" s="18"/>
      <c r="EH206" s="18"/>
      <c r="EI206" s="18"/>
      <c r="EJ206" s="18"/>
      <c r="EK206" s="18"/>
      <c r="EL206" s="18"/>
      <c r="EM206" s="18"/>
      <c r="EN206" s="18"/>
      <c r="EO206" s="18"/>
      <c r="EP206" s="18"/>
      <c r="EQ206" s="18"/>
      <c r="ER206" s="18"/>
      <c r="ES206" s="18"/>
      <c r="ET206" s="18"/>
      <c r="EU206" s="18"/>
      <c r="EV206" s="18"/>
      <c r="EW206" s="18"/>
      <c r="EX206" s="18"/>
      <c r="EY206" s="18"/>
      <c r="EZ206" s="18"/>
      <c r="FA206" s="18"/>
      <c r="FB206" s="18"/>
      <c r="FC206" s="18"/>
      <c r="FD206" s="18"/>
      <c r="FE206" s="18"/>
      <c r="FF206" s="18"/>
      <c r="FG206" s="18"/>
      <c r="FH206" s="18"/>
      <c r="FI206" s="18"/>
      <c r="FJ206" s="18"/>
      <c r="FK206" s="18"/>
      <c r="FL206" s="18"/>
      <c r="FM206" s="18"/>
      <c r="FN206" s="18"/>
      <c r="FO206" s="18"/>
      <c r="FP206" s="18"/>
      <c r="FQ206" s="18"/>
      <c r="FR206" s="18"/>
      <c r="FS206" s="18"/>
      <c r="FT206" s="18"/>
      <c r="FU206" s="18"/>
      <c r="FV206" s="18"/>
      <c r="FW206" s="18"/>
      <c r="FX206" s="18"/>
      <c r="FY206" s="18"/>
      <c r="FZ206" s="18"/>
      <c r="GA206" s="18"/>
      <c r="GB206" s="18"/>
      <c r="GC206" s="18"/>
      <c r="GD206" s="18"/>
      <c r="GE206" s="18"/>
      <c r="GF206" s="18"/>
      <c r="GG206" s="18"/>
      <c r="GH206" s="18"/>
      <c r="GI206" s="18"/>
      <c r="GJ206" s="18"/>
      <c r="GK206" s="18"/>
      <c r="GL206" s="18"/>
      <c r="GM206" s="18"/>
      <c r="GN206" s="18"/>
      <c r="GO206" s="18"/>
      <c r="GP206" s="18"/>
      <c r="GQ206" s="18"/>
      <c r="GR206" s="18"/>
      <c r="GS206" s="18"/>
      <c r="GT206" s="18"/>
      <c r="GU206" s="18"/>
      <c r="GV206" s="18"/>
      <c r="GW206" s="18"/>
      <c r="GX206" s="18"/>
      <c r="GY206" s="18"/>
      <c r="GZ206" s="18"/>
      <c r="HA206" s="18"/>
      <c r="HB206" s="18"/>
      <c r="HC206" s="18"/>
      <c r="HD206" s="18"/>
      <c r="HE206" s="18"/>
      <c r="HF206" s="18"/>
      <c r="HG206" s="18"/>
      <c r="HH206" s="18"/>
      <c r="HI206" s="18"/>
      <c r="HJ206" s="18"/>
      <c r="HK206" s="18"/>
      <c r="HL206" s="18"/>
    </row>
    <row r="207" spans="1:220" s="22" customFormat="1" ht="33" customHeight="1" x14ac:dyDescent="0.15">
      <c r="A207" s="70"/>
      <c r="B207" s="56" t="s">
        <v>451</v>
      </c>
      <c r="C207" s="1" t="s">
        <v>455</v>
      </c>
      <c r="D207" s="1" t="s">
        <v>456</v>
      </c>
      <c r="E207" s="8"/>
      <c r="F207" s="8"/>
      <c r="G207" s="85" t="s">
        <v>478</v>
      </c>
      <c r="H207" s="15"/>
      <c r="I207" s="15"/>
      <c r="J207" s="31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18"/>
      <c r="CW207" s="18"/>
      <c r="CX207" s="18"/>
      <c r="CY207" s="18"/>
      <c r="CZ207" s="18"/>
      <c r="DA207" s="18"/>
      <c r="DB207" s="18"/>
      <c r="DC207" s="18"/>
      <c r="DD207" s="18"/>
      <c r="DE207" s="18"/>
      <c r="DF207" s="18"/>
      <c r="DG207" s="18"/>
      <c r="DH207" s="18"/>
      <c r="DI207" s="18"/>
      <c r="DJ207" s="18"/>
      <c r="DK207" s="18"/>
      <c r="DL207" s="18"/>
      <c r="DM207" s="18"/>
      <c r="DN207" s="18"/>
      <c r="DO207" s="18"/>
      <c r="DP207" s="18"/>
      <c r="DQ207" s="18"/>
      <c r="DR207" s="18"/>
      <c r="DS207" s="18"/>
      <c r="DT207" s="18"/>
      <c r="DU207" s="18"/>
      <c r="DV207" s="18"/>
      <c r="DW207" s="18"/>
      <c r="DX207" s="18"/>
      <c r="DY207" s="18"/>
      <c r="DZ207" s="18"/>
      <c r="EA207" s="18"/>
      <c r="EB207" s="18"/>
      <c r="EC207" s="18"/>
      <c r="ED207" s="18"/>
      <c r="EE207" s="18"/>
      <c r="EF207" s="18"/>
      <c r="EG207" s="18"/>
      <c r="EH207" s="18"/>
      <c r="EI207" s="18"/>
      <c r="EJ207" s="18"/>
      <c r="EK207" s="18"/>
      <c r="EL207" s="18"/>
      <c r="EM207" s="18"/>
      <c r="EN207" s="18"/>
      <c r="EO207" s="18"/>
      <c r="EP207" s="18"/>
      <c r="EQ207" s="18"/>
      <c r="ER207" s="18"/>
      <c r="ES207" s="18"/>
      <c r="ET207" s="18"/>
      <c r="EU207" s="18"/>
      <c r="EV207" s="18"/>
      <c r="EW207" s="18"/>
      <c r="EX207" s="18"/>
      <c r="EY207" s="18"/>
      <c r="EZ207" s="18"/>
      <c r="FA207" s="18"/>
      <c r="FB207" s="18"/>
      <c r="FC207" s="18"/>
      <c r="FD207" s="18"/>
      <c r="FE207" s="18"/>
      <c r="FF207" s="18"/>
      <c r="FG207" s="18"/>
      <c r="FH207" s="18"/>
      <c r="FI207" s="18"/>
      <c r="FJ207" s="18"/>
      <c r="FK207" s="18"/>
      <c r="FL207" s="18"/>
      <c r="FM207" s="18"/>
      <c r="FN207" s="18"/>
      <c r="FO207" s="18"/>
      <c r="FP207" s="18"/>
      <c r="FQ207" s="18"/>
      <c r="FR207" s="18"/>
      <c r="FS207" s="18"/>
      <c r="FT207" s="18"/>
      <c r="FU207" s="18"/>
      <c r="FV207" s="18"/>
      <c r="FW207" s="18"/>
      <c r="FX207" s="18"/>
      <c r="FY207" s="18"/>
      <c r="FZ207" s="18"/>
      <c r="GA207" s="18"/>
      <c r="GB207" s="18"/>
      <c r="GC207" s="18"/>
      <c r="GD207" s="18"/>
      <c r="GE207" s="18"/>
      <c r="GF207" s="18"/>
      <c r="GG207" s="18"/>
      <c r="GH207" s="18"/>
      <c r="GI207" s="18"/>
      <c r="GJ207" s="18"/>
      <c r="GK207" s="18"/>
      <c r="GL207" s="18"/>
      <c r="GM207" s="18"/>
      <c r="GN207" s="18"/>
      <c r="GO207" s="18"/>
      <c r="GP207" s="18"/>
      <c r="GQ207" s="18"/>
      <c r="GR207" s="18"/>
      <c r="GS207" s="18"/>
      <c r="GT207" s="18"/>
      <c r="GU207" s="18"/>
      <c r="GV207" s="18"/>
      <c r="GW207" s="18"/>
      <c r="GX207" s="18"/>
      <c r="GY207" s="18"/>
      <c r="GZ207" s="18"/>
      <c r="HA207" s="18"/>
      <c r="HB207" s="18"/>
      <c r="HC207" s="18"/>
      <c r="HD207" s="18"/>
      <c r="HE207" s="18"/>
      <c r="HF207" s="18"/>
      <c r="HG207" s="18"/>
      <c r="HH207" s="18"/>
      <c r="HI207" s="18"/>
      <c r="HJ207" s="18"/>
      <c r="HK207" s="18"/>
      <c r="HL207" s="18"/>
    </row>
    <row r="208" spans="1:220" s="22" customFormat="1" ht="16.5" customHeight="1" x14ac:dyDescent="0.15">
      <c r="A208" s="70"/>
      <c r="B208" s="56" t="s">
        <v>452</v>
      </c>
      <c r="C208" s="58" t="s">
        <v>457</v>
      </c>
      <c r="D208" s="1" t="s">
        <v>458</v>
      </c>
      <c r="E208" s="8"/>
      <c r="F208" s="8"/>
      <c r="G208" s="85" t="s">
        <v>478</v>
      </c>
      <c r="H208" s="15"/>
      <c r="I208" s="15"/>
      <c r="J208" s="31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  <c r="CS208" s="18"/>
      <c r="CT208" s="18"/>
      <c r="CU208" s="18"/>
      <c r="CV208" s="18"/>
      <c r="CW208" s="18"/>
      <c r="CX208" s="18"/>
      <c r="CY208" s="18"/>
      <c r="CZ208" s="18"/>
      <c r="DA208" s="18"/>
      <c r="DB208" s="18"/>
      <c r="DC208" s="18"/>
      <c r="DD208" s="18"/>
      <c r="DE208" s="18"/>
      <c r="DF208" s="18"/>
      <c r="DG208" s="18"/>
      <c r="DH208" s="18"/>
      <c r="DI208" s="18"/>
      <c r="DJ208" s="18"/>
      <c r="DK208" s="18"/>
      <c r="DL208" s="18"/>
      <c r="DM208" s="18"/>
      <c r="DN208" s="18"/>
      <c r="DO208" s="18"/>
      <c r="DP208" s="18"/>
      <c r="DQ208" s="18"/>
      <c r="DR208" s="18"/>
      <c r="DS208" s="18"/>
      <c r="DT208" s="18"/>
      <c r="DU208" s="18"/>
      <c r="DV208" s="18"/>
      <c r="DW208" s="18"/>
      <c r="DX208" s="18"/>
      <c r="DY208" s="18"/>
      <c r="DZ208" s="18"/>
      <c r="EA208" s="18"/>
      <c r="EB208" s="18"/>
      <c r="EC208" s="18"/>
      <c r="ED208" s="18"/>
      <c r="EE208" s="18"/>
      <c r="EF208" s="18"/>
      <c r="EG208" s="18"/>
      <c r="EH208" s="18"/>
      <c r="EI208" s="18"/>
      <c r="EJ208" s="18"/>
      <c r="EK208" s="18"/>
      <c r="EL208" s="18"/>
      <c r="EM208" s="18"/>
      <c r="EN208" s="18"/>
      <c r="EO208" s="18"/>
      <c r="EP208" s="18"/>
      <c r="EQ208" s="18"/>
      <c r="ER208" s="18"/>
      <c r="ES208" s="18"/>
      <c r="ET208" s="18"/>
      <c r="EU208" s="18"/>
      <c r="EV208" s="18"/>
      <c r="EW208" s="18"/>
      <c r="EX208" s="18"/>
      <c r="EY208" s="18"/>
      <c r="EZ208" s="18"/>
      <c r="FA208" s="18"/>
      <c r="FB208" s="18"/>
      <c r="FC208" s="18"/>
      <c r="FD208" s="18"/>
      <c r="FE208" s="18"/>
      <c r="FF208" s="18"/>
      <c r="FG208" s="18"/>
      <c r="FH208" s="18"/>
      <c r="FI208" s="18"/>
      <c r="FJ208" s="18"/>
      <c r="FK208" s="18"/>
      <c r="FL208" s="18"/>
      <c r="FM208" s="18"/>
      <c r="FN208" s="18"/>
      <c r="FO208" s="18"/>
      <c r="FP208" s="18"/>
      <c r="FQ208" s="18"/>
      <c r="FR208" s="18"/>
      <c r="FS208" s="18"/>
      <c r="FT208" s="18"/>
      <c r="FU208" s="18"/>
      <c r="FV208" s="18"/>
      <c r="FW208" s="18"/>
      <c r="FX208" s="18"/>
      <c r="FY208" s="18"/>
      <c r="FZ208" s="18"/>
      <c r="GA208" s="18"/>
      <c r="GB208" s="18"/>
      <c r="GC208" s="18"/>
      <c r="GD208" s="18"/>
      <c r="GE208" s="18"/>
      <c r="GF208" s="18"/>
      <c r="GG208" s="18"/>
      <c r="GH208" s="18"/>
      <c r="GI208" s="18"/>
      <c r="GJ208" s="18"/>
      <c r="GK208" s="18"/>
      <c r="GL208" s="18"/>
      <c r="GM208" s="18"/>
      <c r="GN208" s="18"/>
      <c r="GO208" s="18"/>
      <c r="GP208" s="18"/>
      <c r="GQ208" s="18"/>
      <c r="GR208" s="18"/>
      <c r="GS208" s="18"/>
      <c r="GT208" s="18"/>
      <c r="GU208" s="18"/>
      <c r="GV208" s="18"/>
      <c r="GW208" s="18"/>
      <c r="GX208" s="18"/>
      <c r="GY208" s="18"/>
      <c r="GZ208" s="18"/>
      <c r="HA208" s="18"/>
      <c r="HB208" s="18"/>
      <c r="HC208" s="18"/>
      <c r="HD208" s="18"/>
      <c r="HE208" s="18"/>
      <c r="HF208" s="18"/>
      <c r="HG208" s="18"/>
      <c r="HH208" s="18"/>
      <c r="HI208" s="18"/>
      <c r="HJ208" s="18"/>
      <c r="HK208" s="18"/>
      <c r="HL208" s="18"/>
    </row>
    <row r="209" spans="1:220" s="22" customFormat="1" ht="16.5" customHeight="1" x14ac:dyDescent="0.15">
      <c r="A209" s="70"/>
      <c r="B209" s="56" t="s">
        <v>453</v>
      </c>
      <c r="C209" s="59"/>
      <c r="D209" s="1" t="s">
        <v>459</v>
      </c>
      <c r="E209" s="8"/>
      <c r="F209" s="8"/>
      <c r="G209" s="85" t="s">
        <v>478</v>
      </c>
      <c r="H209" s="15"/>
      <c r="I209" s="15"/>
      <c r="J209" s="31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  <c r="CS209" s="18"/>
      <c r="CT209" s="18"/>
      <c r="CU209" s="18"/>
      <c r="CV209" s="18"/>
      <c r="CW209" s="18"/>
      <c r="CX209" s="18"/>
      <c r="CY209" s="18"/>
      <c r="CZ209" s="18"/>
      <c r="DA209" s="18"/>
      <c r="DB209" s="18"/>
      <c r="DC209" s="18"/>
      <c r="DD209" s="18"/>
      <c r="DE209" s="18"/>
      <c r="DF209" s="18"/>
      <c r="DG209" s="18"/>
      <c r="DH209" s="18"/>
      <c r="DI209" s="18"/>
      <c r="DJ209" s="18"/>
      <c r="DK209" s="18"/>
      <c r="DL209" s="18"/>
      <c r="DM209" s="18"/>
      <c r="DN209" s="18"/>
      <c r="DO209" s="18"/>
      <c r="DP209" s="18"/>
      <c r="DQ209" s="18"/>
      <c r="DR209" s="18"/>
      <c r="DS209" s="18"/>
      <c r="DT209" s="18"/>
      <c r="DU209" s="18"/>
      <c r="DV209" s="18"/>
      <c r="DW209" s="18"/>
      <c r="DX209" s="18"/>
      <c r="DY209" s="18"/>
      <c r="DZ209" s="18"/>
      <c r="EA209" s="18"/>
      <c r="EB209" s="18"/>
      <c r="EC209" s="18"/>
      <c r="ED209" s="18"/>
      <c r="EE209" s="18"/>
      <c r="EF209" s="18"/>
      <c r="EG209" s="18"/>
      <c r="EH209" s="18"/>
      <c r="EI209" s="18"/>
      <c r="EJ209" s="18"/>
      <c r="EK209" s="18"/>
      <c r="EL209" s="18"/>
      <c r="EM209" s="18"/>
      <c r="EN209" s="18"/>
      <c r="EO209" s="18"/>
      <c r="EP209" s="18"/>
      <c r="EQ209" s="18"/>
      <c r="ER209" s="18"/>
      <c r="ES209" s="18"/>
      <c r="ET209" s="18"/>
      <c r="EU209" s="18"/>
      <c r="EV209" s="18"/>
      <c r="EW209" s="18"/>
      <c r="EX209" s="18"/>
      <c r="EY209" s="18"/>
      <c r="EZ209" s="18"/>
      <c r="FA209" s="18"/>
      <c r="FB209" s="18"/>
      <c r="FC209" s="18"/>
      <c r="FD209" s="18"/>
      <c r="FE209" s="18"/>
      <c r="FF209" s="18"/>
      <c r="FG209" s="18"/>
      <c r="FH209" s="18"/>
      <c r="FI209" s="18"/>
      <c r="FJ209" s="18"/>
      <c r="FK209" s="18"/>
      <c r="FL209" s="18"/>
      <c r="FM209" s="18"/>
      <c r="FN209" s="18"/>
      <c r="FO209" s="18"/>
      <c r="FP209" s="18"/>
      <c r="FQ209" s="18"/>
      <c r="FR209" s="18"/>
      <c r="FS209" s="18"/>
      <c r="FT209" s="18"/>
      <c r="FU209" s="18"/>
      <c r="FV209" s="18"/>
      <c r="FW209" s="18"/>
      <c r="FX209" s="18"/>
      <c r="FY209" s="18"/>
      <c r="FZ209" s="18"/>
      <c r="GA209" s="18"/>
      <c r="GB209" s="18"/>
      <c r="GC209" s="18"/>
      <c r="GD209" s="18"/>
      <c r="GE209" s="18"/>
      <c r="GF209" s="18"/>
      <c r="GG209" s="18"/>
      <c r="GH209" s="18"/>
      <c r="GI209" s="18"/>
      <c r="GJ209" s="18"/>
      <c r="GK209" s="18"/>
      <c r="GL209" s="18"/>
      <c r="GM209" s="18"/>
      <c r="GN209" s="18"/>
      <c r="GO209" s="18"/>
      <c r="GP209" s="18"/>
      <c r="GQ209" s="18"/>
      <c r="GR209" s="18"/>
      <c r="GS209" s="18"/>
      <c r="GT209" s="18"/>
      <c r="GU209" s="18"/>
      <c r="GV209" s="18"/>
      <c r="GW209" s="18"/>
      <c r="GX209" s="18"/>
      <c r="GY209" s="18"/>
      <c r="GZ209" s="18"/>
      <c r="HA209" s="18"/>
      <c r="HB209" s="18"/>
      <c r="HC209" s="18"/>
      <c r="HD209" s="18"/>
      <c r="HE209" s="18"/>
      <c r="HF209" s="18"/>
      <c r="HG209" s="18"/>
      <c r="HH209" s="18"/>
      <c r="HI209" s="18"/>
      <c r="HJ209" s="18"/>
      <c r="HK209" s="18"/>
      <c r="HL209" s="18"/>
    </row>
    <row r="210" spans="1:220" s="22" customFormat="1" ht="16.5" customHeight="1" x14ac:dyDescent="0.15">
      <c r="A210" s="70"/>
      <c r="B210" s="56" t="s">
        <v>461</v>
      </c>
      <c r="C210" s="60"/>
      <c r="D210" s="22" t="s">
        <v>460</v>
      </c>
      <c r="E210" s="8"/>
      <c r="F210" s="8"/>
      <c r="G210" s="85" t="s">
        <v>478</v>
      </c>
      <c r="H210" s="15"/>
      <c r="I210" s="15"/>
      <c r="J210" s="31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  <c r="CS210" s="18"/>
      <c r="CT210" s="18"/>
      <c r="CU210" s="18"/>
      <c r="CV210" s="18"/>
      <c r="CW210" s="18"/>
      <c r="CX210" s="18"/>
      <c r="CY210" s="18"/>
      <c r="CZ210" s="18"/>
      <c r="DA210" s="18"/>
      <c r="DB210" s="18"/>
      <c r="DC210" s="18"/>
      <c r="DD210" s="18"/>
      <c r="DE210" s="18"/>
      <c r="DF210" s="18"/>
      <c r="DG210" s="18"/>
      <c r="DH210" s="18"/>
      <c r="DI210" s="18"/>
      <c r="DJ210" s="18"/>
      <c r="DK210" s="18"/>
      <c r="DL210" s="18"/>
      <c r="DM210" s="18"/>
      <c r="DN210" s="18"/>
      <c r="DO210" s="18"/>
      <c r="DP210" s="18"/>
      <c r="DQ210" s="18"/>
      <c r="DR210" s="18"/>
      <c r="DS210" s="18"/>
      <c r="DT210" s="18"/>
      <c r="DU210" s="18"/>
      <c r="DV210" s="18"/>
      <c r="DW210" s="18"/>
      <c r="DX210" s="18"/>
      <c r="DY210" s="18"/>
      <c r="DZ210" s="18"/>
      <c r="EA210" s="18"/>
      <c r="EB210" s="18"/>
      <c r="EC210" s="18"/>
      <c r="ED210" s="18"/>
      <c r="EE210" s="18"/>
      <c r="EF210" s="18"/>
      <c r="EG210" s="18"/>
      <c r="EH210" s="18"/>
      <c r="EI210" s="18"/>
      <c r="EJ210" s="18"/>
      <c r="EK210" s="18"/>
      <c r="EL210" s="18"/>
      <c r="EM210" s="18"/>
      <c r="EN210" s="18"/>
      <c r="EO210" s="18"/>
      <c r="EP210" s="18"/>
      <c r="EQ210" s="18"/>
      <c r="ER210" s="18"/>
      <c r="ES210" s="18"/>
      <c r="ET210" s="18"/>
      <c r="EU210" s="18"/>
      <c r="EV210" s="18"/>
      <c r="EW210" s="18"/>
      <c r="EX210" s="18"/>
      <c r="EY210" s="18"/>
      <c r="EZ210" s="18"/>
      <c r="FA210" s="18"/>
      <c r="FB210" s="18"/>
      <c r="FC210" s="18"/>
      <c r="FD210" s="18"/>
      <c r="FE210" s="18"/>
      <c r="FF210" s="18"/>
      <c r="FG210" s="18"/>
      <c r="FH210" s="18"/>
      <c r="FI210" s="18"/>
      <c r="FJ210" s="18"/>
      <c r="FK210" s="18"/>
      <c r="FL210" s="18"/>
      <c r="FM210" s="18"/>
      <c r="FN210" s="18"/>
      <c r="FO210" s="18"/>
      <c r="FP210" s="18"/>
      <c r="FQ210" s="18"/>
      <c r="FR210" s="18"/>
      <c r="FS210" s="18"/>
      <c r="FT210" s="18"/>
      <c r="FU210" s="18"/>
      <c r="FV210" s="18"/>
      <c r="FW210" s="18"/>
      <c r="FX210" s="18"/>
      <c r="FY210" s="18"/>
      <c r="FZ210" s="18"/>
      <c r="GA210" s="18"/>
      <c r="GB210" s="18"/>
      <c r="GC210" s="18"/>
      <c r="GD210" s="18"/>
      <c r="GE210" s="18"/>
      <c r="GF210" s="18"/>
      <c r="GG210" s="18"/>
      <c r="GH210" s="18"/>
      <c r="GI210" s="18"/>
      <c r="GJ210" s="18"/>
      <c r="GK210" s="18"/>
      <c r="GL210" s="18"/>
      <c r="GM210" s="18"/>
      <c r="GN210" s="18"/>
      <c r="GO210" s="18"/>
      <c r="GP210" s="18"/>
      <c r="GQ210" s="18"/>
      <c r="GR210" s="18"/>
      <c r="GS210" s="18"/>
      <c r="GT210" s="18"/>
      <c r="GU210" s="18"/>
      <c r="GV210" s="18"/>
      <c r="GW210" s="18"/>
      <c r="GX210" s="18"/>
      <c r="GY210" s="18"/>
      <c r="GZ210" s="18"/>
      <c r="HA210" s="18"/>
      <c r="HB210" s="18"/>
      <c r="HC210" s="18"/>
      <c r="HD210" s="18"/>
      <c r="HE210" s="18"/>
      <c r="HF210" s="18"/>
      <c r="HG210" s="18"/>
      <c r="HH210" s="18"/>
      <c r="HI210" s="18"/>
      <c r="HJ210" s="18"/>
      <c r="HK210" s="18"/>
      <c r="HL210" s="18"/>
    </row>
    <row r="211" spans="1:220" s="22" customFormat="1" ht="53.25" customHeight="1" x14ac:dyDescent="0.15">
      <c r="A211" s="70"/>
      <c r="B211" s="56" t="s">
        <v>462</v>
      </c>
      <c r="C211" s="1" t="s">
        <v>349</v>
      </c>
      <c r="D211" s="1" t="s">
        <v>350</v>
      </c>
      <c r="E211" s="8"/>
      <c r="F211" s="8"/>
      <c r="G211" s="85" t="s">
        <v>478</v>
      </c>
      <c r="H211" s="15"/>
      <c r="I211" s="15"/>
      <c r="J211" s="31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  <c r="CU211" s="18"/>
      <c r="CV211" s="18"/>
      <c r="CW211" s="18"/>
      <c r="CX211" s="18"/>
      <c r="CY211" s="18"/>
      <c r="CZ211" s="18"/>
      <c r="DA211" s="18"/>
      <c r="DB211" s="18"/>
      <c r="DC211" s="18"/>
      <c r="DD211" s="18"/>
      <c r="DE211" s="18"/>
      <c r="DF211" s="18"/>
      <c r="DG211" s="18"/>
      <c r="DH211" s="18"/>
      <c r="DI211" s="18"/>
      <c r="DJ211" s="18"/>
      <c r="DK211" s="18"/>
      <c r="DL211" s="18"/>
      <c r="DM211" s="18"/>
      <c r="DN211" s="18"/>
      <c r="DO211" s="18"/>
      <c r="DP211" s="18"/>
      <c r="DQ211" s="18"/>
      <c r="DR211" s="18"/>
      <c r="DS211" s="18"/>
      <c r="DT211" s="18"/>
      <c r="DU211" s="18"/>
      <c r="DV211" s="18"/>
      <c r="DW211" s="18"/>
      <c r="DX211" s="18"/>
      <c r="DY211" s="18"/>
      <c r="DZ211" s="18"/>
      <c r="EA211" s="18"/>
      <c r="EB211" s="18"/>
      <c r="EC211" s="18"/>
      <c r="ED211" s="18"/>
      <c r="EE211" s="18"/>
      <c r="EF211" s="18"/>
      <c r="EG211" s="18"/>
      <c r="EH211" s="18"/>
      <c r="EI211" s="18"/>
      <c r="EJ211" s="18"/>
      <c r="EK211" s="18"/>
      <c r="EL211" s="18"/>
      <c r="EM211" s="18"/>
      <c r="EN211" s="18"/>
      <c r="EO211" s="18"/>
      <c r="EP211" s="18"/>
      <c r="EQ211" s="18"/>
      <c r="ER211" s="18"/>
      <c r="ES211" s="18"/>
      <c r="ET211" s="18"/>
      <c r="EU211" s="18"/>
      <c r="EV211" s="18"/>
      <c r="EW211" s="18"/>
      <c r="EX211" s="18"/>
      <c r="EY211" s="18"/>
      <c r="EZ211" s="18"/>
      <c r="FA211" s="18"/>
      <c r="FB211" s="18"/>
      <c r="FC211" s="18"/>
      <c r="FD211" s="18"/>
      <c r="FE211" s="18"/>
      <c r="FF211" s="18"/>
      <c r="FG211" s="18"/>
      <c r="FH211" s="18"/>
      <c r="FI211" s="18"/>
      <c r="FJ211" s="18"/>
      <c r="FK211" s="18"/>
      <c r="FL211" s="18"/>
      <c r="FM211" s="18"/>
      <c r="FN211" s="18"/>
      <c r="FO211" s="18"/>
      <c r="FP211" s="18"/>
      <c r="FQ211" s="18"/>
      <c r="FR211" s="18"/>
      <c r="FS211" s="18"/>
      <c r="FT211" s="18"/>
      <c r="FU211" s="18"/>
      <c r="FV211" s="18"/>
      <c r="FW211" s="18"/>
      <c r="FX211" s="18"/>
      <c r="FY211" s="18"/>
      <c r="FZ211" s="18"/>
      <c r="GA211" s="18"/>
      <c r="GB211" s="18"/>
      <c r="GC211" s="18"/>
      <c r="GD211" s="18"/>
      <c r="GE211" s="18"/>
      <c r="GF211" s="18"/>
      <c r="GG211" s="18"/>
      <c r="GH211" s="18"/>
      <c r="GI211" s="18"/>
      <c r="GJ211" s="18"/>
      <c r="GK211" s="18"/>
      <c r="GL211" s="18"/>
      <c r="GM211" s="18"/>
      <c r="GN211" s="18"/>
      <c r="GO211" s="18"/>
      <c r="GP211" s="18"/>
      <c r="GQ211" s="18"/>
      <c r="GR211" s="18"/>
      <c r="GS211" s="18"/>
      <c r="GT211" s="18"/>
      <c r="GU211" s="18"/>
      <c r="GV211" s="18"/>
      <c r="GW211" s="18"/>
      <c r="GX211" s="18"/>
      <c r="GY211" s="18"/>
      <c r="GZ211" s="18"/>
      <c r="HA211" s="18"/>
      <c r="HB211" s="18"/>
      <c r="HC211" s="18"/>
      <c r="HD211" s="18"/>
      <c r="HE211" s="18"/>
      <c r="HF211" s="18"/>
      <c r="HG211" s="18"/>
      <c r="HH211" s="18"/>
      <c r="HI211" s="18"/>
      <c r="HJ211" s="18"/>
      <c r="HK211" s="18"/>
      <c r="HL211" s="18"/>
    </row>
    <row r="212" spans="1:220" s="22" customFormat="1" ht="53.25" customHeight="1" x14ac:dyDescent="0.15">
      <c r="A212" s="70"/>
      <c r="B212" s="56" t="s">
        <v>463</v>
      </c>
      <c r="C212" s="1" t="s">
        <v>351</v>
      </c>
      <c r="D212" s="1" t="s">
        <v>352</v>
      </c>
      <c r="E212" s="8"/>
      <c r="F212" s="8"/>
      <c r="G212" s="85" t="s">
        <v>478</v>
      </c>
      <c r="H212" s="15"/>
      <c r="I212" s="15"/>
      <c r="J212" s="31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  <c r="CS212" s="18"/>
      <c r="CT212" s="18"/>
      <c r="CU212" s="18"/>
      <c r="CV212" s="18"/>
      <c r="CW212" s="18"/>
      <c r="CX212" s="18"/>
      <c r="CY212" s="18"/>
      <c r="CZ212" s="18"/>
      <c r="DA212" s="18"/>
      <c r="DB212" s="18"/>
      <c r="DC212" s="18"/>
      <c r="DD212" s="18"/>
      <c r="DE212" s="18"/>
      <c r="DF212" s="18"/>
      <c r="DG212" s="18"/>
      <c r="DH212" s="18"/>
      <c r="DI212" s="18"/>
      <c r="DJ212" s="18"/>
      <c r="DK212" s="18"/>
      <c r="DL212" s="18"/>
      <c r="DM212" s="18"/>
      <c r="DN212" s="18"/>
      <c r="DO212" s="18"/>
      <c r="DP212" s="18"/>
      <c r="DQ212" s="18"/>
      <c r="DR212" s="18"/>
      <c r="DS212" s="18"/>
      <c r="DT212" s="18"/>
      <c r="DU212" s="18"/>
      <c r="DV212" s="18"/>
      <c r="DW212" s="18"/>
      <c r="DX212" s="18"/>
      <c r="DY212" s="18"/>
      <c r="DZ212" s="18"/>
      <c r="EA212" s="18"/>
      <c r="EB212" s="18"/>
      <c r="EC212" s="18"/>
      <c r="ED212" s="18"/>
      <c r="EE212" s="18"/>
      <c r="EF212" s="18"/>
      <c r="EG212" s="18"/>
      <c r="EH212" s="18"/>
      <c r="EI212" s="18"/>
      <c r="EJ212" s="18"/>
      <c r="EK212" s="18"/>
      <c r="EL212" s="18"/>
      <c r="EM212" s="18"/>
      <c r="EN212" s="18"/>
      <c r="EO212" s="18"/>
      <c r="EP212" s="18"/>
      <c r="EQ212" s="18"/>
      <c r="ER212" s="18"/>
      <c r="ES212" s="18"/>
      <c r="ET212" s="18"/>
      <c r="EU212" s="18"/>
      <c r="EV212" s="18"/>
      <c r="EW212" s="18"/>
      <c r="EX212" s="18"/>
      <c r="EY212" s="18"/>
      <c r="EZ212" s="18"/>
      <c r="FA212" s="18"/>
      <c r="FB212" s="18"/>
      <c r="FC212" s="18"/>
      <c r="FD212" s="18"/>
      <c r="FE212" s="18"/>
      <c r="FF212" s="18"/>
      <c r="FG212" s="18"/>
      <c r="FH212" s="18"/>
      <c r="FI212" s="18"/>
      <c r="FJ212" s="18"/>
      <c r="FK212" s="18"/>
      <c r="FL212" s="18"/>
      <c r="FM212" s="18"/>
      <c r="FN212" s="18"/>
      <c r="FO212" s="18"/>
      <c r="FP212" s="18"/>
      <c r="FQ212" s="18"/>
      <c r="FR212" s="18"/>
      <c r="FS212" s="18"/>
      <c r="FT212" s="18"/>
      <c r="FU212" s="18"/>
      <c r="FV212" s="18"/>
      <c r="FW212" s="18"/>
      <c r="FX212" s="18"/>
      <c r="FY212" s="18"/>
      <c r="FZ212" s="18"/>
      <c r="GA212" s="18"/>
      <c r="GB212" s="18"/>
      <c r="GC212" s="18"/>
      <c r="GD212" s="18"/>
      <c r="GE212" s="18"/>
      <c r="GF212" s="18"/>
      <c r="GG212" s="18"/>
      <c r="GH212" s="18"/>
      <c r="GI212" s="18"/>
      <c r="GJ212" s="18"/>
      <c r="GK212" s="18"/>
      <c r="GL212" s="18"/>
      <c r="GM212" s="18"/>
      <c r="GN212" s="18"/>
      <c r="GO212" s="18"/>
      <c r="GP212" s="18"/>
      <c r="GQ212" s="18"/>
      <c r="GR212" s="18"/>
      <c r="GS212" s="18"/>
      <c r="GT212" s="18"/>
      <c r="GU212" s="18"/>
      <c r="GV212" s="18"/>
      <c r="GW212" s="18"/>
      <c r="GX212" s="18"/>
      <c r="GY212" s="18"/>
      <c r="GZ212" s="18"/>
      <c r="HA212" s="18"/>
      <c r="HB212" s="18"/>
      <c r="HC212" s="18"/>
      <c r="HD212" s="18"/>
      <c r="HE212" s="18"/>
      <c r="HF212" s="18"/>
      <c r="HG212" s="18"/>
      <c r="HH212" s="18"/>
      <c r="HI212" s="18"/>
      <c r="HJ212" s="18"/>
      <c r="HK212" s="18"/>
      <c r="HL212" s="18"/>
    </row>
    <row r="213" spans="1:220" s="22" customFormat="1" ht="35.25" customHeight="1" x14ac:dyDescent="0.15">
      <c r="A213" s="70"/>
      <c r="B213" s="56" t="s">
        <v>464</v>
      </c>
      <c r="C213" s="1" t="s">
        <v>354</v>
      </c>
      <c r="D213" s="1" t="s">
        <v>355</v>
      </c>
      <c r="E213" s="8"/>
      <c r="F213" s="8"/>
      <c r="G213" s="85" t="s">
        <v>478</v>
      </c>
      <c r="H213" s="15"/>
      <c r="I213" s="15"/>
      <c r="J213" s="31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  <c r="CS213" s="18"/>
      <c r="CT213" s="18"/>
      <c r="CU213" s="18"/>
      <c r="CV213" s="18"/>
      <c r="CW213" s="18"/>
      <c r="CX213" s="18"/>
      <c r="CY213" s="18"/>
      <c r="CZ213" s="18"/>
      <c r="DA213" s="18"/>
      <c r="DB213" s="18"/>
      <c r="DC213" s="18"/>
      <c r="DD213" s="18"/>
      <c r="DE213" s="18"/>
      <c r="DF213" s="18"/>
      <c r="DG213" s="18"/>
      <c r="DH213" s="18"/>
      <c r="DI213" s="18"/>
      <c r="DJ213" s="18"/>
      <c r="DK213" s="18"/>
      <c r="DL213" s="18"/>
      <c r="DM213" s="18"/>
      <c r="DN213" s="18"/>
      <c r="DO213" s="18"/>
      <c r="DP213" s="18"/>
      <c r="DQ213" s="18"/>
      <c r="DR213" s="18"/>
      <c r="DS213" s="18"/>
      <c r="DT213" s="18"/>
      <c r="DU213" s="18"/>
      <c r="DV213" s="18"/>
      <c r="DW213" s="18"/>
      <c r="DX213" s="18"/>
      <c r="DY213" s="18"/>
      <c r="DZ213" s="18"/>
      <c r="EA213" s="18"/>
      <c r="EB213" s="18"/>
      <c r="EC213" s="18"/>
      <c r="ED213" s="18"/>
      <c r="EE213" s="18"/>
      <c r="EF213" s="18"/>
      <c r="EG213" s="18"/>
      <c r="EH213" s="18"/>
      <c r="EI213" s="18"/>
      <c r="EJ213" s="18"/>
      <c r="EK213" s="18"/>
      <c r="EL213" s="18"/>
      <c r="EM213" s="18"/>
      <c r="EN213" s="18"/>
      <c r="EO213" s="18"/>
      <c r="EP213" s="18"/>
      <c r="EQ213" s="18"/>
      <c r="ER213" s="18"/>
      <c r="ES213" s="18"/>
      <c r="ET213" s="18"/>
      <c r="EU213" s="18"/>
      <c r="EV213" s="18"/>
      <c r="EW213" s="18"/>
      <c r="EX213" s="18"/>
      <c r="EY213" s="18"/>
      <c r="EZ213" s="18"/>
      <c r="FA213" s="18"/>
      <c r="FB213" s="18"/>
      <c r="FC213" s="18"/>
      <c r="FD213" s="18"/>
      <c r="FE213" s="18"/>
      <c r="FF213" s="18"/>
      <c r="FG213" s="18"/>
      <c r="FH213" s="18"/>
      <c r="FI213" s="18"/>
      <c r="FJ213" s="18"/>
      <c r="FK213" s="18"/>
      <c r="FL213" s="18"/>
      <c r="FM213" s="18"/>
      <c r="FN213" s="18"/>
      <c r="FO213" s="18"/>
      <c r="FP213" s="18"/>
      <c r="FQ213" s="18"/>
      <c r="FR213" s="18"/>
      <c r="FS213" s="18"/>
      <c r="FT213" s="18"/>
      <c r="FU213" s="18"/>
      <c r="FV213" s="18"/>
      <c r="FW213" s="18"/>
      <c r="FX213" s="18"/>
      <c r="FY213" s="18"/>
      <c r="FZ213" s="18"/>
      <c r="GA213" s="18"/>
      <c r="GB213" s="18"/>
      <c r="GC213" s="18"/>
      <c r="GD213" s="18"/>
      <c r="GE213" s="18"/>
      <c r="GF213" s="18"/>
      <c r="GG213" s="18"/>
      <c r="GH213" s="18"/>
      <c r="GI213" s="18"/>
      <c r="GJ213" s="18"/>
      <c r="GK213" s="18"/>
      <c r="GL213" s="18"/>
      <c r="GM213" s="18"/>
      <c r="GN213" s="18"/>
      <c r="GO213" s="18"/>
      <c r="GP213" s="18"/>
      <c r="GQ213" s="18"/>
      <c r="GR213" s="18"/>
      <c r="GS213" s="18"/>
      <c r="GT213" s="18"/>
      <c r="GU213" s="18"/>
      <c r="GV213" s="18"/>
      <c r="GW213" s="18"/>
      <c r="GX213" s="18"/>
      <c r="GY213" s="18"/>
      <c r="GZ213" s="18"/>
      <c r="HA213" s="18"/>
      <c r="HB213" s="18"/>
      <c r="HC213" s="18"/>
      <c r="HD213" s="18"/>
      <c r="HE213" s="18"/>
      <c r="HF213" s="18"/>
      <c r="HG213" s="18"/>
      <c r="HH213" s="18"/>
      <c r="HI213" s="18"/>
      <c r="HJ213" s="18"/>
      <c r="HK213" s="18"/>
      <c r="HL213" s="18"/>
    </row>
    <row r="214" spans="1:220" s="22" customFormat="1" ht="52.5" customHeight="1" x14ac:dyDescent="0.15">
      <c r="A214" s="70"/>
      <c r="B214" s="56" t="s">
        <v>492</v>
      </c>
      <c r="C214" s="52" t="s">
        <v>444</v>
      </c>
      <c r="D214" s="1" t="s">
        <v>425</v>
      </c>
      <c r="E214" s="8"/>
      <c r="F214" s="8"/>
      <c r="G214" s="87" t="s">
        <v>480</v>
      </c>
      <c r="H214" s="15"/>
      <c r="I214" s="15"/>
      <c r="J214" s="31" t="s">
        <v>484</v>
      </c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18"/>
      <c r="CU214" s="18"/>
      <c r="CV214" s="18"/>
      <c r="CW214" s="18"/>
      <c r="CX214" s="18"/>
      <c r="CY214" s="18"/>
      <c r="CZ214" s="18"/>
      <c r="DA214" s="18"/>
      <c r="DB214" s="18"/>
      <c r="DC214" s="18"/>
      <c r="DD214" s="18"/>
      <c r="DE214" s="18"/>
      <c r="DF214" s="18"/>
      <c r="DG214" s="18"/>
      <c r="DH214" s="18"/>
      <c r="DI214" s="18"/>
      <c r="DJ214" s="18"/>
      <c r="DK214" s="18"/>
      <c r="DL214" s="18"/>
      <c r="DM214" s="18"/>
      <c r="DN214" s="18"/>
      <c r="DO214" s="18"/>
      <c r="DP214" s="18"/>
      <c r="DQ214" s="18"/>
      <c r="DR214" s="18"/>
      <c r="DS214" s="18"/>
      <c r="DT214" s="18"/>
      <c r="DU214" s="18"/>
      <c r="DV214" s="18"/>
      <c r="DW214" s="18"/>
      <c r="DX214" s="18"/>
      <c r="DY214" s="18"/>
      <c r="DZ214" s="18"/>
      <c r="EA214" s="18"/>
      <c r="EB214" s="18"/>
      <c r="EC214" s="18"/>
      <c r="ED214" s="18"/>
      <c r="EE214" s="18"/>
      <c r="EF214" s="18"/>
      <c r="EG214" s="18"/>
      <c r="EH214" s="18"/>
      <c r="EI214" s="18"/>
      <c r="EJ214" s="18"/>
      <c r="EK214" s="18"/>
      <c r="EL214" s="18"/>
      <c r="EM214" s="18"/>
      <c r="EN214" s="18"/>
      <c r="EO214" s="18"/>
      <c r="EP214" s="18"/>
      <c r="EQ214" s="18"/>
      <c r="ER214" s="18"/>
      <c r="ES214" s="18"/>
      <c r="ET214" s="18"/>
      <c r="EU214" s="18"/>
      <c r="EV214" s="18"/>
      <c r="EW214" s="18"/>
      <c r="EX214" s="18"/>
      <c r="EY214" s="18"/>
      <c r="EZ214" s="18"/>
      <c r="FA214" s="18"/>
      <c r="FB214" s="18"/>
      <c r="FC214" s="18"/>
      <c r="FD214" s="18"/>
      <c r="FE214" s="18"/>
      <c r="FF214" s="18"/>
      <c r="FG214" s="18"/>
      <c r="FH214" s="18"/>
      <c r="FI214" s="18"/>
      <c r="FJ214" s="18"/>
      <c r="FK214" s="18"/>
      <c r="FL214" s="18"/>
      <c r="FM214" s="18"/>
      <c r="FN214" s="18"/>
      <c r="FO214" s="18"/>
      <c r="FP214" s="18"/>
      <c r="FQ214" s="18"/>
      <c r="FR214" s="18"/>
      <c r="FS214" s="18"/>
      <c r="FT214" s="18"/>
      <c r="FU214" s="18"/>
      <c r="FV214" s="18"/>
      <c r="FW214" s="18"/>
      <c r="FX214" s="18"/>
      <c r="FY214" s="18"/>
      <c r="FZ214" s="18"/>
      <c r="GA214" s="18"/>
      <c r="GB214" s="18"/>
      <c r="GC214" s="18"/>
      <c r="GD214" s="18"/>
      <c r="GE214" s="18"/>
      <c r="GF214" s="18"/>
      <c r="GG214" s="18"/>
      <c r="GH214" s="18"/>
      <c r="GI214" s="18"/>
      <c r="GJ214" s="18"/>
      <c r="GK214" s="18"/>
      <c r="GL214" s="18"/>
      <c r="GM214" s="18"/>
      <c r="GN214" s="18"/>
      <c r="GO214" s="18"/>
      <c r="GP214" s="18"/>
      <c r="GQ214" s="18"/>
      <c r="GR214" s="18"/>
      <c r="GS214" s="18"/>
      <c r="GT214" s="18"/>
      <c r="GU214" s="18"/>
      <c r="GV214" s="18"/>
      <c r="GW214" s="18"/>
      <c r="GX214" s="18"/>
      <c r="GY214" s="18"/>
      <c r="GZ214" s="18"/>
      <c r="HA214" s="18"/>
      <c r="HB214" s="18"/>
      <c r="HC214" s="18"/>
      <c r="HD214" s="18"/>
      <c r="HE214" s="18"/>
      <c r="HF214" s="18"/>
      <c r="HG214" s="18"/>
      <c r="HH214" s="18"/>
      <c r="HI214" s="18"/>
      <c r="HJ214" s="18"/>
      <c r="HK214" s="18"/>
      <c r="HL214" s="18"/>
    </row>
    <row r="215" spans="1:220" s="21" customFormat="1" x14ac:dyDescent="0.15">
      <c r="A215" s="61" t="s">
        <v>343</v>
      </c>
      <c r="B215" s="62"/>
      <c r="C215" s="62"/>
      <c r="D215" s="62"/>
      <c r="E215" s="62"/>
      <c r="F215" s="62"/>
      <c r="G215" s="62"/>
      <c r="H215" s="62"/>
      <c r="I215" s="62"/>
      <c r="J215" s="63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  <c r="EW215" s="17"/>
      <c r="EX215" s="17"/>
      <c r="EY215" s="17"/>
      <c r="EZ215" s="17"/>
      <c r="FA215" s="17"/>
      <c r="FB215" s="17"/>
      <c r="FC215" s="17"/>
      <c r="FD215" s="17"/>
      <c r="FE215" s="17"/>
      <c r="FF215" s="17"/>
      <c r="FG215" s="17"/>
      <c r="FH215" s="17"/>
      <c r="FI215" s="17"/>
      <c r="FJ215" s="17"/>
      <c r="FK215" s="17"/>
      <c r="FL215" s="17"/>
      <c r="FM215" s="17"/>
      <c r="FN215" s="17"/>
      <c r="FO215" s="17"/>
      <c r="FP215" s="17"/>
      <c r="FQ215" s="17"/>
      <c r="FR215" s="17"/>
      <c r="FS215" s="17"/>
      <c r="FT215" s="17"/>
      <c r="FU215" s="17"/>
      <c r="FV215" s="17"/>
      <c r="FW215" s="17"/>
      <c r="FX215" s="17"/>
      <c r="FY215" s="17"/>
      <c r="FZ215" s="17"/>
      <c r="GA215" s="17"/>
      <c r="GB215" s="17"/>
      <c r="GC215" s="17"/>
      <c r="GD215" s="17"/>
      <c r="GE215" s="17"/>
      <c r="GF215" s="17"/>
      <c r="GG215" s="17"/>
      <c r="GH215" s="17"/>
      <c r="GI215" s="17"/>
      <c r="GJ215" s="17"/>
      <c r="GK215" s="17"/>
      <c r="GL215" s="17"/>
      <c r="GM215" s="17"/>
      <c r="GN215" s="17"/>
      <c r="GO215" s="17"/>
      <c r="GP215" s="17"/>
      <c r="GQ215" s="17"/>
      <c r="GR215" s="17"/>
      <c r="GS215" s="17"/>
      <c r="GT215" s="17"/>
      <c r="GU215" s="17"/>
      <c r="GV215" s="17"/>
      <c r="GW215" s="17"/>
      <c r="GX215" s="17"/>
      <c r="GY215" s="17"/>
      <c r="GZ215" s="17"/>
      <c r="HA215" s="17"/>
      <c r="HB215" s="17"/>
      <c r="HC215" s="17"/>
      <c r="HD215" s="17"/>
      <c r="HE215" s="17"/>
      <c r="HF215" s="17"/>
      <c r="HG215" s="17"/>
      <c r="HH215" s="17"/>
      <c r="HI215" s="17"/>
      <c r="HJ215" s="17"/>
      <c r="HK215" s="17"/>
      <c r="HL215" s="17"/>
    </row>
    <row r="216" spans="1:220" ht="13.5" customHeight="1" x14ac:dyDescent="0.15">
      <c r="A216" s="13" t="s">
        <v>27</v>
      </c>
      <c r="B216" s="50" t="s">
        <v>28</v>
      </c>
      <c r="C216" s="14" t="s">
        <v>0</v>
      </c>
      <c r="D216" s="7" t="s">
        <v>29</v>
      </c>
      <c r="E216" s="50" t="s">
        <v>30</v>
      </c>
      <c r="F216" s="50" t="s">
        <v>31</v>
      </c>
      <c r="G216" s="64" t="s">
        <v>34</v>
      </c>
      <c r="H216" s="64"/>
      <c r="I216" s="64"/>
      <c r="J216" s="30" t="s">
        <v>10</v>
      </c>
    </row>
    <row r="217" spans="1:220" ht="50.25" customHeight="1" x14ac:dyDescent="0.15">
      <c r="A217" s="67" t="s">
        <v>344</v>
      </c>
      <c r="B217" s="51" t="s">
        <v>493</v>
      </c>
      <c r="C217" s="1" t="s">
        <v>438</v>
      </c>
      <c r="D217" s="1" t="s">
        <v>443</v>
      </c>
      <c r="G217" s="85" t="s">
        <v>478</v>
      </c>
      <c r="H217" s="15"/>
      <c r="I217" s="15"/>
    </row>
    <row r="218" spans="1:220" s="38" customFormat="1" ht="53.25" customHeight="1" x14ac:dyDescent="0.15">
      <c r="A218" s="67"/>
      <c r="B218" s="56" t="s">
        <v>474</v>
      </c>
      <c r="C218" s="1" t="s">
        <v>439</v>
      </c>
      <c r="D218" s="1" t="s">
        <v>443</v>
      </c>
      <c r="E218" s="8"/>
      <c r="F218" s="8"/>
      <c r="G218" s="85" t="s">
        <v>478</v>
      </c>
      <c r="H218" s="15"/>
      <c r="I218" s="15"/>
      <c r="J218" s="8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35"/>
      <c r="AW218" s="35"/>
      <c r="AX218" s="35"/>
      <c r="AY218" s="35"/>
      <c r="AZ218" s="35"/>
      <c r="BA218" s="35"/>
      <c r="BB218" s="35"/>
      <c r="BC218" s="35"/>
      <c r="BD218" s="35"/>
      <c r="BE218" s="35"/>
      <c r="BF218" s="35"/>
      <c r="BG218" s="35"/>
      <c r="BH218" s="35"/>
      <c r="BI218" s="35"/>
      <c r="BJ218" s="35"/>
      <c r="BK218" s="35"/>
      <c r="BL218" s="35"/>
      <c r="BM218" s="35"/>
      <c r="BN218" s="35"/>
      <c r="BO218" s="35"/>
      <c r="BP218" s="35"/>
      <c r="BQ218" s="35"/>
      <c r="BR218" s="35"/>
      <c r="BS218" s="35"/>
      <c r="BT218" s="35"/>
      <c r="BU218" s="35"/>
      <c r="BV218" s="35"/>
      <c r="BW218" s="35"/>
      <c r="BX218" s="35"/>
      <c r="BY218" s="35"/>
      <c r="BZ218" s="35"/>
      <c r="CA218" s="35"/>
      <c r="CB218" s="35"/>
      <c r="CC218" s="35"/>
      <c r="CD218" s="35"/>
      <c r="CE218" s="35"/>
      <c r="CF218" s="35"/>
      <c r="CG218" s="35"/>
      <c r="CH218" s="35"/>
      <c r="CI218" s="35"/>
      <c r="CJ218" s="35"/>
      <c r="CK218" s="35"/>
      <c r="CL218" s="35"/>
      <c r="CM218" s="35"/>
      <c r="CN218" s="35"/>
      <c r="CO218" s="35"/>
      <c r="CP218" s="35"/>
      <c r="CQ218" s="35"/>
      <c r="CR218" s="35"/>
      <c r="CS218" s="35"/>
      <c r="CT218" s="35"/>
      <c r="CU218" s="35"/>
      <c r="CV218" s="35"/>
      <c r="CW218" s="35"/>
      <c r="CX218" s="35"/>
      <c r="CY218" s="35"/>
      <c r="CZ218" s="35"/>
      <c r="DA218" s="35"/>
      <c r="DB218" s="35"/>
      <c r="DC218" s="35"/>
      <c r="DD218" s="35"/>
      <c r="DE218" s="35"/>
      <c r="DF218" s="35"/>
      <c r="DG218" s="35"/>
      <c r="DH218" s="35"/>
      <c r="DI218" s="35"/>
      <c r="DJ218" s="35"/>
      <c r="DK218" s="35"/>
      <c r="DL218" s="35"/>
      <c r="DM218" s="35"/>
      <c r="DN218" s="35"/>
      <c r="DO218" s="35"/>
      <c r="DP218" s="35"/>
      <c r="DQ218" s="35"/>
      <c r="DR218" s="35"/>
      <c r="DS218" s="35"/>
      <c r="DT218" s="35"/>
      <c r="DU218" s="35"/>
      <c r="DV218" s="35"/>
      <c r="DW218" s="35"/>
      <c r="DX218" s="35"/>
      <c r="DY218" s="35"/>
      <c r="DZ218" s="35"/>
      <c r="EA218" s="35"/>
      <c r="EB218" s="35"/>
      <c r="EC218" s="35"/>
      <c r="ED218" s="35"/>
      <c r="EE218" s="35"/>
      <c r="EF218" s="35"/>
      <c r="EG218" s="35"/>
      <c r="EH218" s="35"/>
      <c r="EI218" s="35"/>
      <c r="EJ218" s="35"/>
      <c r="EK218" s="35"/>
      <c r="EL218" s="35"/>
      <c r="EM218" s="35"/>
      <c r="EN218" s="35"/>
      <c r="EO218" s="35"/>
      <c r="EP218" s="35"/>
      <c r="EQ218" s="35"/>
      <c r="ER218" s="35"/>
      <c r="ES218" s="35"/>
      <c r="ET218" s="35"/>
      <c r="EU218" s="35"/>
      <c r="EV218" s="35"/>
      <c r="EW218" s="35"/>
      <c r="EX218" s="35"/>
      <c r="EY218" s="35"/>
      <c r="EZ218" s="35"/>
      <c r="FA218" s="35"/>
      <c r="FB218" s="35"/>
      <c r="FC218" s="35"/>
      <c r="FD218" s="35"/>
      <c r="FE218" s="35"/>
      <c r="FF218" s="35"/>
      <c r="FG218" s="35"/>
      <c r="FH218" s="35"/>
      <c r="FI218" s="35"/>
      <c r="FJ218" s="35"/>
      <c r="FK218" s="35"/>
      <c r="FL218" s="35"/>
      <c r="FM218" s="35"/>
      <c r="FN218" s="35"/>
      <c r="FO218" s="35"/>
      <c r="FP218" s="35"/>
      <c r="FQ218" s="35"/>
      <c r="FR218" s="35"/>
      <c r="FS218" s="35"/>
      <c r="FT218" s="35"/>
      <c r="FU218" s="35"/>
      <c r="FV218" s="35"/>
      <c r="FW218" s="35"/>
      <c r="FX218" s="35"/>
      <c r="FY218" s="35"/>
      <c r="FZ218" s="35"/>
      <c r="GA218" s="35"/>
      <c r="GB218" s="35"/>
      <c r="GC218" s="35"/>
      <c r="GD218" s="35"/>
      <c r="GE218" s="35"/>
      <c r="GF218" s="35"/>
      <c r="GG218" s="35"/>
      <c r="GH218" s="35"/>
      <c r="GI218" s="35"/>
      <c r="GJ218" s="35"/>
      <c r="GK218" s="35"/>
      <c r="GL218" s="35"/>
      <c r="GM218" s="35"/>
      <c r="GN218" s="35"/>
      <c r="GO218" s="35"/>
      <c r="GP218" s="35"/>
      <c r="GQ218" s="35"/>
      <c r="GR218" s="35"/>
      <c r="GS218" s="35"/>
      <c r="GT218" s="35"/>
      <c r="GU218" s="35"/>
      <c r="GV218" s="35"/>
      <c r="GW218" s="35"/>
      <c r="GX218" s="35"/>
      <c r="GY218" s="35"/>
      <c r="GZ218" s="35"/>
      <c r="HA218" s="35"/>
      <c r="HB218" s="35"/>
      <c r="HC218" s="35"/>
      <c r="HD218" s="35"/>
      <c r="HE218" s="35"/>
      <c r="HF218" s="35"/>
      <c r="HG218" s="35"/>
      <c r="HH218" s="35"/>
      <c r="HI218" s="35"/>
      <c r="HJ218" s="35"/>
      <c r="HK218" s="35"/>
      <c r="HL218" s="35"/>
    </row>
    <row r="219" spans="1:220" s="22" customFormat="1" ht="53.25" customHeight="1" x14ac:dyDescent="0.15">
      <c r="A219" s="67"/>
      <c r="B219" s="56" t="s">
        <v>404</v>
      </c>
      <c r="C219" s="1" t="s">
        <v>440</v>
      </c>
      <c r="D219" s="1" t="s">
        <v>454</v>
      </c>
      <c r="E219" s="8"/>
      <c r="F219" s="8"/>
      <c r="G219" s="85" t="s">
        <v>478</v>
      </c>
      <c r="H219" s="15"/>
      <c r="I219" s="15"/>
      <c r="J219" s="31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  <c r="CS219" s="18"/>
      <c r="CT219" s="18"/>
      <c r="CU219" s="18"/>
      <c r="CV219" s="18"/>
      <c r="CW219" s="18"/>
      <c r="CX219" s="18"/>
      <c r="CY219" s="18"/>
      <c r="CZ219" s="18"/>
      <c r="DA219" s="18"/>
      <c r="DB219" s="18"/>
      <c r="DC219" s="18"/>
      <c r="DD219" s="18"/>
      <c r="DE219" s="18"/>
      <c r="DF219" s="18"/>
      <c r="DG219" s="18"/>
      <c r="DH219" s="18"/>
      <c r="DI219" s="18"/>
      <c r="DJ219" s="18"/>
      <c r="DK219" s="18"/>
      <c r="DL219" s="18"/>
      <c r="DM219" s="18"/>
      <c r="DN219" s="18"/>
      <c r="DO219" s="18"/>
      <c r="DP219" s="18"/>
      <c r="DQ219" s="18"/>
      <c r="DR219" s="18"/>
      <c r="DS219" s="18"/>
      <c r="DT219" s="18"/>
      <c r="DU219" s="18"/>
      <c r="DV219" s="18"/>
      <c r="DW219" s="18"/>
      <c r="DX219" s="18"/>
      <c r="DY219" s="18"/>
      <c r="DZ219" s="18"/>
      <c r="EA219" s="18"/>
      <c r="EB219" s="18"/>
      <c r="EC219" s="18"/>
      <c r="ED219" s="18"/>
      <c r="EE219" s="18"/>
      <c r="EF219" s="18"/>
      <c r="EG219" s="18"/>
      <c r="EH219" s="18"/>
      <c r="EI219" s="18"/>
      <c r="EJ219" s="18"/>
      <c r="EK219" s="18"/>
      <c r="EL219" s="18"/>
      <c r="EM219" s="18"/>
      <c r="EN219" s="18"/>
      <c r="EO219" s="18"/>
      <c r="EP219" s="18"/>
      <c r="EQ219" s="18"/>
      <c r="ER219" s="18"/>
      <c r="ES219" s="18"/>
      <c r="ET219" s="18"/>
      <c r="EU219" s="18"/>
      <c r="EV219" s="18"/>
      <c r="EW219" s="18"/>
      <c r="EX219" s="18"/>
      <c r="EY219" s="18"/>
      <c r="EZ219" s="18"/>
      <c r="FA219" s="18"/>
      <c r="FB219" s="18"/>
      <c r="FC219" s="18"/>
      <c r="FD219" s="18"/>
      <c r="FE219" s="18"/>
      <c r="FF219" s="18"/>
      <c r="FG219" s="18"/>
      <c r="FH219" s="18"/>
      <c r="FI219" s="18"/>
      <c r="FJ219" s="18"/>
      <c r="FK219" s="18"/>
      <c r="FL219" s="18"/>
      <c r="FM219" s="18"/>
      <c r="FN219" s="18"/>
      <c r="FO219" s="18"/>
      <c r="FP219" s="18"/>
      <c r="FQ219" s="18"/>
      <c r="FR219" s="18"/>
      <c r="FS219" s="18"/>
      <c r="FT219" s="18"/>
      <c r="FU219" s="18"/>
      <c r="FV219" s="18"/>
      <c r="FW219" s="18"/>
      <c r="FX219" s="18"/>
      <c r="FY219" s="18"/>
      <c r="FZ219" s="18"/>
      <c r="GA219" s="18"/>
      <c r="GB219" s="18"/>
      <c r="GC219" s="18"/>
      <c r="GD219" s="18"/>
      <c r="GE219" s="18"/>
      <c r="GF219" s="18"/>
      <c r="GG219" s="18"/>
      <c r="GH219" s="18"/>
      <c r="GI219" s="18"/>
      <c r="GJ219" s="18"/>
      <c r="GK219" s="18"/>
      <c r="GL219" s="18"/>
      <c r="GM219" s="18"/>
      <c r="GN219" s="18"/>
      <c r="GO219" s="18"/>
      <c r="GP219" s="18"/>
      <c r="GQ219" s="18"/>
      <c r="GR219" s="18"/>
      <c r="GS219" s="18"/>
      <c r="GT219" s="18"/>
      <c r="GU219" s="18"/>
      <c r="GV219" s="18"/>
      <c r="GW219" s="18"/>
      <c r="GX219" s="18"/>
      <c r="GY219" s="18"/>
      <c r="GZ219" s="18"/>
      <c r="HA219" s="18"/>
      <c r="HB219" s="18"/>
      <c r="HC219" s="18"/>
      <c r="HD219" s="18"/>
      <c r="HE219" s="18"/>
      <c r="HF219" s="18"/>
      <c r="HG219" s="18"/>
      <c r="HH219" s="18"/>
      <c r="HI219" s="18"/>
      <c r="HJ219" s="18"/>
      <c r="HK219" s="18"/>
      <c r="HL219" s="18"/>
    </row>
    <row r="220" spans="1:220" ht="54" customHeight="1" x14ac:dyDescent="0.15">
      <c r="A220" s="67"/>
      <c r="B220" s="56" t="s">
        <v>405</v>
      </c>
      <c r="C220" s="1" t="s">
        <v>441</v>
      </c>
      <c r="D220" s="1" t="s">
        <v>454</v>
      </c>
      <c r="G220" s="56" t="s">
        <v>485</v>
      </c>
      <c r="H220" s="8"/>
    </row>
    <row r="221" spans="1:220" ht="55.5" customHeight="1" x14ac:dyDescent="0.15">
      <c r="A221" s="67"/>
      <c r="B221" s="56" t="s">
        <v>494</v>
      </c>
      <c r="C221" s="1" t="s">
        <v>442</v>
      </c>
      <c r="D221" s="1" t="s">
        <v>454</v>
      </c>
      <c r="G221" s="56" t="s">
        <v>485</v>
      </c>
      <c r="H221" s="8"/>
    </row>
    <row r="222" spans="1:220" x14ac:dyDescent="0.15">
      <c r="A222" s="35"/>
      <c r="B222" s="35"/>
      <c r="C222" s="35"/>
      <c r="D222" s="35"/>
      <c r="E222" s="35"/>
      <c r="F222" s="35"/>
      <c r="G222" s="86"/>
      <c r="H222" s="35"/>
      <c r="I222" s="35"/>
      <c r="J222" s="32"/>
    </row>
    <row r="223" spans="1:220" x14ac:dyDescent="0.15">
      <c r="A223" s="35"/>
      <c r="B223" s="35"/>
      <c r="C223" s="35"/>
      <c r="D223" s="35"/>
      <c r="E223" s="35"/>
      <c r="F223" s="35"/>
      <c r="G223" s="86"/>
      <c r="H223" s="35"/>
      <c r="I223" s="35"/>
      <c r="J223" s="32"/>
    </row>
    <row r="224" spans="1:220" x14ac:dyDescent="0.15">
      <c r="A224" s="35"/>
      <c r="B224" s="35"/>
      <c r="C224" s="35"/>
      <c r="D224" s="35"/>
      <c r="E224" s="35"/>
      <c r="F224" s="35"/>
      <c r="G224" s="86"/>
      <c r="H224" s="35"/>
      <c r="I224" s="35"/>
      <c r="J224" s="32"/>
    </row>
    <row r="225" spans="1:10" x14ac:dyDescent="0.15">
      <c r="A225" s="35"/>
      <c r="B225" s="35"/>
      <c r="C225" s="35"/>
      <c r="D225" s="35"/>
      <c r="E225" s="35"/>
      <c r="F225" s="35"/>
      <c r="G225" s="86"/>
      <c r="H225" s="35"/>
      <c r="I225" s="35"/>
      <c r="J225" s="32"/>
    </row>
    <row r="226" spans="1:10" x14ac:dyDescent="0.15">
      <c r="A226" s="35"/>
      <c r="B226" s="35"/>
      <c r="C226" s="35"/>
      <c r="D226" s="35"/>
      <c r="E226" s="35"/>
      <c r="F226" s="35"/>
      <c r="G226" s="86"/>
      <c r="H226" s="35"/>
      <c r="I226" s="35"/>
      <c r="J226" s="32"/>
    </row>
    <row r="227" spans="1:10" x14ac:dyDescent="0.15">
      <c r="A227" s="35"/>
      <c r="B227" s="35"/>
      <c r="C227" s="35"/>
      <c r="D227" s="35"/>
      <c r="E227" s="35"/>
      <c r="F227" s="35"/>
      <c r="G227" s="86"/>
      <c r="H227" s="35"/>
      <c r="I227" s="35"/>
      <c r="J227" s="32"/>
    </row>
    <row r="228" spans="1:10" x14ac:dyDescent="0.15">
      <c r="A228" s="35"/>
      <c r="B228" s="35"/>
      <c r="C228" s="35"/>
      <c r="D228" s="35"/>
      <c r="E228" s="35"/>
      <c r="F228" s="35"/>
      <c r="G228" s="86"/>
      <c r="H228" s="35"/>
      <c r="I228" s="35"/>
      <c r="J228" s="32"/>
    </row>
    <row r="229" spans="1:10" x14ac:dyDescent="0.15">
      <c r="A229" s="35"/>
      <c r="B229" s="35"/>
      <c r="C229" s="35"/>
      <c r="D229" s="35"/>
      <c r="E229" s="35"/>
      <c r="F229" s="35"/>
      <c r="G229" s="86"/>
      <c r="H229" s="35"/>
      <c r="I229" s="35"/>
      <c r="J229" s="32"/>
    </row>
    <row r="230" spans="1:10" x14ac:dyDescent="0.15">
      <c r="A230" s="35"/>
      <c r="B230" s="35"/>
      <c r="C230" s="35"/>
      <c r="D230" s="35"/>
      <c r="E230" s="35"/>
      <c r="F230" s="35"/>
      <c r="G230" s="86"/>
      <c r="H230" s="35"/>
      <c r="I230" s="35"/>
      <c r="J230" s="32"/>
    </row>
    <row r="231" spans="1:10" x14ac:dyDescent="0.15">
      <c r="A231" s="35"/>
      <c r="B231" s="35"/>
      <c r="C231" s="35"/>
      <c r="D231" s="35"/>
      <c r="E231" s="35"/>
      <c r="F231" s="35"/>
      <c r="G231" s="86"/>
      <c r="H231" s="35"/>
      <c r="I231" s="35"/>
      <c r="J231" s="32"/>
    </row>
    <row r="232" spans="1:10" x14ac:dyDescent="0.15">
      <c r="A232" s="35"/>
      <c r="B232" s="35"/>
      <c r="C232" s="35"/>
      <c r="D232" s="35"/>
      <c r="E232" s="35"/>
      <c r="F232" s="35"/>
      <c r="G232" s="86"/>
      <c r="H232" s="35"/>
      <c r="I232" s="35"/>
      <c r="J232" s="32"/>
    </row>
    <row r="233" spans="1:10" x14ac:dyDescent="0.15">
      <c r="A233" s="35"/>
      <c r="B233" s="35"/>
      <c r="C233" s="35"/>
      <c r="D233" s="35"/>
      <c r="E233" s="35"/>
      <c r="F233" s="35"/>
      <c r="G233" s="86"/>
      <c r="H233" s="35"/>
      <c r="I233" s="35"/>
      <c r="J233" s="32"/>
    </row>
    <row r="234" spans="1:10" x14ac:dyDescent="0.15">
      <c r="A234" s="35"/>
      <c r="B234" s="35"/>
      <c r="C234" s="35"/>
      <c r="D234" s="35"/>
      <c r="E234" s="35"/>
      <c r="F234" s="35"/>
      <c r="G234" s="86"/>
      <c r="H234" s="35"/>
      <c r="I234" s="35"/>
      <c r="J234" s="32"/>
    </row>
    <row r="235" spans="1:10" x14ac:dyDescent="0.15">
      <c r="A235" s="35"/>
      <c r="B235" s="35"/>
      <c r="C235" s="35"/>
      <c r="D235" s="35"/>
      <c r="E235" s="35"/>
      <c r="F235" s="35"/>
      <c r="G235" s="86"/>
      <c r="H235" s="35"/>
      <c r="I235" s="35"/>
      <c r="J235" s="32"/>
    </row>
    <row r="236" spans="1:10" x14ac:dyDescent="0.15">
      <c r="A236" s="35"/>
      <c r="B236" s="35"/>
      <c r="C236" s="35"/>
      <c r="D236" s="35"/>
      <c r="E236" s="35"/>
      <c r="F236" s="35"/>
      <c r="G236" s="86"/>
      <c r="H236" s="35"/>
      <c r="I236" s="35"/>
      <c r="J236" s="32"/>
    </row>
    <row r="237" spans="1:10" x14ac:dyDescent="0.15">
      <c r="A237" s="35"/>
      <c r="B237" s="35"/>
      <c r="C237" s="35"/>
      <c r="D237" s="35"/>
      <c r="E237" s="35"/>
      <c r="F237" s="35"/>
      <c r="G237" s="86"/>
      <c r="H237" s="35"/>
      <c r="I237" s="35"/>
      <c r="J237" s="32"/>
    </row>
    <row r="238" spans="1:10" x14ac:dyDescent="0.15">
      <c r="A238" s="35"/>
      <c r="B238" s="35"/>
      <c r="C238" s="35"/>
      <c r="D238" s="35"/>
      <c r="E238" s="35"/>
      <c r="F238" s="35"/>
      <c r="G238" s="86"/>
      <c r="H238" s="35"/>
      <c r="I238" s="35"/>
      <c r="J238" s="32"/>
    </row>
    <row r="239" spans="1:10" x14ac:dyDescent="0.15">
      <c r="A239" s="35"/>
      <c r="B239" s="35"/>
      <c r="C239" s="35"/>
      <c r="D239" s="35"/>
      <c r="E239" s="35"/>
      <c r="F239" s="35"/>
      <c r="G239" s="86"/>
      <c r="H239" s="35"/>
      <c r="I239" s="35"/>
      <c r="J239" s="32"/>
    </row>
    <row r="240" spans="1:10" x14ac:dyDescent="0.15">
      <c r="A240" s="35"/>
      <c r="B240" s="35"/>
      <c r="C240" s="35"/>
      <c r="D240" s="35"/>
      <c r="E240" s="35"/>
      <c r="F240" s="35"/>
      <c r="G240" s="86"/>
      <c r="H240" s="35"/>
      <c r="I240" s="35"/>
      <c r="J240" s="32"/>
    </row>
    <row r="241" spans="1:10" x14ac:dyDescent="0.15">
      <c r="A241" s="35"/>
      <c r="B241" s="35"/>
      <c r="C241" s="35"/>
      <c r="D241" s="35"/>
      <c r="E241" s="35"/>
      <c r="F241" s="35"/>
      <c r="G241" s="86"/>
      <c r="H241" s="35"/>
      <c r="I241" s="35"/>
      <c r="J241" s="32"/>
    </row>
    <row r="242" spans="1:10" x14ac:dyDescent="0.15">
      <c r="A242" s="35"/>
      <c r="B242" s="35"/>
      <c r="C242" s="35"/>
      <c r="D242" s="35"/>
      <c r="E242" s="35"/>
      <c r="F242" s="35"/>
      <c r="G242" s="86"/>
      <c r="H242" s="35"/>
      <c r="I242" s="35"/>
      <c r="J242" s="32"/>
    </row>
    <row r="243" spans="1:10" x14ac:dyDescent="0.15">
      <c r="A243" s="35"/>
      <c r="B243" s="35"/>
      <c r="C243" s="35"/>
      <c r="D243" s="35"/>
      <c r="E243" s="35"/>
      <c r="F243" s="35"/>
      <c r="G243" s="86"/>
      <c r="H243" s="35"/>
      <c r="I243" s="35"/>
      <c r="J243" s="32"/>
    </row>
    <row r="244" spans="1:10" x14ac:dyDescent="0.15">
      <c r="A244" s="35"/>
      <c r="B244" s="35"/>
      <c r="C244" s="35"/>
      <c r="D244" s="35"/>
      <c r="E244" s="35"/>
      <c r="F244" s="35"/>
      <c r="G244" s="86"/>
      <c r="H244" s="35"/>
      <c r="I244" s="35"/>
      <c r="J244" s="32"/>
    </row>
    <row r="245" spans="1:10" x14ac:dyDescent="0.15">
      <c r="A245" s="35"/>
      <c r="B245" s="35"/>
      <c r="C245" s="35"/>
      <c r="D245" s="35"/>
      <c r="E245" s="35"/>
      <c r="F245" s="35"/>
      <c r="G245" s="86"/>
      <c r="H245" s="35"/>
      <c r="I245" s="35"/>
      <c r="J245" s="32"/>
    </row>
    <row r="246" spans="1:10" x14ac:dyDescent="0.15">
      <c r="A246" s="35"/>
      <c r="B246" s="35"/>
      <c r="C246" s="35"/>
      <c r="D246" s="35"/>
      <c r="E246" s="35"/>
      <c r="F246" s="35"/>
      <c r="G246" s="86"/>
      <c r="H246" s="35"/>
      <c r="I246" s="35"/>
      <c r="J246" s="32"/>
    </row>
    <row r="247" spans="1:10" x14ac:dyDescent="0.15">
      <c r="A247" s="35"/>
      <c r="B247" s="35"/>
      <c r="C247" s="35"/>
      <c r="D247" s="35"/>
      <c r="E247" s="35"/>
      <c r="F247" s="35"/>
      <c r="G247" s="86"/>
      <c r="H247" s="35"/>
      <c r="I247" s="35"/>
      <c r="J247" s="32"/>
    </row>
    <row r="248" spans="1:10" x14ac:dyDescent="0.15">
      <c r="A248" s="35"/>
      <c r="B248" s="35"/>
      <c r="C248" s="35"/>
      <c r="D248" s="35"/>
      <c r="E248" s="35"/>
      <c r="F248" s="35"/>
      <c r="G248" s="86"/>
      <c r="H248" s="35"/>
      <c r="I248" s="35"/>
      <c r="J248" s="32"/>
    </row>
    <row r="249" spans="1:10" x14ac:dyDescent="0.15">
      <c r="A249" s="35"/>
      <c r="B249" s="35"/>
      <c r="C249" s="35"/>
      <c r="D249" s="35"/>
      <c r="E249" s="35"/>
      <c r="F249" s="35"/>
      <c r="G249" s="86"/>
      <c r="H249" s="35"/>
      <c r="I249" s="35"/>
      <c r="J249" s="32"/>
    </row>
    <row r="250" spans="1:10" x14ac:dyDescent="0.15">
      <c r="A250" s="35"/>
      <c r="B250" s="35"/>
      <c r="C250" s="35"/>
      <c r="D250" s="35"/>
      <c r="E250" s="35"/>
      <c r="F250" s="35"/>
      <c r="G250" s="86"/>
      <c r="H250" s="35"/>
      <c r="I250" s="35"/>
      <c r="J250" s="32"/>
    </row>
    <row r="251" spans="1:10" x14ac:dyDescent="0.15">
      <c r="A251" s="35"/>
      <c r="B251" s="35"/>
      <c r="C251" s="35"/>
      <c r="D251" s="35"/>
      <c r="E251" s="35"/>
      <c r="F251" s="35"/>
      <c r="G251" s="86"/>
      <c r="H251" s="35"/>
      <c r="I251" s="35"/>
      <c r="J251" s="32"/>
    </row>
    <row r="252" spans="1:10" x14ac:dyDescent="0.15">
      <c r="A252" s="35"/>
      <c r="B252" s="35"/>
      <c r="C252" s="35"/>
      <c r="D252" s="35"/>
      <c r="E252" s="35"/>
      <c r="F252" s="35"/>
      <c r="G252" s="86"/>
      <c r="H252" s="35"/>
      <c r="I252" s="35"/>
      <c r="J252" s="32"/>
    </row>
    <row r="253" spans="1:10" x14ac:dyDescent="0.15">
      <c r="A253" s="35"/>
      <c r="B253" s="35"/>
      <c r="C253" s="35"/>
      <c r="D253" s="35"/>
      <c r="E253" s="35"/>
      <c r="F253" s="35"/>
      <c r="G253" s="86"/>
      <c r="H253" s="35"/>
      <c r="I253" s="35"/>
      <c r="J253" s="32"/>
    </row>
    <row r="254" spans="1:10" x14ac:dyDescent="0.15">
      <c r="A254" s="35"/>
      <c r="B254" s="35"/>
      <c r="C254" s="35"/>
      <c r="D254" s="35"/>
      <c r="E254" s="35"/>
      <c r="F254" s="35"/>
      <c r="G254" s="86"/>
      <c r="H254" s="35"/>
      <c r="I254" s="35"/>
      <c r="J254" s="32"/>
    </row>
    <row r="255" spans="1:10" x14ac:dyDescent="0.15">
      <c r="A255" s="35"/>
      <c r="B255" s="35"/>
      <c r="C255" s="35"/>
      <c r="D255" s="35"/>
      <c r="E255" s="35"/>
      <c r="F255" s="35"/>
      <c r="G255" s="86"/>
      <c r="H255" s="35"/>
      <c r="I255" s="35"/>
      <c r="J255" s="32"/>
    </row>
    <row r="256" spans="1:10" x14ac:dyDescent="0.15">
      <c r="A256" s="35"/>
      <c r="B256" s="35"/>
      <c r="C256" s="35"/>
      <c r="D256" s="35"/>
      <c r="E256" s="35"/>
      <c r="F256" s="35"/>
      <c r="G256" s="86"/>
      <c r="H256" s="35"/>
      <c r="I256" s="35"/>
      <c r="J256" s="32"/>
    </row>
    <row r="257" spans="1:10" x14ac:dyDescent="0.15">
      <c r="A257" s="35"/>
      <c r="B257" s="35"/>
      <c r="C257" s="35"/>
      <c r="D257" s="35"/>
      <c r="E257" s="35"/>
      <c r="F257" s="35"/>
      <c r="G257" s="86"/>
      <c r="H257" s="35"/>
      <c r="I257" s="35"/>
      <c r="J257" s="32"/>
    </row>
    <row r="258" spans="1:10" x14ac:dyDescent="0.15">
      <c r="A258" s="35"/>
      <c r="B258" s="35"/>
      <c r="C258" s="35"/>
      <c r="D258" s="35"/>
      <c r="E258" s="35"/>
      <c r="F258" s="35"/>
      <c r="G258" s="86"/>
      <c r="H258" s="35"/>
      <c r="I258" s="35"/>
      <c r="J258" s="32"/>
    </row>
    <row r="259" spans="1:10" x14ac:dyDescent="0.15">
      <c r="A259" s="35"/>
      <c r="B259" s="35"/>
      <c r="C259" s="35"/>
      <c r="D259" s="35"/>
      <c r="E259" s="35"/>
      <c r="F259" s="35"/>
      <c r="G259" s="86"/>
      <c r="H259" s="35"/>
      <c r="I259" s="35"/>
      <c r="J259" s="32"/>
    </row>
    <row r="260" spans="1:10" x14ac:dyDescent="0.15">
      <c r="A260" s="35"/>
      <c r="B260" s="35"/>
      <c r="C260" s="35"/>
      <c r="D260" s="35"/>
      <c r="E260" s="35"/>
      <c r="F260" s="35"/>
      <c r="G260" s="86"/>
      <c r="H260" s="35"/>
      <c r="I260" s="35"/>
      <c r="J260" s="32"/>
    </row>
    <row r="261" spans="1:10" x14ac:dyDescent="0.15">
      <c r="A261" s="35"/>
      <c r="B261" s="35"/>
      <c r="C261" s="35"/>
      <c r="D261" s="35"/>
      <c r="E261" s="35"/>
      <c r="F261" s="35"/>
      <c r="G261" s="86"/>
      <c r="H261" s="35"/>
      <c r="I261" s="35"/>
      <c r="J261" s="32"/>
    </row>
    <row r="262" spans="1:10" x14ac:dyDescent="0.15">
      <c r="A262" s="35"/>
      <c r="B262" s="35"/>
      <c r="C262" s="35"/>
      <c r="D262" s="35"/>
      <c r="E262" s="35"/>
      <c r="F262" s="35"/>
      <c r="G262" s="86"/>
      <c r="H262" s="35"/>
      <c r="I262" s="35"/>
      <c r="J262" s="32"/>
    </row>
    <row r="263" spans="1:10" x14ac:dyDescent="0.15">
      <c r="A263" s="35"/>
      <c r="B263" s="35"/>
      <c r="C263" s="35"/>
      <c r="D263" s="35"/>
      <c r="E263" s="35"/>
      <c r="F263" s="35"/>
      <c r="G263" s="86"/>
      <c r="H263" s="35"/>
      <c r="I263" s="35"/>
      <c r="J263" s="32"/>
    </row>
    <row r="264" spans="1:10" x14ac:dyDescent="0.15">
      <c r="A264" s="35"/>
      <c r="B264" s="35"/>
      <c r="C264" s="35"/>
      <c r="D264" s="35"/>
      <c r="E264" s="35"/>
      <c r="F264" s="35"/>
      <c r="G264" s="86"/>
      <c r="H264" s="35"/>
      <c r="I264" s="35"/>
      <c r="J264" s="32"/>
    </row>
    <row r="265" spans="1:10" x14ac:dyDescent="0.15">
      <c r="A265" s="35"/>
      <c r="B265" s="35"/>
      <c r="C265" s="35"/>
      <c r="D265" s="35"/>
      <c r="E265" s="35"/>
      <c r="F265" s="35"/>
      <c r="G265" s="86"/>
      <c r="H265" s="35"/>
      <c r="I265" s="35"/>
      <c r="J265" s="32"/>
    </row>
    <row r="266" spans="1:10" x14ac:dyDescent="0.15">
      <c r="A266" s="35"/>
      <c r="B266" s="35"/>
      <c r="C266" s="35"/>
      <c r="D266" s="35"/>
      <c r="E266" s="35"/>
      <c r="F266" s="35"/>
      <c r="G266" s="86"/>
      <c r="H266" s="35"/>
      <c r="I266" s="35"/>
      <c r="J266" s="32"/>
    </row>
    <row r="267" spans="1:10" x14ac:dyDescent="0.15">
      <c r="A267" s="35"/>
      <c r="B267" s="35"/>
      <c r="C267" s="35"/>
      <c r="D267" s="35"/>
      <c r="E267" s="35"/>
      <c r="F267" s="35"/>
      <c r="G267" s="86"/>
      <c r="H267" s="35"/>
      <c r="I267" s="35"/>
      <c r="J267" s="32"/>
    </row>
    <row r="268" spans="1:10" x14ac:dyDescent="0.15">
      <c r="A268" s="35"/>
      <c r="B268" s="35"/>
      <c r="C268" s="35"/>
      <c r="D268" s="35"/>
      <c r="E268" s="35"/>
      <c r="F268" s="35"/>
      <c r="G268" s="86"/>
      <c r="H268" s="35"/>
      <c r="I268" s="35"/>
      <c r="J268" s="32"/>
    </row>
    <row r="269" spans="1:10" x14ac:dyDescent="0.15">
      <c r="A269" s="35"/>
      <c r="B269" s="35"/>
      <c r="C269" s="35"/>
      <c r="D269" s="35"/>
      <c r="E269" s="35"/>
      <c r="F269" s="35"/>
      <c r="G269" s="86"/>
      <c r="H269" s="35"/>
      <c r="I269" s="35"/>
      <c r="J269" s="32"/>
    </row>
    <row r="270" spans="1:10" x14ac:dyDescent="0.15">
      <c r="A270" s="35"/>
      <c r="B270" s="35"/>
      <c r="C270" s="35"/>
      <c r="D270" s="35"/>
      <c r="E270" s="35"/>
      <c r="F270" s="35"/>
      <c r="G270" s="86"/>
      <c r="H270" s="35"/>
      <c r="I270" s="35"/>
      <c r="J270" s="32"/>
    </row>
    <row r="271" spans="1:10" x14ac:dyDescent="0.15">
      <c r="A271" s="35"/>
      <c r="B271" s="35"/>
      <c r="C271" s="35"/>
      <c r="D271" s="35"/>
      <c r="E271" s="35"/>
      <c r="F271" s="35"/>
      <c r="G271" s="86"/>
      <c r="H271" s="35"/>
      <c r="I271" s="35"/>
      <c r="J271" s="32"/>
    </row>
    <row r="272" spans="1:10" x14ac:dyDescent="0.15">
      <c r="A272" s="35"/>
      <c r="B272" s="35"/>
      <c r="C272" s="35"/>
      <c r="D272" s="35"/>
      <c r="E272" s="35"/>
      <c r="F272" s="35"/>
      <c r="G272" s="86"/>
      <c r="H272" s="35"/>
      <c r="I272" s="35"/>
      <c r="J272" s="32"/>
    </row>
    <row r="273" spans="1:10" x14ac:dyDescent="0.15">
      <c r="A273" s="35"/>
      <c r="B273" s="35"/>
      <c r="C273" s="35"/>
      <c r="D273" s="35"/>
      <c r="E273" s="35"/>
      <c r="F273" s="35"/>
      <c r="G273" s="86"/>
      <c r="H273" s="35"/>
      <c r="I273" s="35"/>
      <c r="J273" s="32"/>
    </row>
    <row r="274" spans="1:10" x14ac:dyDescent="0.15">
      <c r="A274" s="35"/>
      <c r="B274" s="35"/>
      <c r="C274" s="35"/>
      <c r="D274" s="35"/>
      <c r="E274" s="35"/>
      <c r="F274" s="35"/>
      <c r="G274" s="86"/>
      <c r="H274" s="35"/>
      <c r="I274" s="35"/>
      <c r="J274" s="32"/>
    </row>
    <row r="275" spans="1:10" x14ac:dyDescent="0.15">
      <c r="A275" s="35"/>
      <c r="B275" s="35"/>
      <c r="C275" s="35"/>
      <c r="D275" s="35"/>
      <c r="E275" s="35"/>
      <c r="F275" s="35"/>
      <c r="G275" s="86"/>
      <c r="H275" s="35"/>
      <c r="I275" s="35"/>
      <c r="J275" s="32"/>
    </row>
    <row r="276" spans="1:10" x14ac:dyDescent="0.15">
      <c r="A276" s="35"/>
      <c r="B276" s="35"/>
      <c r="C276" s="35"/>
      <c r="D276" s="35"/>
      <c r="E276" s="35"/>
      <c r="F276" s="35"/>
      <c r="G276" s="86"/>
      <c r="H276" s="35"/>
      <c r="I276" s="35"/>
      <c r="J276" s="32"/>
    </row>
    <row r="277" spans="1:10" x14ac:dyDescent="0.15">
      <c r="A277" s="35"/>
      <c r="B277" s="35"/>
      <c r="C277" s="35"/>
      <c r="D277" s="35"/>
      <c r="E277" s="35"/>
      <c r="F277" s="35"/>
      <c r="G277" s="86"/>
      <c r="H277" s="35"/>
      <c r="I277" s="35"/>
      <c r="J277" s="32"/>
    </row>
    <row r="278" spans="1:10" x14ac:dyDescent="0.15">
      <c r="A278" s="35"/>
      <c r="B278" s="35"/>
      <c r="C278" s="35"/>
      <c r="D278" s="35"/>
      <c r="E278" s="35"/>
      <c r="F278" s="35"/>
      <c r="G278" s="86"/>
      <c r="H278" s="35"/>
      <c r="I278" s="35"/>
      <c r="J278" s="32"/>
    </row>
    <row r="279" spans="1:10" x14ac:dyDescent="0.15">
      <c r="A279" s="35"/>
      <c r="B279" s="35"/>
      <c r="C279" s="35"/>
      <c r="D279" s="35"/>
      <c r="E279" s="35"/>
      <c r="F279" s="35"/>
      <c r="G279" s="86"/>
      <c r="H279" s="35"/>
      <c r="I279" s="35"/>
      <c r="J279" s="32"/>
    </row>
    <row r="280" spans="1:10" x14ac:dyDescent="0.15">
      <c r="A280" s="35"/>
      <c r="B280" s="35"/>
      <c r="C280" s="35"/>
      <c r="D280" s="35"/>
      <c r="E280" s="35"/>
      <c r="F280" s="35"/>
      <c r="G280" s="86"/>
      <c r="H280" s="35"/>
      <c r="I280" s="35"/>
      <c r="J280" s="32"/>
    </row>
    <row r="281" spans="1:10" x14ac:dyDescent="0.15">
      <c r="A281" s="35"/>
      <c r="B281" s="35"/>
      <c r="C281" s="35"/>
      <c r="D281" s="35"/>
      <c r="E281" s="35"/>
      <c r="F281" s="35"/>
      <c r="G281" s="86"/>
      <c r="H281" s="35"/>
      <c r="I281" s="35"/>
      <c r="J281" s="32"/>
    </row>
    <row r="282" spans="1:10" x14ac:dyDescent="0.15">
      <c r="A282" s="35"/>
      <c r="B282" s="35"/>
      <c r="C282" s="35"/>
      <c r="D282" s="35"/>
      <c r="E282" s="35"/>
      <c r="F282" s="35"/>
      <c r="G282" s="86"/>
      <c r="H282" s="35"/>
      <c r="I282" s="35"/>
      <c r="J282" s="32"/>
    </row>
    <row r="283" spans="1:10" x14ac:dyDescent="0.15">
      <c r="A283" s="35"/>
      <c r="B283" s="35"/>
      <c r="C283" s="35"/>
      <c r="D283" s="35"/>
      <c r="E283" s="35"/>
      <c r="F283" s="35"/>
      <c r="G283" s="86"/>
      <c r="H283" s="35"/>
      <c r="I283" s="35"/>
      <c r="J283" s="32"/>
    </row>
    <row r="284" spans="1:10" x14ac:dyDescent="0.15">
      <c r="A284" s="35"/>
      <c r="B284" s="35"/>
      <c r="C284" s="35"/>
      <c r="D284" s="35"/>
      <c r="E284" s="35"/>
      <c r="F284" s="35"/>
      <c r="G284" s="86"/>
      <c r="H284" s="35"/>
      <c r="I284" s="35"/>
      <c r="J284" s="32"/>
    </row>
    <row r="285" spans="1:10" x14ac:dyDescent="0.15">
      <c r="A285" s="35"/>
      <c r="B285" s="35"/>
      <c r="C285" s="35"/>
      <c r="D285" s="35"/>
      <c r="E285" s="35"/>
      <c r="F285" s="35"/>
      <c r="G285" s="86"/>
      <c r="H285" s="35"/>
      <c r="I285" s="35"/>
      <c r="J285" s="32"/>
    </row>
    <row r="286" spans="1:10" x14ac:dyDescent="0.15">
      <c r="A286" s="35"/>
      <c r="B286" s="35"/>
      <c r="C286" s="35"/>
      <c r="D286" s="35"/>
      <c r="E286" s="35"/>
      <c r="F286" s="35"/>
      <c r="G286" s="86"/>
      <c r="H286" s="35"/>
      <c r="I286" s="35"/>
      <c r="J286" s="32"/>
    </row>
    <row r="287" spans="1:10" x14ac:dyDescent="0.15">
      <c r="A287" s="35"/>
      <c r="B287" s="35"/>
      <c r="C287" s="35"/>
      <c r="D287" s="35"/>
      <c r="E287" s="35"/>
      <c r="F287" s="35"/>
      <c r="G287" s="86"/>
      <c r="H287" s="35"/>
      <c r="I287" s="35"/>
      <c r="J287" s="32"/>
    </row>
    <row r="288" spans="1:10" x14ac:dyDescent="0.15">
      <c r="A288" s="35"/>
      <c r="B288" s="35"/>
      <c r="C288" s="35"/>
      <c r="D288" s="35"/>
      <c r="E288" s="35"/>
      <c r="F288" s="35"/>
      <c r="G288" s="86"/>
      <c r="H288" s="35"/>
      <c r="I288" s="35"/>
      <c r="J288" s="32"/>
    </row>
    <row r="289" spans="1:10" x14ac:dyDescent="0.15">
      <c r="A289" s="35"/>
      <c r="B289" s="35"/>
      <c r="C289" s="35"/>
      <c r="D289" s="35"/>
      <c r="E289" s="35"/>
      <c r="F289" s="35"/>
      <c r="G289" s="86"/>
      <c r="H289" s="35"/>
      <c r="I289" s="35"/>
      <c r="J289" s="32"/>
    </row>
    <row r="290" spans="1:10" x14ac:dyDescent="0.15">
      <c r="A290" s="35"/>
      <c r="B290" s="35"/>
      <c r="C290" s="35"/>
      <c r="D290" s="35"/>
      <c r="E290" s="35"/>
      <c r="F290" s="35"/>
      <c r="G290" s="86"/>
      <c r="H290" s="35"/>
      <c r="I290" s="35"/>
      <c r="J290" s="32"/>
    </row>
    <row r="291" spans="1:10" x14ac:dyDescent="0.15">
      <c r="A291" s="35"/>
      <c r="B291" s="35"/>
      <c r="C291" s="35"/>
      <c r="D291" s="35"/>
      <c r="E291" s="35"/>
      <c r="F291" s="35"/>
      <c r="G291" s="86"/>
      <c r="H291" s="35"/>
      <c r="I291" s="35"/>
      <c r="J291" s="32"/>
    </row>
    <row r="292" spans="1:10" x14ac:dyDescent="0.15">
      <c r="A292" s="35"/>
      <c r="B292" s="35"/>
      <c r="C292" s="35"/>
      <c r="D292" s="35"/>
      <c r="E292" s="35"/>
      <c r="F292" s="35"/>
      <c r="G292" s="86"/>
      <c r="H292" s="35"/>
      <c r="I292" s="35"/>
      <c r="J292" s="32"/>
    </row>
    <row r="293" spans="1:10" x14ac:dyDescent="0.15">
      <c r="A293" s="35"/>
      <c r="B293" s="35"/>
      <c r="C293" s="35"/>
      <c r="D293" s="35"/>
      <c r="E293" s="35"/>
      <c r="F293" s="35"/>
      <c r="G293" s="86"/>
      <c r="H293" s="35"/>
      <c r="I293" s="35"/>
      <c r="J293" s="32"/>
    </row>
    <row r="294" spans="1:10" x14ac:dyDescent="0.15">
      <c r="A294" s="35"/>
      <c r="B294" s="35"/>
      <c r="C294" s="35"/>
      <c r="D294" s="35"/>
      <c r="E294" s="35"/>
      <c r="F294" s="35"/>
      <c r="G294" s="86"/>
      <c r="H294" s="35"/>
      <c r="I294" s="35"/>
      <c r="J294" s="32"/>
    </row>
    <row r="295" spans="1:10" x14ac:dyDescent="0.15">
      <c r="A295" s="35"/>
      <c r="B295" s="35"/>
      <c r="C295" s="35"/>
      <c r="D295" s="35"/>
      <c r="E295" s="35"/>
      <c r="F295" s="35"/>
      <c r="G295" s="86"/>
      <c r="H295" s="35"/>
      <c r="I295" s="35"/>
      <c r="J295" s="32"/>
    </row>
    <row r="296" spans="1:10" x14ac:dyDescent="0.15">
      <c r="A296" s="35"/>
      <c r="B296" s="35"/>
      <c r="C296" s="35"/>
      <c r="D296" s="35"/>
      <c r="E296" s="35"/>
      <c r="F296" s="35"/>
      <c r="G296" s="86"/>
      <c r="H296" s="35"/>
      <c r="I296" s="35"/>
      <c r="J296" s="32"/>
    </row>
    <row r="297" spans="1:10" x14ac:dyDescent="0.15">
      <c r="A297" s="35"/>
      <c r="B297" s="35"/>
      <c r="C297" s="35"/>
      <c r="D297" s="35"/>
      <c r="E297" s="35"/>
      <c r="F297" s="35"/>
      <c r="G297" s="86"/>
      <c r="H297" s="35"/>
      <c r="I297" s="35"/>
      <c r="J297" s="32"/>
    </row>
    <row r="298" spans="1:10" x14ac:dyDescent="0.15">
      <c r="A298" s="35"/>
      <c r="B298" s="35"/>
      <c r="C298" s="35"/>
      <c r="D298" s="35"/>
      <c r="E298" s="35"/>
      <c r="F298" s="35"/>
      <c r="G298" s="86"/>
      <c r="H298" s="35"/>
      <c r="I298" s="35"/>
      <c r="J298" s="32"/>
    </row>
    <row r="299" spans="1:10" x14ac:dyDescent="0.15">
      <c r="A299" s="35"/>
      <c r="B299" s="35"/>
      <c r="C299" s="35"/>
      <c r="D299" s="35"/>
      <c r="E299" s="35"/>
      <c r="F299" s="35"/>
      <c r="G299" s="86"/>
      <c r="H299" s="35"/>
      <c r="I299" s="35"/>
      <c r="J299" s="32"/>
    </row>
    <row r="300" spans="1:10" x14ac:dyDescent="0.15">
      <c r="A300" s="35"/>
      <c r="B300" s="35"/>
      <c r="C300" s="35"/>
      <c r="D300" s="35"/>
      <c r="E300" s="35"/>
      <c r="F300" s="35"/>
      <c r="G300" s="86"/>
      <c r="H300" s="35"/>
      <c r="I300" s="35"/>
      <c r="J300" s="32"/>
    </row>
    <row r="301" spans="1:10" x14ac:dyDescent="0.15">
      <c r="A301" s="35"/>
      <c r="B301" s="35"/>
      <c r="C301" s="35"/>
      <c r="D301" s="35"/>
      <c r="E301" s="35"/>
      <c r="F301" s="35"/>
      <c r="G301" s="86"/>
      <c r="H301" s="35"/>
      <c r="I301" s="35"/>
      <c r="J301" s="32"/>
    </row>
    <row r="302" spans="1:10" x14ac:dyDescent="0.15">
      <c r="A302" s="35"/>
      <c r="B302" s="35"/>
      <c r="C302" s="35"/>
      <c r="D302" s="35"/>
      <c r="E302" s="35"/>
      <c r="F302" s="35"/>
      <c r="G302" s="86"/>
      <c r="H302" s="35"/>
      <c r="I302" s="35"/>
      <c r="J302" s="32"/>
    </row>
    <row r="303" spans="1:10" x14ac:dyDescent="0.15">
      <c r="A303" s="35"/>
      <c r="B303" s="35"/>
      <c r="C303" s="35"/>
      <c r="D303" s="35"/>
      <c r="E303" s="35"/>
      <c r="F303" s="35"/>
      <c r="G303" s="86"/>
      <c r="H303" s="35"/>
      <c r="I303" s="35"/>
      <c r="J303" s="32"/>
    </row>
    <row r="304" spans="1:10" x14ac:dyDescent="0.15">
      <c r="A304" s="35"/>
      <c r="B304" s="35"/>
      <c r="C304" s="35"/>
      <c r="D304" s="35"/>
      <c r="E304" s="35"/>
      <c r="F304" s="35"/>
      <c r="G304" s="86"/>
      <c r="H304" s="35"/>
      <c r="I304" s="35"/>
      <c r="J304" s="32"/>
    </row>
    <row r="305" spans="1:10" x14ac:dyDescent="0.15">
      <c r="A305" s="35"/>
      <c r="B305" s="35"/>
      <c r="C305" s="35"/>
      <c r="D305" s="35"/>
      <c r="E305" s="35"/>
      <c r="F305" s="35"/>
      <c r="G305" s="86"/>
      <c r="H305" s="35"/>
      <c r="I305" s="35"/>
      <c r="J305" s="32"/>
    </row>
    <row r="306" spans="1:10" x14ac:dyDescent="0.15">
      <c r="A306" s="35"/>
      <c r="B306" s="35"/>
      <c r="C306" s="35"/>
      <c r="D306" s="35"/>
      <c r="E306" s="35"/>
      <c r="F306" s="35"/>
      <c r="G306" s="86"/>
      <c r="H306" s="35"/>
      <c r="I306" s="35"/>
      <c r="J306" s="32"/>
    </row>
    <row r="307" spans="1:10" x14ac:dyDescent="0.15">
      <c r="A307" s="35"/>
      <c r="B307" s="35"/>
      <c r="C307" s="35"/>
      <c r="D307" s="35"/>
      <c r="E307" s="35"/>
      <c r="F307" s="35"/>
      <c r="G307" s="86"/>
      <c r="H307" s="35"/>
      <c r="I307" s="35"/>
      <c r="J307" s="32"/>
    </row>
    <row r="308" spans="1:10" x14ac:dyDescent="0.15">
      <c r="A308" s="35"/>
      <c r="B308" s="35"/>
      <c r="C308" s="35"/>
      <c r="D308" s="35"/>
      <c r="E308" s="35"/>
      <c r="F308" s="35"/>
      <c r="G308" s="86"/>
      <c r="H308" s="35"/>
      <c r="I308" s="35"/>
      <c r="J308" s="32"/>
    </row>
    <row r="309" spans="1:10" x14ac:dyDescent="0.15">
      <c r="A309" s="35"/>
      <c r="B309" s="35"/>
      <c r="C309" s="35"/>
      <c r="D309" s="35"/>
      <c r="E309" s="35"/>
      <c r="F309" s="35"/>
      <c r="G309" s="86"/>
      <c r="H309" s="35"/>
      <c r="I309" s="35"/>
      <c r="J309" s="32"/>
    </row>
    <row r="310" spans="1:10" x14ac:dyDescent="0.15">
      <c r="A310" s="35"/>
      <c r="B310" s="35"/>
      <c r="C310" s="35"/>
      <c r="D310" s="35"/>
      <c r="E310" s="35"/>
      <c r="F310" s="35"/>
      <c r="G310" s="86"/>
      <c r="H310" s="35"/>
      <c r="I310" s="35"/>
      <c r="J310" s="32"/>
    </row>
    <row r="311" spans="1:10" x14ac:dyDescent="0.15">
      <c r="A311" s="35"/>
      <c r="B311" s="35"/>
      <c r="C311" s="35"/>
      <c r="D311" s="35"/>
      <c r="E311" s="35"/>
      <c r="F311" s="35"/>
      <c r="G311" s="86"/>
      <c r="H311" s="35"/>
      <c r="I311" s="35"/>
      <c r="J311" s="32"/>
    </row>
    <row r="312" spans="1:10" x14ac:dyDescent="0.15">
      <c r="A312" s="35"/>
      <c r="B312" s="35"/>
      <c r="C312" s="35"/>
      <c r="D312" s="35"/>
      <c r="E312" s="35"/>
      <c r="F312" s="35"/>
      <c r="G312" s="86"/>
      <c r="H312" s="35"/>
      <c r="I312" s="35"/>
      <c r="J312" s="32"/>
    </row>
    <row r="313" spans="1:10" x14ac:dyDescent="0.15">
      <c r="A313" s="35"/>
      <c r="B313" s="35"/>
      <c r="C313" s="35"/>
      <c r="D313" s="35"/>
      <c r="E313" s="35"/>
      <c r="F313" s="35"/>
      <c r="G313" s="86"/>
      <c r="H313" s="35"/>
      <c r="I313" s="35"/>
      <c r="J313" s="32"/>
    </row>
    <row r="314" spans="1:10" x14ac:dyDescent="0.15">
      <c r="A314" s="35"/>
      <c r="B314" s="35"/>
      <c r="C314" s="35"/>
      <c r="D314" s="35"/>
      <c r="E314" s="35"/>
      <c r="F314" s="35"/>
      <c r="G314" s="86"/>
      <c r="H314" s="35"/>
      <c r="I314" s="35"/>
      <c r="J314" s="32"/>
    </row>
    <row r="315" spans="1:10" x14ac:dyDescent="0.15">
      <c r="A315" s="35"/>
      <c r="B315" s="35"/>
      <c r="C315" s="35"/>
      <c r="D315" s="35"/>
      <c r="E315" s="35"/>
      <c r="F315" s="35"/>
      <c r="G315" s="86"/>
      <c r="H315" s="35"/>
      <c r="I315" s="35"/>
      <c r="J315" s="32"/>
    </row>
    <row r="316" spans="1:10" x14ac:dyDescent="0.15">
      <c r="A316" s="35"/>
      <c r="B316" s="35"/>
      <c r="C316" s="35"/>
      <c r="D316" s="35"/>
      <c r="E316" s="35"/>
      <c r="F316" s="35"/>
      <c r="G316" s="86"/>
      <c r="H316" s="35"/>
      <c r="I316" s="35"/>
      <c r="J316" s="32"/>
    </row>
    <row r="317" spans="1:10" x14ac:dyDescent="0.15">
      <c r="A317" s="35"/>
      <c r="B317" s="35"/>
      <c r="C317" s="35"/>
      <c r="D317" s="35"/>
      <c r="E317" s="35"/>
      <c r="F317" s="35"/>
      <c r="G317" s="86"/>
      <c r="H317" s="35"/>
      <c r="I317" s="35"/>
      <c r="J317" s="32"/>
    </row>
    <row r="318" spans="1:10" x14ac:dyDescent="0.15">
      <c r="A318" s="35"/>
      <c r="B318" s="35"/>
      <c r="C318" s="35"/>
      <c r="D318" s="35"/>
      <c r="E318" s="35"/>
      <c r="F318" s="35"/>
      <c r="G318" s="86"/>
      <c r="H318" s="35"/>
      <c r="I318" s="35"/>
      <c r="J318" s="32"/>
    </row>
    <row r="319" spans="1:10" x14ac:dyDescent="0.15">
      <c r="A319" s="35"/>
      <c r="B319" s="35"/>
      <c r="C319" s="35"/>
      <c r="D319" s="35"/>
      <c r="E319" s="35"/>
      <c r="F319" s="35"/>
      <c r="G319" s="86"/>
      <c r="H319" s="35"/>
      <c r="I319" s="35"/>
      <c r="J319" s="32"/>
    </row>
    <row r="320" spans="1:10" x14ac:dyDescent="0.15">
      <c r="A320" s="35"/>
      <c r="B320" s="35"/>
      <c r="C320" s="35"/>
      <c r="D320" s="35"/>
      <c r="E320" s="35"/>
      <c r="F320" s="35"/>
      <c r="G320" s="86"/>
      <c r="H320" s="35"/>
      <c r="I320" s="35"/>
      <c r="J320" s="32"/>
    </row>
    <row r="321" spans="1:10" x14ac:dyDescent="0.15">
      <c r="A321" s="35"/>
      <c r="B321" s="35"/>
      <c r="C321" s="35"/>
      <c r="D321" s="35"/>
      <c r="E321" s="35"/>
      <c r="F321" s="35"/>
      <c r="G321" s="86"/>
      <c r="H321" s="35"/>
      <c r="I321" s="35"/>
      <c r="J321" s="32"/>
    </row>
    <row r="322" spans="1:10" x14ac:dyDescent="0.15">
      <c r="A322" s="35"/>
      <c r="B322" s="35"/>
      <c r="C322" s="35"/>
      <c r="D322" s="35"/>
      <c r="E322" s="35"/>
      <c r="F322" s="35"/>
      <c r="G322" s="86"/>
      <c r="H322" s="35"/>
      <c r="I322" s="35"/>
      <c r="J322" s="32"/>
    </row>
    <row r="323" spans="1:10" x14ac:dyDescent="0.15">
      <c r="A323" s="35"/>
      <c r="B323" s="35"/>
      <c r="C323" s="35"/>
      <c r="D323" s="35"/>
      <c r="E323" s="35"/>
      <c r="F323" s="35"/>
      <c r="G323" s="86"/>
      <c r="H323" s="35"/>
      <c r="I323" s="35"/>
      <c r="J323" s="32"/>
    </row>
    <row r="324" spans="1:10" x14ac:dyDescent="0.15">
      <c r="A324" s="35"/>
      <c r="B324" s="35"/>
      <c r="C324" s="35"/>
      <c r="D324" s="35"/>
      <c r="E324" s="35"/>
      <c r="F324" s="35"/>
      <c r="G324" s="86"/>
      <c r="H324" s="35"/>
      <c r="I324" s="35"/>
      <c r="J324" s="32"/>
    </row>
    <row r="325" spans="1:10" x14ac:dyDescent="0.15">
      <c r="A325" s="35"/>
      <c r="B325" s="35"/>
      <c r="C325" s="35"/>
      <c r="D325" s="35"/>
      <c r="E325" s="35"/>
      <c r="F325" s="35"/>
      <c r="G325" s="86"/>
      <c r="H325" s="35"/>
      <c r="I325" s="35"/>
      <c r="J325" s="32"/>
    </row>
    <row r="326" spans="1:10" x14ac:dyDescent="0.15">
      <c r="A326" s="35"/>
      <c r="B326" s="35"/>
      <c r="C326" s="35"/>
      <c r="D326" s="35"/>
      <c r="E326" s="35"/>
      <c r="F326" s="35"/>
      <c r="G326" s="86"/>
      <c r="H326" s="35"/>
      <c r="I326" s="35"/>
      <c r="J326" s="32"/>
    </row>
    <row r="327" spans="1:10" x14ac:dyDescent="0.15">
      <c r="A327" s="35"/>
      <c r="B327" s="35"/>
      <c r="C327" s="35"/>
      <c r="D327" s="35"/>
      <c r="E327" s="35"/>
      <c r="F327" s="35"/>
      <c r="G327" s="86"/>
      <c r="H327" s="35"/>
      <c r="I327" s="35"/>
      <c r="J327" s="32"/>
    </row>
    <row r="328" spans="1:10" x14ac:dyDescent="0.15">
      <c r="A328" s="35"/>
      <c r="B328" s="35"/>
      <c r="C328" s="35"/>
      <c r="D328" s="35"/>
      <c r="E328" s="35"/>
      <c r="F328" s="35"/>
      <c r="G328" s="86"/>
      <c r="H328" s="35"/>
      <c r="I328" s="35"/>
      <c r="J328" s="32"/>
    </row>
    <row r="329" spans="1:10" x14ac:dyDescent="0.15">
      <c r="A329" s="35"/>
      <c r="B329" s="35"/>
      <c r="C329" s="35"/>
      <c r="D329" s="35"/>
      <c r="E329" s="35"/>
      <c r="F329" s="35"/>
      <c r="G329" s="86"/>
      <c r="H329" s="35"/>
      <c r="I329" s="35"/>
      <c r="J329" s="32"/>
    </row>
    <row r="330" spans="1:10" x14ac:dyDescent="0.15">
      <c r="A330" s="35"/>
      <c r="B330" s="35"/>
      <c r="C330" s="35"/>
      <c r="D330" s="35"/>
      <c r="E330" s="35"/>
      <c r="F330" s="35"/>
      <c r="G330" s="86"/>
      <c r="H330" s="35"/>
      <c r="I330" s="35"/>
      <c r="J330" s="32"/>
    </row>
    <row r="331" spans="1:10" x14ac:dyDescent="0.15">
      <c r="A331" s="35"/>
      <c r="B331" s="35"/>
      <c r="C331" s="35"/>
      <c r="D331" s="35"/>
      <c r="E331" s="35"/>
      <c r="F331" s="35"/>
      <c r="G331" s="86"/>
      <c r="H331" s="35"/>
      <c r="I331" s="35"/>
      <c r="J331" s="32"/>
    </row>
    <row r="332" spans="1:10" x14ac:dyDescent="0.15">
      <c r="A332" s="35"/>
      <c r="B332" s="35"/>
      <c r="C332" s="35"/>
      <c r="D332" s="35"/>
      <c r="E332" s="35"/>
      <c r="F332" s="35"/>
      <c r="G332" s="86"/>
      <c r="H332" s="35"/>
      <c r="I332" s="35"/>
      <c r="J332" s="32"/>
    </row>
    <row r="333" spans="1:10" x14ac:dyDescent="0.15">
      <c r="A333" s="35"/>
      <c r="B333" s="35"/>
      <c r="C333" s="35"/>
      <c r="D333" s="35"/>
      <c r="E333" s="35"/>
      <c r="F333" s="35"/>
      <c r="G333" s="86"/>
      <c r="H333" s="35"/>
      <c r="I333" s="35"/>
      <c r="J333" s="32"/>
    </row>
    <row r="334" spans="1:10" x14ac:dyDescent="0.15">
      <c r="A334" s="35"/>
      <c r="B334" s="35"/>
      <c r="C334" s="35"/>
      <c r="D334" s="35"/>
      <c r="E334" s="35"/>
      <c r="F334" s="35"/>
      <c r="G334" s="86"/>
      <c r="H334" s="35"/>
      <c r="I334" s="35"/>
      <c r="J334" s="32"/>
    </row>
    <row r="335" spans="1:10" x14ac:dyDescent="0.15">
      <c r="A335" s="35"/>
      <c r="B335" s="35"/>
      <c r="C335" s="35"/>
      <c r="D335" s="35"/>
      <c r="E335" s="35"/>
      <c r="F335" s="35"/>
      <c r="G335" s="86"/>
      <c r="H335" s="35"/>
      <c r="I335" s="35"/>
      <c r="J335" s="32"/>
    </row>
    <row r="336" spans="1:10" x14ac:dyDescent="0.15">
      <c r="A336" s="35"/>
      <c r="B336" s="35"/>
      <c r="C336" s="35"/>
      <c r="D336" s="35"/>
      <c r="E336" s="35"/>
      <c r="F336" s="35"/>
      <c r="G336" s="86"/>
      <c r="H336" s="35"/>
      <c r="I336" s="35"/>
      <c r="J336" s="32"/>
    </row>
    <row r="337" spans="1:10" x14ac:dyDescent="0.15">
      <c r="A337" s="35"/>
      <c r="B337" s="35"/>
      <c r="C337" s="35"/>
      <c r="D337" s="35"/>
      <c r="E337" s="35"/>
      <c r="F337" s="35"/>
      <c r="G337" s="86"/>
      <c r="H337" s="35"/>
      <c r="I337" s="35"/>
      <c r="J337" s="32"/>
    </row>
    <row r="338" spans="1:10" x14ac:dyDescent="0.15">
      <c r="A338" s="35"/>
      <c r="B338" s="35"/>
      <c r="C338" s="35"/>
      <c r="D338" s="35"/>
      <c r="E338" s="35"/>
      <c r="F338" s="35"/>
      <c r="G338" s="86"/>
      <c r="H338" s="35"/>
      <c r="I338" s="35"/>
      <c r="J338" s="32"/>
    </row>
    <row r="339" spans="1:10" x14ac:dyDescent="0.15">
      <c r="A339" s="35"/>
      <c r="B339" s="35"/>
      <c r="C339" s="35"/>
      <c r="D339" s="35"/>
      <c r="E339" s="35"/>
      <c r="F339" s="35"/>
      <c r="G339" s="86"/>
      <c r="H339" s="35"/>
      <c r="I339" s="35"/>
      <c r="J339" s="32"/>
    </row>
    <row r="340" spans="1:10" x14ac:dyDescent="0.15">
      <c r="A340" s="35"/>
      <c r="B340" s="35"/>
      <c r="C340" s="35"/>
      <c r="D340" s="35"/>
      <c r="E340" s="35"/>
      <c r="F340" s="35"/>
      <c r="G340" s="86"/>
      <c r="H340" s="35"/>
      <c r="I340" s="35"/>
      <c r="J340" s="32"/>
    </row>
    <row r="341" spans="1:10" x14ac:dyDescent="0.15">
      <c r="A341" s="35"/>
      <c r="B341" s="35"/>
      <c r="C341" s="35"/>
      <c r="D341" s="35"/>
      <c r="E341" s="35"/>
      <c r="F341" s="35"/>
      <c r="G341" s="86"/>
      <c r="H341" s="35"/>
      <c r="I341" s="35"/>
      <c r="J341" s="32"/>
    </row>
    <row r="342" spans="1:10" x14ac:dyDescent="0.15">
      <c r="A342" s="35"/>
      <c r="B342" s="35"/>
      <c r="C342" s="35"/>
      <c r="D342" s="35"/>
      <c r="E342" s="35"/>
      <c r="F342" s="35"/>
      <c r="G342" s="86"/>
      <c r="H342" s="35"/>
      <c r="I342" s="35"/>
      <c r="J342" s="32"/>
    </row>
    <row r="343" spans="1:10" x14ac:dyDescent="0.15">
      <c r="A343" s="35"/>
      <c r="B343" s="35"/>
      <c r="C343" s="35"/>
      <c r="D343" s="35"/>
      <c r="E343" s="35"/>
      <c r="F343" s="35"/>
      <c r="G343" s="86"/>
      <c r="H343" s="35"/>
      <c r="I343" s="35"/>
      <c r="J343" s="32"/>
    </row>
    <row r="344" spans="1:10" x14ac:dyDescent="0.15">
      <c r="A344" s="35"/>
      <c r="B344" s="35"/>
      <c r="C344" s="35"/>
      <c r="D344" s="35"/>
      <c r="E344" s="35"/>
      <c r="F344" s="35"/>
      <c r="G344" s="86"/>
      <c r="H344" s="35"/>
      <c r="I344" s="35"/>
      <c r="J344" s="32"/>
    </row>
    <row r="345" spans="1:10" x14ac:dyDescent="0.15">
      <c r="A345" s="35"/>
      <c r="B345" s="35"/>
      <c r="C345" s="35"/>
      <c r="D345" s="35"/>
      <c r="E345" s="35"/>
      <c r="F345" s="35"/>
      <c r="G345" s="86"/>
      <c r="H345" s="35"/>
      <c r="I345" s="35"/>
      <c r="J345" s="32"/>
    </row>
    <row r="346" spans="1:10" x14ac:dyDescent="0.15">
      <c r="A346" s="35"/>
      <c r="B346" s="35"/>
      <c r="C346" s="35"/>
      <c r="D346" s="35"/>
      <c r="E346" s="35"/>
      <c r="F346" s="35"/>
      <c r="G346" s="86"/>
      <c r="H346" s="35"/>
      <c r="I346" s="35"/>
      <c r="J346" s="32"/>
    </row>
    <row r="347" spans="1:10" x14ac:dyDescent="0.15">
      <c r="A347" s="35"/>
      <c r="B347" s="35"/>
      <c r="C347" s="35"/>
      <c r="D347" s="35"/>
      <c r="E347" s="35"/>
      <c r="F347" s="35"/>
      <c r="G347" s="86"/>
      <c r="H347" s="35"/>
      <c r="I347" s="35"/>
      <c r="J347" s="32"/>
    </row>
    <row r="348" spans="1:10" x14ac:dyDescent="0.15">
      <c r="A348" s="35"/>
      <c r="B348" s="35"/>
      <c r="C348" s="35"/>
      <c r="D348" s="35"/>
      <c r="E348" s="35"/>
      <c r="F348" s="35"/>
      <c r="G348" s="86"/>
      <c r="H348" s="35"/>
      <c r="I348" s="35"/>
      <c r="J348" s="32"/>
    </row>
    <row r="349" spans="1:10" x14ac:dyDescent="0.15">
      <c r="A349" s="35"/>
      <c r="B349" s="35"/>
      <c r="C349" s="35"/>
      <c r="D349" s="35"/>
      <c r="E349" s="35"/>
      <c r="F349" s="35"/>
      <c r="G349" s="86"/>
      <c r="H349" s="35"/>
      <c r="I349" s="35"/>
      <c r="J349" s="32"/>
    </row>
    <row r="350" spans="1:10" x14ac:dyDescent="0.15">
      <c r="A350" s="35"/>
      <c r="B350" s="35"/>
      <c r="C350" s="35"/>
      <c r="D350" s="35"/>
      <c r="E350" s="35"/>
      <c r="F350" s="35"/>
      <c r="G350" s="86"/>
      <c r="H350" s="35"/>
      <c r="I350" s="35"/>
      <c r="J350" s="32"/>
    </row>
    <row r="351" spans="1:10" x14ac:dyDescent="0.15">
      <c r="A351" s="35"/>
      <c r="B351" s="35"/>
      <c r="C351" s="35"/>
      <c r="D351" s="35"/>
      <c r="E351" s="35"/>
      <c r="F351" s="35"/>
      <c r="G351" s="86"/>
      <c r="H351" s="35"/>
      <c r="I351" s="35"/>
      <c r="J351" s="32"/>
    </row>
    <row r="352" spans="1:10" x14ac:dyDescent="0.15">
      <c r="A352" s="35"/>
      <c r="B352" s="35"/>
      <c r="C352" s="35"/>
      <c r="D352" s="35"/>
      <c r="E352" s="35"/>
      <c r="F352" s="35"/>
      <c r="G352" s="86"/>
      <c r="H352" s="35"/>
      <c r="I352" s="35"/>
      <c r="J352" s="32"/>
    </row>
    <row r="353" spans="1:10" x14ac:dyDescent="0.15">
      <c r="A353" s="35"/>
      <c r="B353" s="35"/>
      <c r="C353" s="35"/>
      <c r="D353" s="35"/>
      <c r="E353" s="35"/>
      <c r="F353" s="35"/>
      <c r="G353" s="86"/>
      <c r="H353" s="35"/>
      <c r="I353" s="35"/>
      <c r="J353" s="32"/>
    </row>
    <row r="354" spans="1:10" x14ac:dyDescent="0.15">
      <c r="A354" s="35"/>
      <c r="B354" s="35"/>
      <c r="C354" s="35"/>
      <c r="D354" s="35"/>
      <c r="E354" s="35"/>
      <c r="F354" s="35"/>
      <c r="G354" s="86"/>
      <c r="H354" s="35"/>
      <c r="I354" s="35"/>
      <c r="J354" s="32"/>
    </row>
    <row r="355" spans="1:10" x14ac:dyDescent="0.15">
      <c r="A355" s="35"/>
      <c r="B355" s="35"/>
      <c r="C355" s="35"/>
      <c r="D355" s="35"/>
      <c r="E355" s="35"/>
      <c r="F355" s="35"/>
      <c r="G355" s="86"/>
      <c r="H355" s="35"/>
      <c r="I355" s="35"/>
      <c r="J355" s="32"/>
    </row>
    <row r="356" spans="1:10" x14ac:dyDescent="0.15">
      <c r="A356" s="35"/>
      <c r="B356" s="35"/>
      <c r="C356" s="35"/>
      <c r="D356" s="35"/>
      <c r="E356" s="35"/>
      <c r="F356" s="35"/>
      <c r="G356" s="86"/>
      <c r="H356" s="35"/>
      <c r="I356" s="35"/>
      <c r="J356" s="32"/>
    </row>
    <row r="357" spans="1:10" x14ac:dyDescent="0.15">
      <c r="A357" s="35"/>
      <c r="B357" s="35"/>
      <c r="C357" s="35"/>
      <c r="D357" s="35"/>
      <c r="E357" s="35"/>
      <c r="F357" s="35"/>
      <c r="G357" s="86"/>
      <c r="H357" s="35"/>
      <c r="I357" s="35"/>
      <c r="J357" s="32"/>
    </row>
    <row r="358" spans="1:10" x14ac:dyDescent="0.15">
      <c r="A358" s="35"/>
      <c r="B358" s="35"/>
      <c r="C358" s="35"/>
      <c r="D358" s="35"/>
      <c r="E358" s="35"/>
      <c r="F358" s="35"/>
      <c r="G358" s="86"/>
      <c r="H358" s="35"/>
      <c r="I358" s="35"/>
      <c r="J358" s="32"/>
    </row>
    <row r="359" spans="1:10" x14ac:dyDescent="0.15">
      <c r="A359" s="35"/>
      <c r="B359" s="35"/>
      <c r="C359" s="35"/>
      <c r="D359" s="35"/>
      <c r="E359" s="35"/>
      <c r="F359" s="35"/>
      <c r="G359" s="86"/>
      <c r="H359" s="35"/>
      <c r="I359" s="35"/>
      <c r="J359" s="32"/>
    </row>
    <row r="360" spans="1:10" x14ac:dyDescent="0.15">
      <c r="A360" s="35"/>
      <c r="B360" s="35"/>
      <c r="C360" s="35"/>
      <c r="D360" s="35"/>
      <c r="E360" s="35"/>
      <c r="F360" s="35"/>
      <c r="G360" s="86"/>
      <c r="H360" s="35"/>
      <c r="I360" s="35"/>
      <c r="J360" s="32"/>
    </row>
    <row r="361" spans="1:10" x14ac:dyDescent="0.15">
      <c r="A361" s="35"/>
      <c r="B361" s="35"/>
      <c r="C361" s="35"/>
      <c r="D361" s="35"/>
      <c r="E361" s="35"/>
      <c r="F361" s="35"/>
      <c r="G361" s="86"/>
      <c r="H361" s="35"/>
      <c r="I361" s="35"/>
      <c r="J361" s="32"/>
    </row>
    <row r="362" spans="1:10" x14ac:dyDescent="0.15">
      <c r="A362" s="35"/>
      <c r="B362" s="35"/>
      <c r="C362" s="35"/>
      <c r="D362" s="35"/>
      <c r="E362" s="35"/>
      <c r="F362" s="35"/>
      <c r="G362" s="86"/>
      <c r="H362" s="35"/>
      <c r="I362" s="35"/>
      <c r="J362" s="32"/>
    </row>
    <row r="363" spans="1:10" x14ac:dyDescent="0.15">
      <c r="A363" s="35"/>
      <c r="B363" s="35"/>
      <c r="C363" s="35"/>
      <c r="D363" s="35"/>
      <c r="E363" s="35"/>
      <c r="F363" s="35"/>
      <c r="G363" s="86"/>
      <c r="H363" s="35"/>
      <c r="I363" s="35"/>
      <c r="J363" s="32"/>
    </row>
    <row r="364" spans="1:10" x14ac:dyDescent="0.15">
      <c r="A364" s="35"/>
      <c r="B364" s="35"/>
      <c r="C364" s="35"/>
      <c r="D364" s="35"/>
      <c r="E364" s="35"/>
      <c r="F364" s="35"/>
      <c r="G364" s="86"/>
      <c r="H364" s="35"/>
      <c r="I364" s="35"/>
      <c r="J364" s="32"/>
    </row>
    <row r="365" spans="1:10" x14ac:dyDescent="0.15">
      <c r="A365" s="35"/>
      <c r="B365" s="35"/>
      <c r="C365" s="35"/>
      <c r="D365" s="35"/>
      <c r="E365" s="35"/>
      <c r="F365" s="35"/>
      <c r="G365" s="86"/>
      <c r="H365" s="35"/>
      <c r="I365" s="35"/>
      <c r="J365" s="32"/>
    </row>
    <row r="366" spans="1:10" x14ac:dyDescent="0.15">
      <c r="A366" s="35"/>
      <c r="B366" s="35"/>
      <c r="C366" s="35"/>
      <c r="D366" s="35"/>
      <c r="E366" s="35"/>
      <c r="F366" s="35"/>
      <c r="G366" s="86"/>
      <c r="H366" s="35"/>
      <c r="I366" s="35"/>
      <c r="J366" s="32"/>
    </row>
    <row r="367" spans="1:10" x14ac:dyDescent="0.15">
      <c r="A367" s="35"/>
      <c r="B367" s="35"/>
      <c r="C367" s="35"/>
      <c r="D367" s="35"/>
      <c r="E367" s="35"/>
      <c r="F367" s="35"/>
      <c r="G367" s="86"/>
      <c r="H367" s="35"/>
      <c r="I367" s="35"/>
      <c r="J367" s="32"/>
    </row>
    <row r="368" spans="1:10" x14ac:dyDescent="0.15">
      <c r="A368" s="35"/>
      <c r="B368" s="35"/>
      <c r="C368" s="35"/>
      <c r="D368" s="35"/>
      <c r="E368" s="35"/>
      <c r="F368" s="35"/>
      <c r="G368" s="86"/>
      <c r="H368" s="35"/>
      <c r="I368" s="35"/>
      <c r="J368" s="32"/>
    </row>
    <row r="369" spans="1:10" x14ac:dyDescent="0.15">
      <c r="A369" s="35"/>
      <c r="B369" s="35"/>
      <c r="C369" s="35"/>
      <c r="D369" s="35"/>
      <c r="E369" s="35"/>
      <c r="F369" s="35"/>
      <c r="G369" s="86"/>
      <c r="H369" s="35"/>
      <c r="I369" s="35"/>
      <c r="J369" s="32"/>
    </row>
    <row r="370" spans="1:10" x14ac:dyDescent="0.15">
      <c r="A370" s="35"/>
      <c r="B370" s="35"/>
      <c r="C370" s="35"/>
      <c r="D370" s="35"/>
      <c r="E370" s="35"/>
      <c r="F370" s="35"/>
      <c r="G370" s="86"/>
      <c r="H370" s="35"/>
      <c r="I370" s="35"/>
      <c r="J370" s="32"/>
    </row>
    <row r="371" spans="1:10" x14ac:dyDescent="0.15">
      <c r="A371" s="35"/>
      <c r="B371" s="35"/>
      <c r="C371" s="35"/>
      <c r="D371" s="35"/>
      <c r="E371" s="35"/>
      <c r="F371" s="35"/>
      <c r="G371" s="86"/>
      <c r="H371" s="35"/>
      <c r="I371" s="35"/>
      <c r="J371" s="32"/>
    </row>
    <row r="372" spans="1:10" x14ac:dyDescent="0.15">
      <c r="A372" s="35"/>
      <c r="B372" s="35"/>
      <c r="C372" s="35"/>
      <c r="D372" s="35"/>
      <c r="E372" s="35"/>
      <c r="F372" s="35"/>
      <c r="G372" s="86"/>
      <c r="H372" s="35"/>
      <c r="I372" s="35"/>
      <c r="J372" s="32"/>
    </row>
    <row r="373" spans="1:10" x14ac:dyDescent="0.15">
      <c r="A373" s="35"/>
      <c r="B373" s="35"/>
      <c r="C373" s="35"/>
      <c r="D373" s="35"/>
      <c r="E373" s="35"/>
      <c r="F373" s="35"/>
      <c r="G373" s="86"/>
      <c r="H373" s="35"/>
      <c r="I373" s="35"/>
      <c r="J373" s="32"/>
    </row>
    <row r="374" spans="1:10" x14ac:dyDescent="0.15">
      <c r="A374" s="35"/>
      <c r="B374" s="35"/>
      <c r="C374" s="35"/>
      <c r="D374" s="35"/>
      <c r="E374" s="35"/>
      <c r="F374" s="35"/>
      <c r="G374" s="86"/>
      <c r="H374" s="35"/>
      <c r="I374" s="35"/>
      <c r="J374" s="32"/>
    </row>
    <row r="375" spans="1:10" x14ac:dyDescent="0.15">
      <c r="A375" s="35"/>
      <c r="B375" s="35"/>
      <c r="C375" s="35"/>
      <c r="D375" s="35"/>
      <c r="E375" s="35"/>
      <c r="F375" s="35"/>
      <c r="G375" s="86"/>
      <c r="H375" s="35"/>
      <c r="I375" s="35"/>
      <c r="J375" s="32"/>
    </row>
    <row r="376" spans="1:10" x14ac:dyDescent="0.15">
      <c r="A376" s="35"/>
      <c r="B376" s="35"/>
      <c r="C376" s="35"/>
      <c r="D376" s="35"/>
      <c r="E376" s="35"/>
      <c r="F376" s="35"/>
      <c r="G376" s="86"/>
      <c r="H376" s="35"/>
      <c r="I376" s="35"/>
      <c r="J376" s="32"/>
    </row>
    <row r="377" spans="1:10" x14ac:dyDescent="0.15">
      <c r="A377" s="35"/>
      <c r="B377" s="35"/>
      <c r="C377" s="35"/>
      <c r="D377" s="35"/>
      <c r="E377" s="35"/>
      <c r="F377" s="35"/>
      <c r="G377" s="86"/>
      <c r="H377" s="35"/>
      <c r="I377" s="35"/>
      <c r="J377" s="32"/>
    </row>
    <row r="378" spans="1:10" x14ac:dyDescent="0.15">
      <c r="A378" s="35"/>
      <c r="B378" s="35"/>
      <c r="C378" s="35"/>
      <c r="D378" s="35"/>
      <c r="E378" s="35"/>
      <c r="F378" s="35"/>
      <c r="G378" s="86"/>
      <c r="H378" s="35"/>
      <c r="I378" s="35"/>
      <c r="J378" s="32"/>
    </row>
    <row r="379" spans="1:10" x14ac:dyDescent="0.15">
      <c r="A379" s="35"/>
      <c r="B379" s="35"/>
      <c r="C379" s="35"/>
      <c r="D379" s="35"/>
      <c r="E379" s="35"/>
      <c r="F379" s="35"/>
      <c r="G379" s="86"/>
      <c r="H379" s="35"/>
      <c r="I379" s="35"/>
      <c r="J379" s="32"/>
    </row>
    <row r="380" spans="1:10" x14ac:dyDescent="0.15">
      <c r="A380" s="35"/>
      <c r="B380" s="35"/>
      <c r="C380" s="35"/>
      <c r="D380" s="35"/>
      <c r="E380" s="35"/>
      <c r="F380" s="35"/>
      <c r="G380" s="86"/>
      <c r="H380" s="35"/>
      <c r="I380" s="35"/>
      <c r="J380" s="32"/>
    </row>
    <row r="381" spans="1:10" x14ac:dyDescent="0.15">
      <c r="A381" s="35"/>
      <c r="B381" s="35"/>
      <c r="C381" s="35"/>
      <c r="D381" s="35"/>
      <c r="E381" s="35"/>
      <c r="F381" s="35"/>
      <c r="G381" s="86"/>
      <c r="H381" s="35"/>
      <c r="I381" s="35"/>
      <c r="J381" s="32"/>
    </row>
    <row r="382" spans="1:10" x14ac:dyDescent="0.15">
      <c r="A382" s="35"/>
      <c r="B382" s="35"/>
      <c r="C382" s="35"/>
      <c r="D382" s="35"/>
      <c r="E382" s="35"/>
      <c r="F382" s="35"/>
      <c r="G382" s="86"/>
      <c r="H382" s="35"/>
      <c r="I382" s="35"/>
      <c r="J382" s="32"/>
    </row>
    <row r="383" spans="1:10" x14ac:dyDescent="0.15">
      <c r="A383" s="35"/>
      <c r="B383" s="35"/>
      <c r="C383" s="35"/>
      <c r="D383" s="35"/>
      <c r="E383" s="35"/>
      <c r="F383" s="35"/>
      <c r="G383" s="86"/>
      <c r="H383" s="35"/>
      <c r="I383" s="35"/>
      <c r="J383" s="32"/>
    </row>
    <row r="384" spans="1:10" x14ac:dyDescent="0.15">
      <c r="A384" s="35"/>
      <c r="B384" s="35"/>
      <c r="C384" s="35"/>
      <c r="D384" s="35"/>
      <c r="E384" s="35"/>
      <c r="F384" s="35"/>
      <c r="G384" s="86"/>
      <c r="H384" s="35"/>
      <c r="I384" s="35"/>
      <c r="J384" s="32"/>
    </row>
    <row r="385" spans="1:10" x14ac:dyDescent="0.15">
      <c r="A385" s="35"/>
      <c r="B385" s="35"/>
      <c r="C385" s="35"/>
      <c r="D385" s="35"/>
      <c r="E385" s="35"/>
      <c r="F385" s="35"/>
      <c r="G385" s="86"/>
      <c r="H385" s="35"/>
      <c r="I385" s="35"/>
      <c r="J385" s="32"/>
    </row>
    <row r="386" spans="1:10" x14ac:dyDescent="0.15">
      <c r="A386" s="35"/>
      <c r="B386" s="35"/>
      <c r="C386" s="35"/>
      <c r="D386" s="35"/>
      <c r="E386" s="35"/>
      <c r="F386" s="35"/>
      <c r="G386" s="86"/>
      <c r="H386" s="35"/>
      <c r="I386" s="35"/>
      <c r="J386" s="32"/>
    </row>
    <row r="387" spans="1:10" x14ac:dyDescent="0.15">
      <c r="A387" s="35"/>
      <c r="B387" s="35"/>
      <c r="C387" s="35"/>
      <c r="D387" s="35"/>
      <c r="E387" s="35"/>
      <c r="F387" s="35"/>
      <c r="G387" s="86"/>
      <c r="H387" s="35"/>
      <c r="I387" s="35"/>
      <c r="J387" s="32"/>
    </row>
    <row r="388" spans="1:10" x14ac:dyDescent="0.15">
      <c r="A388" s="35"/>
      <c r="B388" s="35"/>
      <c r="C388" s="35"/>
      <c r="D388" s="35"/>
      <c r="E388" s="35"/>
      <c r="F388" s="35"/>
      <c r="G388" s="86"/>
      <c r="H388" s="35"/>
      <c r="I388" s="35"/>
      <c r="J388" s="32"/>
    </row>
    <row r="389" spans="1:10" x14ac:dyDescent="0.15">
      <c r="A389" s="35"/>
      <c r="B389" s="35"/>
      <c r="C389" s="35"/>
      <c r="D389" s="35"/>
      <c r="E389" s="35"/>
      <c r="F389" s="35"/>
      <c r="G389" s="86"/>
      <c r="H389" s="35"/>
      <c r="I389" s="35"/>
      <c r="J389" s="32"/>
    </row>
    <row r="390" spans="1:10" x14ac:dyDescent="0.15">
      <c r="A390" s="35"/>
      <c r="B390" s="35"/>
      <c r="C390" s="35"/>
      <c r="D390" s="35"/>
      <c r="E390" s="35"/>
      <c r="F390" s="35"/>
      <c r="G390" s="86"/>
      <c r="H390" s="35"/>
      <c r="I390" s="35"/>
      <c r="J390" s="32"/>
    </row>
    <row r="391" spans="1:10" x14ac:dyDescent="0.15">
      <c r="A391" s="35"/>
      <c r="B391" s="35"/>
      <c r="C391" s="35"/>
      <c r="D391" s="35"/>
      <c r="E391" s="35"/>
      <c r="F391" s="35"/>
      <c r="G391" s="86"/>
      <c r="H391" s="35"/>
      <c r="I391" s="35"/>
      <c r="J391" s="32"/>
    </row>
    <row r="392" spans="1:10" x14ac:dyDescent="0.15">
      <c r="A392" s="35"/>
      <c r="B392" s="35"/>
      <c r="C392" s="35"/>
      <c r="D392" s="35"/>
      <c r="E392" s="35"/>
      <c r="F392" s="35"/>
      <c r="G392" s="86"/>
      <c r="H392" s="35"/>
      <c r="I392" s="35"/>
      <c r="J392" s="32"/>
    </row>
    <row r="393" spans="1:10" x14ac:dyDescent="0.15">
      <c r="A393" s="35"/>
      <c r="B393" s="35"/>
      <c r="C393" s="35"/>
      <c r="D393" s="35"/>
      <c r="E393" s="35"/>
      <c r="F393" s="35"/>
      <c r="G393" s="86"/>
      <c r="H393" s="35"/>
      <c r="I393" s="35"/>
      <c r="J393" s="32"/>
    </row>
    <row r="394" spans="1:10" x14ac:dyDescent="0.15">
      <c r="A394" s="35"/>
      <c r="B394" s="35"/>
      <c r="C394" s="35"/>
      <c r="D394" s="35"/>
      <c r="E394" s="35"/>
      <c r="F394" s="35"/>
      <c r="G394" s="86"/>
      <c r="H394" s="35"/>
      <c r="I394" s="35"/>
      <c r="J394" s="32"/>
    </row>
    <row r="395" spans="1:10" x14ac:dyDescent="0.15">
      <c r="A395" s="35"/>
      <c r="B395" s="35"/>
      <c r="C395" s="35"/>
      <c r="D395" s="35"/>
      <c r="E395" s="35"/>
      <c r="F395" s="35"/>
      <c r="G395" s="86"/>
      <c r="H395" s="35"/>
      <c r="I395" s="35"/>
      <c r="J395" s="32"/>
    </row>
    <row r="396" spans="1:10" x14ac:dyDescent="0.15">
      <c r="A396" s="35"/>
      <c r="B396" s="35"/>
      <c r="C396" s="35"/>
      <c r="D396" s="35"/>
      <c r="E396" s="35"/>
      <c r="F396" s="35"/>
      <c r="G396" s="86"/>
      <c r="H396" s="35"/>
      <c r="I396" s="35"/>
      <c r="J396" s="32"/>
    </row>
    <row r="397" spans="1:10" x14ac:dyDescent="0.15">
      <c r="A397" s="35"/>
      <c r="B397" s="35"/>
      <c r="C397" s="35"/>
      <c r="D397" s="35"/>
      <c r="E397" s="35"/>
      <c r="F397" s="35"/>
      <c r="G397" s="86"/>
      <c r="H397" s="35"/>
      <c r="I397" s="35"/>
      <c r="J397" s="32"/>
    </row>
    <row r="398" spans="1:10" x14ac:dyDescent="0.15">
      <c r="A398" s="35"/>
      <c r="B398" s="35"/>
      <c r="C398" s="35"/>
      <c r="D398" s="35"/>
      <c r="E398" s="35"/>
      <c r="F398" s="35"/>
      <c r="G398" s="86"/>
      <c r="H398" s="35"/>
      <c r="I398" s="35"/>
      <c r="J398" s="32"/>
    </row>
    <row r="399" spans="1:10" x14ac:dyDescent="0.15">
      <c r="A399" s="35"/>
      <c r="B399" s="35"/>
      <c r="C399" s="35"/>
      <c r="D399" s="35"/>
      <c r="E399" s="35"/>
      <c r="F399" s="35"/>
      <c r="G399" s="86"/>
      <c r="H399" s="35"/>
      <c r="I399" s="35"/>
      <c r="J399" s="32"/>
    </row>
    <row r="400" spans="1:10" x14ac:dyDescent="0.15">
      <c r="A400" s="35"/>
      <c r="B400" s="35"/>
      <c r="C400" s="35"/>
      <c r="D400" s="35"/>
      <c r="E400" s="35"/>
      <c r="F400" s="35"/>
      <c r="G400" s="86"/>
      <c r="H400" s="35"/>
      <c r="I400" s="35"/>
      <c r="J400" s="32"/>
    </row>
    <row r="401" spans="1:10" x14ac:dyDescent="0.15">
      <c r="A401" s="35"/>
      <c r="B401" s="35"/>
      <c r="C401" s="35"/>
      <c r="D401" s="35"/>
      <c r="E401" s="35"/>
      <c r="F401" s="35"/>
      <c r="G401" s="86"/>
      <c r="H401" s="35"/>
      <c r="I401" s="35"/>
      <c r="J401" s="32"/>
    </row>
    <row r="402" spans="1:10" x14ac:dyDescent="0.15">
      <c r="A402" s="35"/>
      <c r="B402" s="35"/>
      <c r="C402" s="35"/>
      <c r="D402" s="35"/>
      <c r="E402" s="35"/>
      <c r="F402" s="35"/>
      <c r="G402" s="86"/>
      <c r="H402" s="35"/>
      <c r="I402" s="35"/>
      <c r="J402" s="32"/>
    </row>
    <row r="403" spans="1:10" x14ac:dyDescent="0.15">
      <c r="A403" s="35"/>
      <c r="B403" s="35"/>
      <c r="C403" s="35"/>
      <c r="D403" s="35"/>
      <c r="E403" s="35"/>
      <c r="F403" s="35"/>
      <c r="G403" s="86"/>
      <c r="H403" s="35"/>
      <c r="I403" s="35"/>
      <c r="J403" s="32"/>
    </row>
    <row r="404" spans="1:10" x14ac:dyDescent="0.15">
      <c r="A404" s="35"/>
      <c r="B404" s="35"/>
      <c r="C404" s="35"/>
      <c r="D404" s="35"/>
      <c r="E404" s="35"/>
      <c r="F404" s="35"/>
      <c r="G404" s="86"/>
      <c r="H404" s="35"/>
      <c r="I404" s="35"/>
      <c r="J404" s="32"/>
    </row>
    <row r="405" spans="1:10" x14ac:dyDescent="0.15">
      <c r="A405" s="35"/>
      <c r="B405" s="35"/>
      <c r="C405" s="35"/>
      <c r="D405" s="35"/>
      <c r="E405" s="35"/>
      <c r="F405" s="35"/>
      <c r="G405" s="86"/>
      <c r="H405" s="35"/>
      <c r="I405" s="35"/>
      <c r="J405" s="32"/>
    </row>
    <row r="406" spans="1:10" x14ac:dyDescent="0.15">
      <c r="A406" s="35"/>
      <c r="B406" s="35"/>
      <c r="C406" s="35"/>
      <c r="D406" s="35"/>
      <c r="E406" s="35"/>
      <c r="F406" s="35"/>
      <c r="G406" s="86"/>
      <c r="H406" s="35"/>
      <c r="I406" s="35"/>
      <c r="J406" s="32"/>
    </row>
    <row r="407" spans="1:10" x14ac:dyDescent="0.15">
      <c r="A407" s="35"/>
      <c r="B407" s="35"/>
      <c r="C407" s="35"/>
      <c r="D407" s="35"/>
      <c r="E407" s="35"/>
      <c r="F407" s="35"/>
      <c r="G407" s="86"/>
      <c r="H407" s="35"/>
      <c r="I407" s="35"/>
      <c r="J407" s="32"/>
    </row>
    <row r="408" spans="1:10" x14ac:dyDescent="0.15">
      <c r="A408" s="35"/>
      <c r="B408" s="35"/>
      <c r="C408" s="35"/>
      <c r="D408" s="35"/>
      <c r="E408" s="35"/>
      <c r="F408" s="35"/>
      <c r="G408" s="86"/>
      <c r="H408" s="35"/>
      <c r="I408" s="35"/>
      <c r="J408" s="32"/>
    </row>
    <row r="409" spans="1:10" x14ac:dyDescent="0.15">
      <c r="A409" s="35"/>
      <c r="B409" s="35"/>
      <c r="C409" s="35"/>
      <c r="D409" s="35"/>
      <c r="E409" s="35"/>
      <c r="F409" s="35"/>
      <c r="G409" s="86"/>
      <c r="H409" s="35"/>
      <c r="I409" s="35"/>
      <c r="J409" s="32"/>
    </row>
    <row r="410" spans="1:10" x14ac:dyDescent="0.15">
      <c r="A410" s="35"/>
      <c r="B410" s="35"/>
      <c r="C410" s="35"/>
      <c r="D410" s="35"/>
      <c r="E410" s="35"/>
      <c r="F410" s="35"/>
      <c r="G410" s="86"/>
      <c r="H410" s="35"/>
      <c r="I410" s="35"/>
      <c r="J410" s="32"/>
    </row>
    <row r="411" spans="1:10" x14ac:dyDescent="0.15">
      <c r="A411" s="35"/>
      <c r="B411" s="35"/>
      <c r="C411" s="35"/>
      <c r="D411" s="35"/>
      <c r="E411" s="35"/>
      <c r="F411" s="35"/>
      <c r="G411" s="86"/>
      <c r="H411" s="35"/>
      <c r="I411" s="35"/>
      <c r="J411" s="32"/>
    </row>
    <row r="412" spans="1:10" x14ac:dyDescent="0.15">
      <c r="A412" s="35"/>
      <c r="B412" s="35"/>
      <c r="C412" s="35"/>
      <c r="D412" s="35"/>
      <c r="E412" s="35"/>
      <c r="F412" s="35"/>
      <c r="G412" s="86"/>
      <c r="H412" s="35"/>
      <c r="I412" s="35"/>
      <c r="J412" s="32"/>
    </row>
    <row r="413" spans="1:10" x14ac:dyDescent="0.15">
      <c r="A413" s="35"/>
      <c r="B413" s="35"/>
      <c r="C413" s="35"/>
      <c r="D413" s="35"/>
      <c r="E413" s="35"/>
      <c r="F413" s="35"/>
      <c r="G413" s="86"/>
      <c r="H413" s="35"/>
      <c r="I413" s="35"/>
      <c r="J413" s="32"/>
    </row>
    <row r="414" spans="1:10" x14ac:dyDescent="0.15">
      <c r="A414" s="35"/>
      <c r="B414" s="35"/>
      <c r="C414" s="35"/>
      <c r="D414" s="35"/>
      <c r="E414" s="35"/>
      <c r="F414" s="35"/>
      <c r="G414" s="86"/>
      <c r="H414" s="35"/>
      <c r="I414" s="35"/>
      <c r="J414" s="32"/>
    </row>
    <row r="415" spans="1:10" x14ac:dyDescent="0.15">
      <c r="A415" s="35"/>
      <c r="B415" s="35"/>
      <c r="C415" s="35"/>
      <c r="D415" s="35"/>
      <c r="E415" s="35"/>
      <c r="F415" s="35"/>
      <c r="G415" s="86"/>
      <c r="H415" s="35"/>
      <c r="I415" s="35"/>
      <c r="J415" s="32"/>
    </row>
    <row r="416" spans="1:10" x14ac:dyDescent="0.15">
      <c r="A416" s="35"/>
      <c r="B416" s="35"/>
      <c r="C416" s="35"/>
      <c r="D416" s="35"/>
      <c r="E416" s="35"/>
      <c r="F416" s="35"/>
      <c r="G416" s="86"/>
      <c r="H416" s="35"/>
      <c r="I416" s="35"/>
      <c r="J416" s="32"/>
    </row>
    <row r="417" spans="1:10" x14ac:dyDescent="0.15">
      <c r="A417" s="35"/>
      <c r="B417" s="35"/>
      <c r="C417" s="35"/>
      <c r="D417" s="35"/>
      <c r="E417" s="35"/>
      <c r="F417" s="35"/>
      <c r="G417" s="86"/>
      <c r="H417" s="35"/>
      <c r="I417" s="35"/>
      <c r="J417" s="32"/>
    </row>
    <row r="418" spans="1:10" x14ac:dyDescent="0.15">
      <c r="A418" s="35"/>
      <c r="B418" s="35"/>
      <c r="C418" s="35"/>
      <c r="D418" s="35"/>
      <c r="E418" s="35"/>
      <c r="F418" s="35"/>
      <c r="G418" s="86"/>
      <c r="H418" s="35"/>
      <c r="I418" s="35"/>
      <c r="J418" s="32"/>
    </row>
    <row r="419" spans="1:10" x14ac:dyDescent="0.15">
      <c r="A419" s="35"/>
      <c r="B419" s="35"/>
      <c r="C419" s="35"/>
      <c r="D419" s="35"/>
      <c r="E419" s="35"/>
      <c r="F419" s="35"/>
      <c r="G419" s="86"/>
      <c r="H419" s="35"/>
      <c r="I419" s="35"/>
      <c r="J419" s="32"/>
    </row>
    <row r="420" spans="1:10" x14ac:dyDescent="0.15">
      <c r="A420" s="35"/>
      <c r="B420" s="35"/>
      <c r="C420" s="35"/>
      <c r="D420" s="35"/>
      <c r="E420" s="35"/>
      <c r="F420" s="35"/>
      <c r="G420" s="86"/>
      <c r="H420" s="35"/>
      <c r="I420" s="35"/>
      <c r="J420" s="32"/>
    </row>
    <row r="421" spans="1:10" x14ac:dyDescent="0.15">
      <c r="A421" s="35"/>
      <c r="B421" s="35"/>
      <c r="C421" s="35"/>
      <c r="D421" s="35"/>
      <c r="E421" s="35"/>
      <c r="F421" s="35"/>
      <c r="G421" s="86"/>
      <c r="H421" s="35"/>
      <c r="I421" s="35"/>
      <c r="J421" s="32"/>
    </row>
    <row r="422" spans="1:10" x14ac:dyDescent="0.15">
      <c r="A422" s="35"/>
      <c r="B422" s="35"/>
      <c r="C422" s="35"/>
      <c r="D422" s="35"/>
      <c r="E422" s="35"/>
      <c r="F422" s="35"/>
      <c r="G422" s="86"/>
      <c r="H422" s="35"/>
      <c r="I422" s="35"/>
      <c r="J422" s="32"/>
    </row>
    <row r="423" spans="1:10" x14ac:dyDescent="0.15">
      <c r="A423" s="35"/>
      <c r="B423" s="35"/>
      <c r="C423" s="35"/>
      <c r="D423" s="35"/>
      <c r="E423" s="35"/>
      <c r="F423" s="35"/>
      <c r="G423" s="86"/>
      <c r="H423" s="35"/>
      <c r="I423" s="35"/>
      <c r="J423" s="32"/>
    </row>
    <row r="424" spans="1:10" x14ac:dyDescent="0.15">
      <c r="A424" s="35"/>
      <c r="B424" s="35"/>
      <c r="C424" s="35"/>
      <c r="D424" s="35"/>
      <c r="E424" s="35"/>
      <c r="F424" s="35"/>
      <c r="G424" s="86"/>
      <c r="H424" s="35"/>
      <c r="I424" s="35"/>
      <c r="J424" s="32"/>
    </row>
    <row r="425" spans="1:10" x14ac:dyDescent="0.15">
      <c r="A425" s="35"/>
      <c r="B425" s="35"/>
      <c r="C425" s="35"/>
      <c r="D425" s="35"/>
      <c r="E425" s="35"/>
      <c r="F425" s="35"/>
      <c r="G425" s="86"/>
      <c r="H425" s="35"/>
      <c r="I425" s="35"/>
      <c r="J425" s="32"/>
    </row>
    <row r="426" spans="1:10" x14ac:dyDescent="0.15">
      <c r="A426" s="35"/>
      <c r="B426" s="35"/>
      <c r="C426" s="35"/>
      <c r="D426" s="35"/>
      <c r="E426" s="35"/>
      <c r="F426" s="35"/>
      <c r="G426" s="86"/>
      <c r="H426" s="35"/>
      <c r="I426" s="35"/>
      <c r="J426" s="32"/>
    </row>
    <row r="427" spans="1:10" x14ac:dyDescent="0.15">
      <c r="A427" s="35"/>
      <c r="B427" s="35"/>
      <c r="C427" s="35"/>
      <c r="D427" s="35"/>
      <c r="E427" s="35"/>
      <c r="F427" s="35"/>
      <c r="G427" s="86"/>
      <c r="H427" s="35"/>
      <c r="I427" s="35"/>
      <c r="J427" s="32"/>
    </row>
    <row r="428" spans="1:10" x14ac:dyDescent="0.15">
      <c r="A428" s="35"/>
      <c r="B428" s="35"/>
      <c r="C428" s="35"/>
      <c r="D428" s="35"/>
      <c r="E428" s="35"/>
      <c r="F428" s="35"/>
      <c r="G428" s="86"/>
      <c r="H428" s="35"/>
      <c r="I428" s="35"/>
      <c r="J428" s="32"/>
    </row>
    <row r="429" spans="1:10" x14ac:dyDescent="0.15">
      <c r="A429" s="35"/>
      <c r="B429" s="35"/>
      <c r="C429" s="35"/>
      <c r="D429" s="35"/>
      <c r="E429" s="35"/>
      <c r="F429" s="35"/>
      <c r="G429" s="86"/>
      <c r="H429" s="35"/>
      <c r="I429" s="35"/>
      <c r="J429" s="32"/>
    </row>
    <row r="430" spans="1:10" x14ac:dyDescent="0.15">
      <c r="A430" s="35"/>
      <c r="B430" s="35"/>
      <c r="C430" s="35"/>
      <c r="D430" s="35"/>
      <c r="E430" s="35"/>
      <c r="F430" s="35"/>
      <c r="G430" s="86"/>
      <c r="H430" s="35"/>
      <c r="I430" s="35"/>
      <c r="J430" s="32"/>
    </row>
    <row r="431" spans="1:10" x14ac:dyDescent="0.15">
      <c r="A431" s="35"/>
      <c r="B431" s="35"/>
      <c r="C431" s="35"/>
      <c r="D431" s="35"/>
      <c r="E431" s="35"/>
      <c r="F431" s="35"/>
      <c r="G431" s="86"/>
      <c r="H431" s="35"/>
      <c r="I431" s="35"/>
      <c r="J431" s="32"/>
    </row>
    <row r="432" spans="1:10" x14ac:dyDescent="0.15">
      <c r="A432" s="35"/>
      <c r="B432" s="35"/>
      <c r="C432" s="35"/>
      <c r="D432" s="35"/>
      <c r="E432" s="35"/>
      <c r="F432" s="35"/>
      <c r="G432" s="86"/>
      <c r="H432" s="35"/>
      <c r="I432" s="35"/>
      <c r="J432" s="32"/>
    </row>
    <row r="433" spans="1:10" x14ac:dyDescent="0.15">
      <c r="A433" s="35"/>
      <c r="B433" s="35"/>
      <c r="C433" s="35"/>
      <c r="D433" s="35"/>
      <c r="E433" s="35"/>
      <c r="F433" s="35"/>
      <c r="G433" s="86"/>
      <c r="H433" s="35"/>
      <c r="I433" s="35"/>
      <c r="J433" s="32"/>
    </row>
    <row r="434" spans="1:10" x14ac:dyDescent="0.15">
      <c r="A434" s="35"/>
      <c r="B434" s="35"/>
      <c r="C434" s="35"/>
      <c r="D434" s="35"/>
      <c r="E434" s="35"/>
      <c r="F434" s="35"/>
      <c r="G434" s="86"/>
      <c r="H434" s="35"/>
      <c r="I434" s="35"/>
      <c r="J434" s="32"/>
    </row>
    <row r="435" spans="1:10" x14ac:dyDescent="0.15">
      <c r="A435" s="35"/>
      <c r="B435" s="35"/>
      <c r="C435" s="35"/>
      <c r="D435" s="35"/>
      <c r="E435" s="35"/>
      <c r="F435" s="35"/>
      <c r="G435" s="86"/>
      <c r="H435" s="35"/>
      <c r="I435" s="35"/>
      <c r="J435" s="32"/>
    </row>
    <row r="436" spans="1:10" x14ac:dyDescent="0.15">
      <c r="A436" s="35"/>
      <c r="B436" s="35"/>
      <c r="C436" s="35"/>
      <c r="D436" s="35"/>
      <c r="E436" s="35"/>
      <c r="F436" s="35"/>
      <c r="G436" s="86"/>
      <c r="H436" s="35"/>
      <c r="I436" s="35"/>
      <c r="J436" s="32"/>
    </row>
    <row r="437" spans="1:10" x14ac:dyDescent="0.15">
      <c r="A437" s="35"/>
      <c r="B437" s="35"/>
      <c r="C437" s="35"/>
      <c r="D437" s="35"/>
      <c r="E437" s="35"/>
      <c r="F437" s="35"/>
      <c r="G437" s="86"/>
      <c r="H437" s="35"/>
      <c r="I437" s="35"/>
      <c r="J437" s="32"/>
    </row>
    <row r="438" spans="1:10" x14ac:dyDescent="0.15">
      <c r="A438" s="35"/>
      <c r="B438" s="35"/>
      <c r="C438" s="35"/>
      <c r="D438" s="35"/>
      <c r="E438" s="35"/>
      <c r="F438" s="35"/>
      <c r="G438" s="86"/>
      <c r="H438" s="35"/>
      <c r="I438" s="35"/>
      <c r="J438" s="32"/>
    </row>
    <row r="439" spans="1:10" x14ac:dyDescent="0.15">
      <c r="A439" s="35"/>
      <c r="B439" s="35"/>
      <c r="C439" s="35"/>
      <c r="D439" s="35"/>
      <c r="E439" s="35"/>
      <c r="F439" s="35"/>
      <c r="G439" s="86"/>
      <c r="H439" s="35"/>
      <c r="I439" s="35"/>
      <c r="J439" s="32"/>
    </row>
    <row r="440" spans="1:10" x14ac:dyDescent="0.15">
      <c r="A440" s="35"/>
      <c r="B440" s="35"/>
      <c r="C440" s="35"/>
      <c r="D440" s="35"/>
      <c r="E440" s="35"/>
      <c r="F440" s="35"/>
      <c r="G440" s="86"/>
      <c r="H440" s="35"/>
      <c r="I440" s="35"/>
      <c r="J440" s="32"/>
    </row>
    <row r="441" spans="1:10" x14ac:dyDescent="0.15">
      <c r="A441" s="35"/>
      <c r="B441" s="35"/>
      <c r="C441" s="35"/>
      <c r="D441" s="35"/>
      <c r="E441" s="35"/>
      <c r="F441" s="35"/>
      <c r="G441" s="86"/>
      <c r="H441" s="35"/>
      <c r="I441" s="35"/>
      <c r="J441" s="32"/>
    </row>
    <row r="442" spans="1:10" x14ac:dyDescent="0.15">
      <c r="A442" s="35"/>
      <c r="B442" s="35"/>
      <c r="C442" s="35"/>
      <c r="D442" s="35"/>
      <c r="E442" s="35"/>
      <c r="F442" s="35"/>
      <c r="G442" s="86"/>
      <c r="H442" s="35"/>
      <c r="I442" s="35"/>
      <c r="J442" s="32"/>
    </row>
    <row r="443" spans="1:10" x14ac:dyDescent="0.15">
      <c r="A443" s="35"/>
      <c r="B443" s="35"/>
      <c r="C443" s="35"/>
      <c r="D443" s="35"/>
      <c r="E443" s="35"/>
      <c r="F443" s="35"/>
      <c r="G443" s="86"/>
      <c r="H443" s="35"/>
      <c r="I443" s="35"/>
      <c r="J443" s="32"/>
    </row>
    <row r="444" spans="1:10" x14ac:dyDescent="0.15">
      <c r="A444" s="35"/>
      <c r="B444" s="35"/>
      <c r="C444" s="35"/>
      <c r="D444" s="35"/>
      <c r="E444" s="35"/>
      <c r="F444" s="35"/>
      <c r="G444" s="86"/>
      <c r="H444" s="35"/>
      <c r="I444" s="35"/>
      <c r="J444" s="32"/>
    </row>
    <row r="445" spans="1:10" x14ac:dyDescent="0.15">
      <c r="A445" s="35"/>
      <c r="B445" s="35"/>
      <c r="C445" s="35"/>
      <c r="D445" s="35"/>
      <c r="E445" s="35"/>
      <c r="F445" s="35"/>
      <c r="G445" s="86"/>
      <c r="H445" s="35"/>
      <c r="I445" s="35"/>
      <c r="J445" s="32"/>
    </row>
    <row r="446" spans="1:10" x14ac:dyDescent="0.15">
      <c r="A446" s="35"/>
      <c r="B446" s="35"/>
      <c r="C446" s="35"/>
      <c r="D446" s="35"/>
      <c r="E446" s="35"/>
      <c r="F446" s="35"/>
      <c r="G446" s="86"/>
      <c r="H446" s="35"/>
      <c r="I446" s="35"/>
      <c r="J446" s="32"/>
    </row>
    <row r="447" spans="1:10" x14ac:dyDescent="0.15">
      <c r="A447" s="35"/>
      <c r="B447" s="35"/>
      <c r="C447" s="35"/>
      <c r="D447" s="35"/>
      <c r="E447" s="35"/>
      <c r="F447" s="35"/>
      <c r="G447" s="86"/>
      <c r="H447" s="35"/>
      <c r="I447" s="35"/>
      <c r="J447" s="32"/>
    </row>
    <row r="448" spans="1:10" x14ac:dyDescent="0.15">
      <c r="A448" s="35"/>
      <c r="B448" s="35"/>
      <c r="C448" s="35"/>
      <c r="D448" s="35"/>
      <c r="E448" s="35"/>
      <c r="F448" s="35"/>
      <c r="G448" s="86"/>
      <c r="H448" s="35"/>
      <c r="I448" s="35"/>
      <c r="J448" s="32"/>
    </row>
    <row r="449" spans="1:10" x14ac:dyDescent="0.15">
      <c r="A449" s="35"/>
      <c r="B449" s="35"/>
      <c r="C449" s="35"/>
      <c r="D449" s="35"/>
      <c r="E449" s="35"/>
      <c r="F449" s="35"/>
      <c r="G449" s="86"/>
      <c r="H449" s="35"/>
      <c r="I449" s="35"/>
      <c r="J449" s="32"/>
    </row>
    <row r="450" spans="1:10" x14ac:dyDescent="0.15">
      <c r="A450" s="35"/>
      <c r="B450" s="35"/>
      <c r="C450" s="35"/>
      <c r="D450" s="35"/>
      <c r="E450" s="35"/>
      <c r="F450" s="35"/>
      <c r="G450" s="86"/>
      <c r="H450" s="35"/>
      <c r="I450" s="35"/>
      <c r="J450" s="32"/>
    </row>
    <row r="451" spans="1:10" x14ac:dyDescent="0.15">
      <c r="A451" s="35"/>
      <c r="B451" s="35"/>
      <c r="C451" s="35"/>
      <c r="D451" s="35"/>
      <c r="E451" s="35"/>
      <c r="F451" s="35"/>
      <c r="G451" s="86"/>
      <c r="H451" s="35"/>
      <c r="I451" s="35"/>
      <c r="J451" s="32"/>
    </row>
    <row r="452" spans="1:10" x14ac:dyDescent="0.15">
      <c r="A452" s="35"/>
      <c r="B452" s="35"/>
      <c r="C452" s="35"/>
      <c r="D452" s="35"/>
      <c r="E452" s="35"/>
      <c r="F452" s="35"/>
      <c r="G452" s="86"/>
      <c r="H452" s="35"/>
      <c r="I452" s="35"/>
      <c r="J452" s="32"/>
    </row>
    <row r="453" spans="1:10" x14ac:dyDescent="0.15">
      <c r="A453" s="35"/>
      <c r="B453" s="35"/>
      <c r="C453" s="35"/>
      <c r="D453" s="35"/>
      <c r="E453" s="35"/>
      <c r="F453" s="35"/>
      <c r="G453" s="86"/>
      <c r="H453" s="35"/>
      <c r="I453" s="35"/>
      <c r="J453" s="32"/>
    </row>
    <row r="454" spans="1:10" x14ac:dyDescent="0.15">
      <c r="A454" s="35"/>
      <c r="B454" s="35"/>
      <c r="C454" s="35"/>
      <c r="D454" s="35"/>
      <c r="E454" s="35"/>
      <c r="F454" s="35"/>
      <c r="G454" s="86"/>
      <c r="H454" s="35"/>
      <c r="I454" s="35"/>
      <c r="J454" s="32"/>
    </row>
    <row r="455" spans="1:10" x14ac:dyDescent="0.15">
      <c r="A455" s="35"/>
      <c r="B455" s="35"/>
      <c r="C455" s="35"/>
      <c r="D455" s="35"/>
      <c r="E455" s="35"/>
      <c r="F455" s="35"/>
      <c r="G455" s="86"/>
      <c r="H455" s="35"/>
      <c r="I455" s="35"/>
      <c r="J455" s="32"/>
    </row>
    <row r="456" spans="1:10" x14ac:dyDescent="0.15">
      <c r="A456" s="35"/>
      <c r="B456" s="35"/>
      <c r="C456" s="35"/>
      <c r="D456" s="35"/>
      <c r="E456" s="35"/>
      <c r="F456" s="35"/>
      <c r="G456" s="86"/>
      <c r="H456" s="35"/>
      <c r="I456" s="35"/>
      <c r="J456" s="32"/>
    </row>
    <row r="457" spans="1:10" x14ac:dyDescent="0.15">
      <c r="A457" s="35"/>
      <c r="B457" s="35"/>
      <c r="C457" s="35"/>
      <c r="D457" s="35"/>
      <c r="E457" s="35"/>
      <c r="F457" s="35"/>
      <c r="G457" s="86"/>
      <c r="H457" s="35"/>
      <c r="I457" s="35"/>
      <c r="J457" s="32"/>
    </row>
    <row r="458" spans="1:10" x14ac:dyDescent="0.15">
      <c r="A458" s="35"/>
      <c r="B458" s="35"/>
      <c r="C458" s="35"/>
      <c r="D458" s="35"/>
      <c r="E458" s="35"/>
      <c r="F458" s="35"/>
      <c r="G458" s="86"/>
      <c r="H458" s="35"/>
      <c r="I458" s="35"/>
      <c r="J458" s="32"/>
    </row>
    <row r="459" spans="1:10" x14ac:dyDescent="0.15">
      <c r="A459" s="35"/>
      <c r="B459" s="35"/>
      <c r="C459" s="35"/>
      <c r="D459" s="35"/>
      <c r="E459" s="35"/>
      <c r="F459" s="35"/>
      <c r="G459" s="86"/>
      <c r="H459" s="35"/>
      <c r="I459" s="35"/>
      <c r="J459" s="32"/>
    </row>
    <row r="460" spans="1:10" x14ac:dyDescent="0.15">
      <c r="A460" s="35"/>
      <c r="B460" s="35"/>
      <c r="C460" s="35"/>
      <c r="D460" s="35"/>
      <c r="E460" s="35"/>
      <c r="F460" s="35"/>
      <c r="G460" s="86"/>
      <c r="H460" s="35"/>
      <c r="I460" s="35"/>
      <c r="J460" s="32"/>
    </row>
    <row r="461" spans="1:10" x14ac:dyDescent="0.15">
      <c r="A461" s="35"/>
      <c r="B461" s="35"/>
      <c r="C461" s="35"/>
      <c r="D461" s="35"/>
      <c r="E461" s="35"/>
      <c r="F461" s="35"/>
      <c r="G461" s="86"/>
      <c r="H461" s="35"/>
      <c r="I461" s="35"/>
      <c r="J461" s="32"/>
    </row>
    <row r="462" spans="1:10" x14ac:dyDescent="0.15">
      <c r="A462" s="35"/>
      <c r="B462" s="35"/>
      <c r="C462" s="35"/>
      <c r="D462" s="35"/>
      <c r="E462" s="35"/>
      <c r="F462" s="35"/>
      <c r="G462" s="86"/>
      <c r="H462" s="35"/>
      <c r="I462" s="35"/>
      <c r="J462" s="32"/>
    </row>
    <row r="463" spans="1:10" x14ac:dyDescent="0.15">
      <c r="A463" s="35"/>
      <c r="B463" s="35"/>
      <c r="C463" s="35"/>
      <c r="D463" s="35"/>
      <c r="E463" s="35"/>
      <c r="F463" s="35"/>
      <c r="G463" s="86"/>
      <c r="H463" s="35"/>
      <c r="I463" s="35"/>
      <c r="J463" s="32"/>
    </row>
    <row r="464" spans="1:10" x14ac:dyDescent="0.15">
      <c r="A464" s="35"/>
      <c r="B464" s="35"/>
      <c r="C464" s="35"/>
      <c r="D464" s="35"/>
      <c r="E464" s="35"/>
      <c r="F464" s="35"/>
      <c r="G464" s="86"/>
      <c r="H464" s="35"/>
      <c r="I464" s="35"/>
      <c r="J464" s="32"/>
    </row>
    <row r="465" spans="1:10" x14ac:dyDescent="0.15">
      <c r="A465" s="35"/>
      <c r="B465" s="35"/>
      <c r="C465" s="35"/>
      <c r="D465" s="35"/>
      <c r="E465" s="35"/>
      <c r="F465" s="35"/>
      <c r="G465" s="86"/>
      <c r="H465" s="35"/>
      <c r="I465" s="35"/>
      <c r="J465" s="32"/>
    </row>
    <row r="466" spans="1:10" x14ac:dyDescent="0.15">
      <c r="A466" s="35"/>
      <c r="B466" s="35"/>
      <c r="C466" s="35"/>
      <c r="D466" s="35"/>
      <c r="E466" s="35"/>
      <c r="F466" s="35"/>
      <c r="G466" s="86"/>
      <c r="H466" s="35"/>
      <c r="I466" s="35"/>
      <c r="J466" s="32"/>
    </row>
    <row r="467" spans="1:10" x14ac:dyDescent="0.15">
      <c r="A467" s="35"/>
      <c r="B467" s="35"/>
      <c r="C467" s="35"/>
      <c r="D467" s="35"/>
      <c r="E467" s="35"/>
      <c r="F467" s="35"/>
      <c r="G467" s="86"/>
      <c r="H467" s="35"/>
      <c r="I467" s="35"/>
      <c r="J467" s="32"/>
    </row>
    <row r="468" spans="1:10" x14ac:dyDescent="0.15">
      <c r="A468" s="35"/>
      <c r="B468" s="35"/>
      <c r="C468" s="35"/>
      <c r="D468" s="35"/>
      <c r="E468" s="35"/>
      <c r="F468" s="35"/>
      <c r="G468" s="86"/>
      <c r="H468" s="35"/>
      <c r="I468" s="35"/>
      <c r="J468" s="32"/>
    </row>
    <row r="469" spans="1:10" x14ac:dyDescent="0.15">
      <c r="A469" s="35"/>
      <c r="B469" s="35"/>
      <c r="C469" s="35"/>
      <c r="D469" s="35"/>
      <c r="E469" s="35"/>
      <c r="F469" s="35"/>
      <c r="G469" s="86"/>
      <c r="H469" s="35"/>
      <c r="I469" s="35"/>
      <c r="J469" s="32"/>
    </row>
    <row r="470" spans="1:10" x14ac:dyDescent="0.15">
      <c r="A470" s="35"/>
      <c r="B470" s="35"/>
      <c r="C470" s="35"/>
      <c r="D470" s="35"/>
      <c r="E470" s="35"/>
      <c r="F470" s="35"/>
      <c r="G470" s="86"/>
      <c r="H470" s="35"/>
      <c r="I470" s="35"/>
      <c r="J470" s="32"/>
    </row>
    <row r="471" spans="1:10" x14ac:dyDescent="0.15">
      <c r="A471" s="35"/>
      <c r="B471" s="35"/>
      <c r="C471" s="35"/>
      <c r="D471" s="35"/>
      <c r="E471" s="35"/>
      <c r="F471" s="35"/>
      <c r="G471" s="86"/>
      <c r="H471" s="35"/>
      <c r="I471" s="35"/>
      <c r="J471" s="32"/>
    </row>
    <row r="472" spans="1:10" x14ac:dyDescent="0.15">
      <c r="A472" s="35"/>
      <c r="B472" s="35"/>
      <c r="C472" s="35"/>
      <c r="D472" s="35"/>
      <c r="E472" s="35"/>
      <c r="F472" s="35"/>
      <c r="G472" s="86"/>
      <c r="H472" s="35"/>
      <c r="I472" s="35"/>
      <c r="J472" s="32"/>
    </row>
    <row r="473" spans="1:10" x14ac:dyDescent="0.15">
      <c r="A473" s="35"/>
      <c r="B473" s="35"/>
      <c r="C473" s="35"/>
      <c r="D473" s="35"/>
      <c r="E473" s="35"/>
      <c r="F473" s="35"/>
      <c r="G473" s="86"/>
      <c r="H473" s="35"/>
      <c r="I473" s="35"/>
      <c r="J473" s="32"/>
    </row>
    <row r="474" spans="1:10" x14ac:dyDescent="0.15">
      <c r="A474" s="35"/>
      <c r="B474" s="35"/>
      <c r="C474" s="35"/>
      <c r="D474" s="35"/>
      <c r="E474" s="35"/>
      <c r="F474" s="35"/>
      <c r="G474" s="86"/>
      <c r="H474" s="35"/>
      <c r="I474" s="35"/>
      <c r="J474" s="32"/>
    </row>
    <row r="475" spans="1:10" x14ac:dyDescent="0.15">
      <c r="A475" s="35"/>
      <c r="B475" s="35"/>
      <c r="C475" s="35"/>
      <c r="D475" s="35"/>
      <c r="E475" s="35"/>
      <c r="F475" s="35"/>
      <c r="G475" s="86"/>
      <c r="H475" s="35"/>
      <c r="I475" s="35"/>
      <c r="J475" s="32"/>
    </row>
    <row r="476" spans="1:10" x14ac:dyDescent="0.15">
      <c r="A476" s="35"/>
      <c r="B476" s="35"/>
      <c r="C476" s="35"/>
      <c r="D476" s="35"/>
      <c r="E476" s="35"/>
      <c r="F476" s="35"/>
      <c r="G476" s="86"/>
      <c r="H476" s="35"/>
      <c r="I476" s="35"/>
      <c r="J476" s="32"/>
    </row>
    <row r="477" spans="1:10" x14ac:dyDescent="0.15">
      <c r="A477" s="35"/>
      <c r="B477" s="35"/>
      <c r="C477" s="35"/>
      <c r="D477" s="35"/>
      <c r="E477" s="35"/>
      <c r="F477" s="35"/>
      <c r="G477" s="86"/>
      <c r="H477" s="35"/>
      <c r="I477" s="35"/>
      <c r="J477" s="32"/>
    </row>
    <row r="478" spans="1:10" x14ac:dyDescent="0.15">
      <c r="A478" s="35"/>
      <c r="B478" s="35"/>
      <c r="C478" s="35"/>
      <c r="D478" s="35"/>
      <c r="E478" s="35"/>
      <c r="F478" s="35"/>
      <c r="G478" s="86"/>
      <c r="H478" s="35"/>
      <c r="I478" s="35"/>
      <c r="J478" s="32"/>
    </row>
    <row r="479" spans="1:10" x14ac:dyDescent="0.15">
      <c r="A479" s="35"/>
      <c r="B479" s="35"/>
      <c r="C479" s="35"/>
      <c r="D479" s="35"/>
      <c r="E479" s="35"/>
      <c r="F479" s="35"/>
      <c r="G479" s="86"/>
      <c r="H479" s="35"/>
      <c r="I479" s="35"/>
      <c r="J479" s="32"/>
    </row>
    <row r="480" spans="1:10" x14ac:dyDescent="0.15">
      <c r="A480" s="35"/>
      <c r="B480" s="35"/>
      <c r="C480" s="35"/>
      <c r="D480" s="35"/>
      <c r="E480" s="35"/>
      <c r="F480" s="35"/>
      <c r="G480" s="86"/>
      <c r="H480" s="35"/>
      <c r="I480" s="35"/>
      <c r="J480" s="32"/>
    </row>
    <row r="481" spans="1:10" x14ac:dyDescent="0.15">
      <c r="A481" s="35"/>
      <c r="B481" s="35"/>
      <c r="C481" s="35"/>
      <c r="D481" s="35"/>
      <c r="E481" s="35"/>
      <c r="F481" s="35"/>
      <c r="G481" s="86"/>
      <c r="H481" s="35"/>
      <c r="I481" s="35"/>
      <c r="J481" s="32"/>
    </row>
    <row r="482" spans="1:10" x14ac:dyDescent="0.15">
      <c r="A482" s="35"/>
      <c r="B482" s="35"/>
      <c r="C482" s="35"/>
      <c r="D482" s="35"/>
      <c r="E482" s="35"/>
      <c r="F482" s="35"/>
      <c r="G482" s="86"/>
      <c r="H482" s="35"/>
      <c r="I482" s="35"/>
      <c r="J482" s="32"/>
    </row>
    <row r="483" spans="1:10" x14ac:dyDescent="0.15">
      <c r="A483" s="35"/>
      <c r="B483" s="35"/>
      <c r="C483" s="35"/>
      <c r="D483" s="35"/>
      <c r="E483" s="35"/>
      <c r="F483" s="35"/>
      <c r="G483" s="86"/>
      <c r="H483" s="35"/>
      <c r="I483" s="35"/>
      <c r="J483" s="32"/>
    </row>
    <row r="484" spans="1:10" x14ac:dyDescent="0.15">
      <c r="A484" s="35"/>
      <c r="B484" s="35"/>
      <c r="C484" s="35"/>
      <c r="D484" s="35"/>
      <c r="E484" s="35"/>
      <c r="F484" s="35"/>
      <c r="G484" s="86"/>
      <c r="H484" s="35"/>
      <c r="I484" s="35"/>
      <c r="J484" s="32"/>
    </row>
    <row r="485" spans="1:10" x14ac:dyDescent="0.15">
      <c r="A485" s="35"/>
      <c r="B485" s="35"/>
      <c r="C485" s="35"/>
      <c r="D485" s="35"/>
      <c r="E485" s="35"/>
      <c r="F485" s="35"/>
      <c r="G485" s="86"/>
      <c r="H485" s="35"/>
      <c r="I485" s="35"/>
      <c r="J485" s="32"/>
    </row>
    <row r="486" spans="1:10" x14ac:dyDescent="0.15">
      <c r="A486" s="35"/>
      <c r="B486" s="35"/>
      <c r="C486" s="35"/>
      <c r="D486" s="35"/>
      <c r="E486" s="35"/>
      <c r="F486" s="35"/>
      <c r="G486" s="86"/>
      <c r="H486" s="35"/>
      <c r="I486" s="35"/>
      <c r="J486" s="32"/>
    </row>
    <row r="487" spans="1:10" x14ac:dyDescent="0.15">
      <c r="A487" s="35"/>
      <c r="B487" s="35"/>
      <c r="C487" s="35"/>
      <c r="D487" s="35"/>
      <c r="E487" s="35"/>
      <c r="F487" s="35"/>
      <c r="G487" s="86"/>
      <c r="H487" s="35"/>
      <c r="I487" s="35"/>
      <c r="J487" s="32"/>
    </row>
    <row r="488" spans="1:10" x14ac:dyDescent="0.15">
      <c r="A488" s="35"/>
      <c r="B488" s="35"/>
      <c r="C488" s="35"/>
      <c r="D488" s="35"/>
      <c r="E488" s="35"/>
      <c r="F488" s="35"/>
      <c r="G488" s="86"/>
      <c r="H488" s="35"/>
      <c r="I488" s="35"/>
      <c r="J488" s="32"/>
    </row>
    <row r="489" spans="1:10" x14ac:dyDescent="0.15">
      <c r="A489" s="35"/>
      <c r="B489" s="35"/>
      <c r="C489" s="35"/>
      <c r="D489" s="35"/>
      <c r="E489" s="35"/>
      <c r="F489" s="35"/>
      <c r="G489" s="86"/>
      <c r="H489" s="35"/>
      <c r="I489" s="35"/>
      <c r="J489" s="32"/>
    </row>
    <row r="490" spans="1:10" x14ac:dyDescent="0.15">
      <c r="A490" s="35"/>
      <c r="B490" s="35"/>
      <c r="C490" s="35"/>
      <c r="D490" s="35"/>
      <c r="E490" s="35"/>
      <c r="F490" s="35"/>
      <c r="G490" s="86"/>
      <c r="H490" s="35"/>
      <c r="I490" s="35"/>
      <c r="J490" s="32"/>
    </row>
    <row r="491" spans="1:10" x14ac:dyDescent="0.15">
      <c r="A491" s="35"/>
      <c r="B491" s="35"/>
      <c r="C491" s="35"/>
      <c r="D491" s="35"/>
      <c r="E491" s="35"/>
      <c r="F491" s="35"/>
      <c r="G491" s="86"/>
      <c r="H491" s="35"/>
      <c r="I491" s="35"/>
      <c r="J491" s="32"/>
    </row>
    <row r="492" spans="1:10" x14ac:dyDescent="0.15">
      <c r="A492" s="35"/>
      <c r="B492" s="35"/>
      <c r="C492" s="35"/>
      <c r="D492" s="35"/>
      <c r="E492" s="35"/>
      <c r="F492" s="35"/>
      <c r="G492" s="86"/>
      <c r="H492" s="35"/>
      <c r="I492" s="35"/>
      <c r="J492" s="32"/>
    </row>
    <row r="493" spans="1:10" x14ac:dyDescent="0.15">
      <c r="A493" s="35"/>
      <c r="B493" s="35"/>
      <c r="C493" s="35"/>
      <c r="D493" s="35"/>
      <c r="E493" s="35"/>
      <c r="F493" s="35"/>
      <c r="G493" s="86"/>
      <c r="H493" s="35"/>
      <c r="I493" s="35"/>
      <c r="J493" s="32"/>
    </row>
    <row r="494" spans="1:10" x14ac:dyDescent="0.15">
      <c r="A494" s="35"/>
      <c r="B494" s="35"/>
      <c r="C494" s="35"/>
      <c r="D494" s="35"/>
      <c r="E494" s="35"/>
      <c r="F494" s="35"/>
      <c r="G494" s="86"/>
      <c r="H494" s="35"/>
      <c r="I494" s="35"/>
      <c r="J494" s="32"/>
    </row>
    <row r="495" spans="1:10" x14ac:dyDescent="0.15">
      <c r="A495" s="35"/>
      <c r="B495" s="35"/>
      <c r="C495" s="35"/>
      <c r="D495" s="35"/>
      <c r="E495" s="35"/>
      <c r="F495" s="35"/>
      <c r="G495" s="86"/>
      <c r="H495" s="35"/>
      <c r="I495" s="35"/>
      <c r="J495" s="32"/>
    </row>
    <row r="496" spans="1:10" x14ac:dyDescent="0.15">
      <c r="A496" s="35"/>
      <c r="B496" s="35"/>
      <c r="C496" s="35"/>
      <c r="D496" s="35"/>
      <c r="E496" s="35"/>
      <c r="F496" s="35"/>
      <c r="G496" s="86"/>
      <c r="H496" s="35"/>
      <c r="I496" s="35"/>
      <c r="J496" s="32"/>
    </row>
    <row r="497" spans="1:10" x14ac:dyDescent="0.15">
      <c r="A497" s="35"/>
      <c r="B497" s="35"/>
      <c r="C497" s="35"/>
      <c r="D497" s="35"/>
      <c r="E497" s="35"/>
      <c r="F497" s="35"/>
      <c r="G497" s="86"/>
      <c r="H497" s="35"/>
      <c r="I497" s="35"/>
      <c r="J497" s="32"/>
    </row>
    <row r="498" spans="1:10" x14ac:dyDescent="0.15">
      <c r="A498" s="35"/>
      <c r="B498" s="35"/>
      <c r="C498" s="35"/>
      <c r="D498" s="35"/>
      <c r="E498" s="35"/>
      <c r="F498" s="35"/>
      <c r="G498" s="86"/>
      <c r="H498" s="35"/>
      <c r="I498" s="35"/>
      <c r="J498" s="32"/>
    </row>
    <row r="499" spans="1:10" x14ac:dyDescent="0.15">
      <c r="A499" s="35"/>
      <c r="B499" s="35"/>
      <c r="C499" s="35"/>
      <c r="D499" s="35"/>
      <c r="E499" s="35"/>
      <c r="F499" s="35"/>
      <c r="G499" s="86"/>
      <c r="H499" s="35"/>
      <c r="I499" s="35"/>
      <c r="J499" s="32"/>
    </row>
    <row r="500" spans="1:10" x14ac:dyDescent="0.15">
      <c r="A500" s="35"/>
      <c r="B500" s="35"/>
      <c r="C500" s="35"/>
      <c r="D500" s="35"/>
      <c r="E500" s="35"/>
      <c r="F500" s="35"/>
      <c r="G500" s="86"/>
      <c r="H500" s="35"/>
      <c r="I500" s="35"/>
      <c r="J500" s="32"/>
    </row>
    <row r="501" spans="1:10" x14ac:dyDescent="0.15">
      <c r="A501" s="35"/>
      <c r="B501" s="35"/>
      <c r="C501" s="35"/>
      <c r="D501" s="35"/>
      <c r="E501" s="35"/>
      <c r="F501" s="35"/>
      <c r="G501" s="86"/>
      <c r="H501" s="35"/>
      <c r="I501" s="35"/>
      <c r="J501" s="32"/>
    </row>
    <row r="502" spans="1:10" x14ac:dyDescent="0.15">
      <c r="A502" s="35"/>
      <c r="B502" s="35"/>
      <c r="C502" s="35"/>
      <c r="D502" s="35"/>
      <c r="E502" s="35"/>
      <c r="F502" s="35"/>
      <c r="G502" s="86"/>
      <c r="H502" s="35"/>
      <c r="I502" s="35"/>
      <c r="J502" s="32"/>
    </row>
    <row r="503" spans="1:10" x14ac:dyDescent="0.15">
      <c r="A503" s="35"/>
      <c r="B503" s="35"/>
      <c r="C503" s="35"/>
      <c r="D503" s="35"/>
      <c r="E503" s="35"/>
      <c r="F503" s="35"/>
      <c r="G503" s="86"/>
      <c r="H503" s="35"/>
      <c r="I503" s="35"/>
      <c r="J503" s="32"/>
    </row>
    <row r="504" spans="1:10" x14ac:dyDescent="0.15">
      <c r="A504" s="35"/>
      <c r="B504" s="35"/>
      <c r="C504" s="35"/>
      <c r="D504" s="35"/>
      <c r="E504" s="35"/>
      <c r="F504" s="35"/>
      <c r="G504" s="86"/>
      <c r="H504" s="35"/>
      <c r="I504" s="35"/>
      <c r="J504" s="32"/>
    </row>
    <row r="505" spans="1:10" x14ac:dyDescent="0.15">
      <c r="A505" s="35"/>
      <c r="B505" s="35"/>
      <c r="C505" s="35"/>
      <c r="D505" s="35"/>
      <c r="E505" s="35"/>
      <c r="F505" s="35"/>
      <c r="G505" s="86"/>
      <c r="H505" s="35"/>
      <c r="I505" s="35"/>
      <c r="J505" s="32"/>
    </row>
    <row r="506" spans="1:10" x14ac:dyDescent="0.15">
      <c r="A506" s="35"/>
      <c r="B506" s="35"/>
      <c r="C506" s="35"/>
      <c r="D506" s="35"/>
      <c r="E506" s="35"/>
      <c r="F506" s="35"/>
      <c r="G506" s="86"/>
      <c r="H506" s="35"/>
      <c r="I506" s="35"/>
      <c r="J506" s="32"/>
    </row>
    <row r="507" spans="1:10" x14ac:dyDescent="0.15">
      <c r="A507" s="35"/>
      <c r="B507" s="35"/>
      <c r="C507" s="35"/>
      <c r="D507" s="35"/>
      <c r="E507" s="35"/>
      <c r="F507" s="35"/>
      <c r="G507" s="86"/>
      <c r="H507" s="35"/>
      <c r="I507" s="35"/>
      <c r="J507" s="32"/>
    </row>
    <row r="508" spans="1:10" x14ac:dyDescent="0.15">
      <c r="A508" s="35"/>
      <c r="B508" s="35"/>
      <c r="C508" s="35"/>
      <c r="D508" s="35"/>
      <c r="E508" s="35"/>
      <c r="F508" s="35"/>
      <c r="G508" s="86"/>
      <c r="H508" s="35"/>
      <c r="I508" s="35"/>
      <c r="J508" s="32"/>
    </row>
    <row r="509" spans="1:10" x14ac:dyDescent="0.15">
      <c r="A509" s="35"/>
      <c r="B509" s="35"/>
      <c r="C509" s="35"/>
      <c r="D509" s="35"/>
      <c r="E509" s="35"/>
      <c r="F509" s="35"/>
      <c r="G509" s="86"/>
      <c r="H509" s="35"/>
      <c r="I509" s="35"/>
      <c r="J509" s="32"/>
    </row>
    <row r="510" spans="1:10" x14ac:dyDescent="0.15">
      <c r="A510" s="35"/>
      <c r="B510" s="35"/>
      <c r="C510" s="35"/>
      <c r="D510" s="35"/>
      <c r="E510" s="35"/>
      <c r="F510" s="35"/>
      <c r="G510" s="86"/>
      <c r="H510" s="35"/>
      <c r="I510" s="35"/>
      <c r="J510" s="32"/>
    </row>
    <row r="511" spans="1:10" x14ac:dyDescent="0.15">
      <c r="A511" s="35"/>
      <c r="B511" s="35"/>
      <c r="C511" s="35"/>
      <c r="D511" s="35"/>
      <c r="E511" s="35"/>
      <c r="F511" s="35"/>
      <c r="G511" s="86"/>
      <c r="H511" s="35"/>
      <c r="I511" s="35"/>
      <c r="J511" s="32"/>
    </row>
    <row r="512" spans="1:10" x14ac:dyDescent="0.15">
      <c r="A512" s="35"/>
      <c r="B512" s="35"/>
      <c r="C512" s="35"/>
      <c r="D512" s="35"/>
      <c r="E512" s="35"/>
      <c r="F512" s="35"/>
      <c r="G512" s="86"/>
      <c r="H512" s="35"/>
      <c r="I512" s="35"/>
      <c r="J512" s="32"/>
    </row>
    <row r="513" spans="1:10" x14ac:dyDescent="0.15">
      <c r="A513" s="35"/>
      <c r="B513" s="35"/>
      <c r="C513" s="35"/>
      <c r="D513" s="35"/>
      <c r="E513" s="35"/>
      <c r="F513" s="35"/>
      <c r="G513" s="86"/>
      <c r="H513" s="35"/>
      <c r="I513" s="35"/>
      <c r="J513" s="32"/>
    </row>
    <row r="514" spans="1:10" x14ac:dyDescent="0.15">
      <c r="A514" s="35"/>
      <c r="B514" s="35"/>
      <c r="C514" s="35"/>
      <c r="D514" s="35"/>
      <c r="E514" s="35"/>
      <c r="F514" s="35"/>
      <c r="G514" s="86"/>
      <c r="H514" s="35"/>
      <c r="I514" s="35"/>
      <c r="J514" s="32"/>
    </row>
    <row r="515" spans="1:10" x14ac:dyDescent="0.15">
      <c r="A515" s="35"/>
      <c r="B515" s="35"/>
      <c r="C515" s="35"/>
      <c r="D515" s="35"/>
      <c r="E515" s="35"/>
      <c r="F515" s="35"/>
      <c r="G515" s="86"/>
      <c r="H515" s="35"/>
      <c r="I515" s="35"/>
      <c r="J515" s="32"/>
    </row>
    <row r="516" spans="1:10" x14ac:dyDescent="0.15">
      <c r="A516" s="35"/>
      <c r="B516" s="35"/>
      <c r="C516" s="35"/>
      <c r="D516" s="35"/>
      <c r="E516" s="35"/>
      <c r="F516" s="35"/>
      <c r="G516" s="86"/>
      <c r="H516" s="35"/>
      <c r="I516" s="35"/>
      <c r="J516" s="32"/>
    </row>
    <row r="517" spans="1:10" x14ac:dyDescent="0.15">
      <c r="A517" s="35"/>
      <c r="B517" s="35"/>
      <c r="C517" s="35"/>
      <c r="D517" s="35"/>
      <c r="E517" s="35"/>
      <c r="F517" s="35"/>
      <c r="G517" s="86"/>
      <c r="H517" s="35"/>
      <c r="I517" s="35"/>
      <c r="J517" s="32"/>
    </row>
    <row r="518" spans="1:10" x14ac:dyDescent="0.15">
      <c r="A518" s="35"/>
      <c r="B518" s="35"/>
      <c r="C518" s="35"/>
      <c r="D518" s="35"/>
      <c r="E518" s="35"/>
      <c r="F518" s="35"/>
      <c r="G518" s="86"/>
      <c r="H518" s="35"/>
      <c r="I518" s="35"/>
      <c r="J518" s="32"/>
    </row>
    <row r="519" spans="1:10" x14ac:dyDescent="0.15">
      <c r="A519" s="35"/>
      <c r="B519" s="35"/>
      <c r="C519" s="35"/>
      <c r="D519" s="35"/>
      <c r="E519" s="35"/>
      <c r="F519" s="35"/>
      <c r="G519" s="86"/>
      <c r="H519" s="35"/>
      <c r="I519" s="35"/>
      <c r="J519" s="32"/>
    </row>
    <row r="520" spans="1:10" x14ac:dyDescent="0.15">
      <c r="A520" s="35"/>
      <c r="B520" s="35"/>
      <c r="C520" s="35"/>
      <c r="D520" s="35"/>
      <c r="E520" s="35"/>
      <c r="F520" s="35"/>
      <c r="G520" s="86"/>
      <c r="H520" s="35"/>
      <c r="I520" s="35"/>
      <c r="J520" s="32"/>
    </row>
    <row r="521" spans="1:10" x14ac:dyDescent="0.15">
      <c r="A521" s="35"/>
      <c r="B521" s="35"/>
      <c r="C521" s="35"/>
      <c r="D521" s="35"/>
      <c r="E521" s="35"/>
      <c r="F521" s="35"/>
      <c r="G521" s="86"/>
      <c r="H521" s="35"/>
      <c r="I521" s="35"/>
      <c r="J521" s="32"/>
    </row>
    <row r="522" spans="1:10" x14ac:dyDescent="0.15">
      <c r="A522" s="35"/>
      <c r="B522" s="35"/>
      <c r="C522" s="35"/>
      <c r="D522" s="35"/>
      <c r="E522" s="35"/>
      <c r="F522" s="35"/>
      <c r="G522" s="86"/>
      <c r="H522" s="35"/>
      <c r="I522" s="35"/>
      <c r="J522" s="32"/>
    </row>
    <row r="523" spans="1:10" x14ac:dyDescent="0.15">
      <c r="A523" s="35"/>
      <c r="B523" s="35"/>
      <c r="C523" s="35"/>
      <c r="D523" s="35"/>
      <c r="E523" s="35"/>
      <c r="F523" s="35"/>
      <c r="G523" s="86"/>
      <c r="H523" s="35"/>
      <c r="I523" s="35"/>
      <c r="J523" s="32"/>
    </row>
    <row r="524" spans="1:10" x14ac:dyDescent="0.15">
      <c r="A524" s="35"/>
      <c r="B524" s="35"/>
      <c r="C524" s="35"/>
      <c r="D524" s="35"/>
      <c r="E524" s="35"/>
      <c r="F524" s="35"/>
      <c r="G524" s="86"/>
      <c r="H524" s="35"/>
      <c r="I524" s="35"/>
      <c r="J524" s="32"/>
    </row>
    <row r="525" spans="1:10" x14ac:dyDescent="0.15">
      <c r="A525" s="35"/>
      <c r="B525" s="35"/>
      <c r="C525" s="35"/>
      <c r="D525" s="35"/>
      <c r="E525" s="35"/>
      <c r="F525" s="35"/>
      <c r="G525" s="86"/>
      <c r="H525" s="35"/>
      <c r="I525" s="35"/>
      <c r="J525" s="32"/>
    </row>
    <row r="526" spans="1:10" x14ac:dyDescent="0.15">
      <c r="A526" s="35"/>
      <c r="B526" s="35"/>
      <c r="C526" s="35"/>
      <c r="D526" s="35"/>
      <c r="E526" s="35"/>
      <c r="F526" s="35"/>
      <c r="G526" s="86"/>
      <c r="H526" s="35"/>
      <c r="I526" s="35"/>
      <c r="J526" s="32"/>
    </row>
    <row r="527" spans="1:10" x14ac:dyDescent="0.15">
      <c r="A527" s="35"/>
      <c r="B527" s="35"/>
      <c r="C527" s="35"/>
      <c r="D527" s="35"/>
      <c r="E527" s="35"/>
      <c r="F527" s="35"/>
      <c r="G527" s="86"/>
      <c r="H527" s="35"/>
      <c r="I527" s="35"/>
      <c r="J527" s="32"/>
    </row>
    <row r="528" spans="1:10" x14ac:dyDescent="0.15">
      <c r="A528" s="35"/>
      <c r="B528" s="35"/>
      <c r="C528" s="35"/>
      <c r="D528" s="35"/>
      <c r="E528" s="35"/>
      <c r="F528" s="35"/>
      <c r="G528" s="86"/>
      <c r="H528" s="35"/>
      <c r="I528" s="35"/>
      <c r="J528" s="32"/>
    </row>
    <row r="529" spans="1:10" x14ac:dyDescent="0.15">
      <c r="A529" s="35"/>
      <c r="B529" s="35"/>
      <c r="C529" s="35"/>
      <c r="D529" s="35"/>
      <c r="E529" s="35"/>
      <c r="F529" s="35"/>
      <c r="G529" s="86"/>
      <c r="H529" s="35"/>
      <c r="I529" s="35"/>
      <c r="J529" s="32"/>
    </row>
    <row r="530" spans="1:10" x14ac:dyDescent="0.15">
      <c r="A530" s="35"/>
      <c r="B530" s="35"/>
      <c r="C530" s="35"/>
      <c r="D530" s="35"/>
      <c r="E530" s="35"/>
      <c r="F530" s="35"/>
      <c r="G530" s="86"/>
      <c r="H530" s="35"/>
      <c r="I530" s="35"/>
      <c r="J530" s="32"/>
    </row>
    <row r="531" spans="1:10" x14ac:dyDescent="0.15">
      <c r="A531" s="35"/>
      <c r="B531" s="35"/>
      <c r="C531" s="35"/>
      <c r="D531" s="35"/>
      <c r="E531" s="35"/>
      <c r="F531" s="35"/>
      <c r="G531" s="86"/>
      <c r="H531" s="35"/>
      <c r="I531" s="35"/>
      <c r="J531" s="32"/>
    </row>
    <row r="532" spans="1:10" x14ac:dyDescent="0.15">
      <c r="A532" s="35"/>
      <c r="B532" s="35"/>
      <c r="C532" s="35"/>
      <c r="D532" s="35"/>
      <c r="E532" s="35"/>
      <c r="F532" s="35"/>
      <c r="G532" s="86"/>
      <c r="H532" s="35"/>
      <c r="I532" s="35"/>
      <c r="J532" s="32"/>
    </row>
    <row r="533" spans="1:10" x14ac:dyDescent="0.15">
      <c r="A533" s="35"/>
      <c r="B533" s="35"/>
      <c r="C533" s="35"/>
      <c r="D533" s="35"/>
      <c r="E533" s="35"/>
      <c r="F533" s="35"/>
      <c r="G533" s="86"/>
      <c r="H533" s="35"/>
      <c r="I533" s="35"/>
      <c r="J533" s="32"/>
    </row>
    <row r="534" spans="1:10" x14ac:dyDescent="0.15">
      <c r="A534" s="35"/>
      <c r="B534" s="35"/>
      <c r="C534" s="35"/>
      <c r="D534" s="35"/>
      <c r="E534" s="35"/>
      <c r="F534" s="35"/>
      <c r="G534" s="86"/>
      <c r="H534" s="35"/>
      <c r="I534" s="35"/>
      <c r="J534" s="32"/>
    </row>
    <row r="535" spans="1:10" x14ac:dyDescent="0.15">
      <c r="A535" s="35"/>
      <c r="B535" s="35"/>
      <c r="C535" s="35"/>
      <c r="D535" s="35"/>
      <c r="E535" s="35"/>
      <c r="F535" s="35"/>
      <c r="G535" s="86"/>
      <c r="H535" s="35"/>
      <c r="I535" s="35"/>
      <c r="J535" s="32"/>
    </row>
    <row r="536" spans="1:10" x14ac:dyDescent="0.15">
      <c r="A536" s="35"/>
      <c r="B536" s="35"/>
      <c r="C536" s="35"/>
      <c r="D536" s="35"/>
      <c r="E536" s="35"/>
      <c r="F536" s="35"/>
      <c r="G536" s="86"/>
      <c r="H536" s="35"/>
      <c r="I536" s="35"/>
      <c r="J536" s="32"/>
    </row>
    <row r="537" spans="1:10" x14ac:dyDescent="0.15">
      <c r="A537" s="35"/>
      <c r="B537" s="35"/>
      <c r="C537" s="35"/>
      <c r="D537" s="35"/>
      <c r="E537" s="35"/>
      <c r="F537" s="35"/>
      <c r="G537" s="86"/>
      <c r="H537" s="35"/>
      <c r="I537" s="35"/>
      <c r="J537" s="32"/>
    </row>
    <row r="538" spans="1:10" x14ac:dyDescent="0.15">
      <c r="A538" s="35"/>
      <c r="B538" s="35"/>
      <c r="C538" s="35"/>
      <c r="D538" s="35"/>
      <c r="E538" s="35"/>
      <c r="F538" s="35"/>
      <c r="G538" s="86"/>
      <c r="H538" s="35"/>
      <c r="I538" s="35"/>
      <c r="J538" s="32"/>
    </row>
    <row r="539" spans="1:10" x14ac:dyDescent="0.15">
      <c r="A539" s="35"/>
      <c r="B539" s="35"/>
      <c r="C539" s="35"/>
      <c r="D539" s="35"/>
      <c r="E539" s="35"/>
      <c r="F539" s="35"/>
      <c r="G539" s="86"/>
      <c r="H539" s="35"/>
      <c r="I539" s="35"/>
      <c r="J539" s="32"/>
    </row>
    <row r="540" spans="1:10" x14ac:dyDescent="0.15">
      <c r="A540" s="35"/>
      <c r="B540" s="35"/>
      <c r="C540" s="35"/>
      <c r="D540" s="35"/>
      <c r="E540" s="35"/>
      <c r="F540" s="35"/>
      <c r="G540" s="86"/>
      <c r="H540" s="35"/>
      <c r="I540" s="35"/>
      <c r="J540" s="32"/>
    </row>
    <row r="541" spans="1:10" x14ac:dyDescent="0.15">
      <c r="A541" s="35"/>
      <c r="B541" s="35"/>
      <c r="C541" s="35"/>
      <c r="D541" s="35"/>
      <c r="E541" s="35"/>
      <c r="F541" s="35"/>
      <c r="G541" s="86"/>
      <c r="H541" s="35"/>
      <c r="I541" s="35"/>
      <c r="J541" s="32"/>
    </row>
    <row r="542" spans="1:10" x14ac:dyDescent="0.15">
      <c r="A542" s="35"/>
      <c r="B542" s="35"/>
      <c r="C542" s="35"/>
      <c r="D542" s="35"/>
      <c r="E542" s="35"/>
      <c r="F542" s="35"/>
      <c r="G542" s="86"/>
      <c r="H542" s="35"/>
      <c r="I542" s="35"/>
      <c r="J542" s="32"/>
    </row>
    <row r="543" spans="1:10" x14ac:dyDescent="0.15">
      <c r="A543" s="35"/>
      <c r="B543" s="35"/>
      <c r="C543" s="35"/>
      <c r="D543" s="35"/>
      <c r="E543" s="35"/>
      <c r="F543" s="35"/>
      <c r="G543" s="86"/>
      <c r="H543" s="35"/>
      <c r="I543" s="35"/>
      <c r="J543" s="32"/>
    </row>
    <row r="544" spans="1:10" x14ac:dyDescent="0.15">
      <c r="A544" s="35"/>
      <c r="B544" s="35"/>
      <c r="C544" s="35"/>
      <c r="D544" s="35"/>
      <c r="E544" s="35"/>
      <c r="F544" s="35"/>
      <c r="G544" s="86"/>
      <c r="H544" s="35"/>
      <c r="I544" s="35"/>
      <c r="J544" s="32"/>
    </row>
    <row r="545" spans="1:10" x14ac:dyDescent="0.15">
      <c r="A545" s="35"/>
      <c r="B545" s="35"/>
      <c r="C545" s="35"/>
      <c r="D545" s="35"/>
      <c r="E545" s="35"/>
      <c r="F545" s="35"/>
      <c r="G545" s="86"/>
      <c r="H545" s="35"/>
      <c r="I545" s="35"/>
      <c r="J545" s="32"/>
    </row>
    <row r="546" spans="1:10" x14ac:dyDescent="0.15">
      <c r="A546" s="35"/>
      <c r="B546" s="35"/>
      <c r="C546" s="35"/>
      <c r="D546" s="35"/>
      <c r="E546" s="35"/>
      <c r="F546" s="35"/>
      <c r="G546" s="86"/>
      <c r="H546" s="35"/>
      <c r="I546" s="35"/>
      <c r="J546" s="32"/>
    </row>
    <row r="547" spans="1:10" x14ac:dyDescent="0.15">
      <c r="A547" s="35"/>
      <c r="B547" s="35"/>
      <c r="C547" s="35"/>
      <c r="D547" s="35"/>
      <c r="E547" s="35"/>
      <c r="F547" s="35"/>
      <c r="G547" s="86"/>
      <c r="H547" s="35"/>
      <c r="I547" s="35"/>
      <c r="J547" s="32"/>
    </row>
    <row r="548" spans="1:10" x14ac:dyDescent="0.15">
      <c r="A548" s="35"/>
      <c r="B548" s="35"/>
      <c r="C548" s="35"/>
      <c r="D548" s="35"/>
      <c r="E548" s="35"/>
      <c r="F548" s="35"/>
      <c r="G548" s="86"/>
      <c r="H548" s="35"/>
      <c r="I548" s="35"/>
      <c r="J548" s="32"/>
    </row>
    <row r="549" spans="1:10" x14ac:dyDescent="0.15">
      <c r="A549" s="35"/>
      <c r="B549" s="35"/>
      <c r="C549" s="35"/>
      <c r="D549" s="35"/>
      <c r="E549" s="35"/>
      <c r="F549" s="35"/>
      <c r="G549" s="86"/>
      <c r="H549" s="35"/>
      <c r="I549" s="35"/>
      <c r="J549" s="32"/>
    </row>
    <row r="550" spans="1:10" x14ac:dyDescent="0.15">
      <c r="A550" s="35"/>
      <c r="B550" s="35"/>
      <c r="C550" s="35"/>
      <c r="D550" s="35"/>
      <c r="E550" s="35"/>
      <c r="F550" s="35"/>
      <c r="G550" s="86"/>
      <c r="H550" s="35"/>
      <c r="I550" s="35"/>
      <c r="J550" s="32"/>
    </row>
    <row r="551" spans="1:10" x14ac:dyDescent="0.15">
      <c r="A551" s="35"/>
      <c r="B551" s="35"/>
      <c r="C551" s="35"/>
      <c r="D551" s="35"/>
      <c r="E551" s="35"/>
      <c r="F551" s="35"/>
      <c r="G551" s="86"/>
      <c r="H551" s="35"/>
      <c r="I551" s="35"/>
      <c r="J551" s="32"/>
    </row>
    <row r="552" spans="1:10" x14ac:dyDescent="0.15">
      <c r="A552" s="35"/>
      <c r="B552" s="35"/>
      <c r="C552" s="35"/>
      <c r="D552" s="35"/>
      <c r="E552" s="35"/>
      <c r="F552" s="35"/>
      <c r="G552" s="86"/>
      <c r="H552" s="35"/>
      <c r="I552" s="35"/>
      <c r="J552" s="32"/>
    </row>
    <row r="553" spans="1:10" x14ac:dyDescent="0.15">
      <c r="A553" s="35"/>
      <c r="B553" s="35"/>
      <c r="C553" s="35"/>
      <c r="D553" s="35"/>
      <c r="E553" s="35"/>
      <c r="F553" s="35"/>
      <c r="G553" s="86"/>
      <c r="H553" s="35"/>
      <c r="I553" s="35"/>
      <c r="J553" s="32"/>
    </row>
    <row r="554" spans="1:10" x14ac:dyDescent="0.15">
      <c r="A554" s="35"/>
      <c r="B554" s="35"/>
      <c r="C554" s="35"/>
      <c r="D554" s="35"/>
      <c r="E554" s="35"/>
      <c r="F554" s="35"/>
      <c r="G554" s="86"/>
      <c r="H554" s="35"/>
      <c r="I554" s="35"/>
      <c r="J554" s="32"/>
    </row>
    <row r="555" spans="1:10" x14ac:dyDescent="0.15">
      <c r="A555" s="35"/>
      <c r="B555" s="35"/>
      <c r="C555" s="35"/>
      <c r="D555" s="35"/>
      <c r="E555" s="35"/>
      <c r="F555" s="35"/>
      <c r="G555" s="86"/>
      <c r="H555" s="35"/>
      <c r="I555" s="35"/>
      <c r="J555" s="32"/>
    </row>
    <row r="556" spans="1:10" x14ac:dyDescent="0.15">
      <c r="A556" s="35"/>
      <c r="B556" s="35"/>
      <c r="C556" s="35"/>
      <c r="D556" s="35"/>
      <c r="E556" s="35"/>
      <c r="F556" s="35"/>
      <c r="G556" s="86"/>
      <c r="H556" s="35"/>
      <c r="I556" s="35"/>
      <c r="J556" s="32"/>
    </row>
    <row r="557" spans="1:10" x14ac:dyDescent="0.15">
      <c r="A557" s="35"/>
      <c r="B557" s="35"/>
      <c r="C557" s="35"/>
      <c r="D557" s="35"/>
      <c r="E557" s="35"/>
      <c r="F557" s="35"/>
      <c r="G557" s="86"/>
      <c r="H557" s="35"/>
      <c r="I557" s="35"/>
      <c r="J557" s="32"/>
    </row>
    <row r="558" spans="1:10" x14ac:dyDescent="0.15">
      <c r="A558" s="35"/>
      <c r="B558" s="35"/>
      <c r="C558" s="35"/>
      <c r="D558" s="35"/>
      <c r="E558" s="35"/>
      <c r="F558" s="35"/>
      <c r="G558" s="86"/>
      <c r="H558" s="35"/>
      <c r="I558" s="35"/>
      <c r="J558" s="32"/>
    </row>
    <row r="559" spans="1:10" x14ac:dyDescent="0.15">
      <c r="A559" s="35"/>
      <c r="B559" s="35"/>
      <c r="C559" s="35"/>
      <c r="D559" s="35"/>
      <c r="E559" s="35"/>
      <c r="F559" s="35"/>
      <c r="G559" s="86"/>
      <c r="H559" s="35"/>
      <c r="I559" s="35"/>
      <c r="J559" s="32"/>
    </row>
    <row r="560" spans="1:10" x14ac:dyDescent="0.15">
      <c r="A560" s="35"/>
      <c r="B560" s="35"/>
      <c r="C560" s="35"/>
      <c r="D560" s="35"/>
      <c r="E560" s="35"/>
      <c r="F560" s="35"/>
      <c r="G560" s="86"/>
      <c r="H560" s="35"/>
      <c r="I560" s="35"/>
      <c r="J560" s="32"/>
    </row>
    <row r="561" spans="1:10" x14ac:dyDescent="0.15">
      <c r="A561" s="35"/>
      <c r="B561" s="35"/>
      <c r="C561" s="35"/>
      <c r="D561" s="35"/>
      <c r="E561" s="35"/>
      <c r="F561" s="35"/>
      <c r="G561" s="86"/>
      <c r="H561" s="35"/>
      <c r="I561" s="35"/>
      <c r="J561" s="32"/>
    </row>
    <row r="562" spans="1:10" x14ac:dyDescent="0.15">
      <c r="A562" s="35"/>
      <c r="B562" s="35"/>
      <c r="C562" s="35"/>
      <c r="D562" s="35"/>
      <c r="E562" s="35"/>
      <c r="F562" s="35"/>
      <c r="G562" s="86"/>
      <c r="H562" s="35"/>
      <c r="I562" s="35"/>
      <c r="J562" s="32"/>
    </row>
    <row r="563" spans="1:10" x14ac:dyDescent="0.15">
      <c r="A563" s="35"/>
      <c r="B563" s="35"/>
      <c r="C563" s="35"/>
      <c r="D563" s="35"/>
      <c r="E563" s="35"/>
      <c r="F563" s="35"/>
      <c r="G563" s="86"/>
      <c r="H563" s="35"/>
      <c r="I563" s="35"/>
      <c r="J563" s="32"/>
    </row>
    <row r="564" spans="1:10" x14ac:dyDescent="0.15">
      <c r="A564" s="35"/>
      <c r="B564" s="35"/>
      <c r="C564" s="35"/>
      <c r="D564" s="35"/>
      <c r="E564" s="35"/>
      <c r="F564" s="35"/>
      <c r="G564" s="86"/>
      <c r="H564" s="35"/>
      <c r="I564" s="35"/>
      <c r="J564" s="32"/>
    </row>
    <row r="565" spans="1:10" x14ac:dyDescent="0.15">
      <c r="A565" s="35"/>
      <c r="B565" s="35"/>
      <c r="C565" s="35"/>
      <c r="D565" s="35"/>
      <c r="E565" s="35"/>
      <c r="F565" s="35"/>
      <c r="G565" s="86"/>
      <c r="H565" s="35"/>
      <c r="I565" s="35"/>
      <c r="J565" s="32"/>
    </row>
    <row r="566" spans="1:10" x14ac:dyDescent="0.15">
      <c r="A566" s="35"/>
      <c r="B566" s="35"/>
      <c r="C566" s="35"/>
      <c r="D566" s="35"/>
      <c r="E566" s="35"/>
      <c r="F566" s="35"/>
      <c r="G566" s="86"/>
      <c r="H566" s="35"/>
      <c r="I566" s="35"/>
      <c r="J566" s="32"/>
    </row>
    <row r="567" spans="1:10" x14ac:dyDescent="0.15">
      <c r="A567" s="35"/>
      <c r="B567" s="35"/>
      <c r="C567" s="35"/>
      <c r="D567" s="35"/>
      <c r="E567" s="35"/>
      <c r="F567" s="35"/>
      <c r="G567" s="86"/>
      <c r="H567" s="35"/>
      <c r="I567" s="35"/>
      <c r="J567" s="32"/>
    </row>
    <row r="568" spans="1:10" x14ac:dyDescent="0.15">
      <c r="A568" s="35"/>
      <c r="B568" s="35"/>
      <c r="C568" s="35"/>
      <c r="D568" s="35"/>
      <c r="E568" s="35"/>
      <c r="F568" s="35"/>
      <c r="G568" s="86"/>
      <c r="H568" s="35"/>
      <c r="I568" s="35"/>
      <c r="J568" s="32"/>
    </row>
    <row r="569" spans="1:10" x14ac:dyDescent="0.15">
      <c r="A569" s="35"/>
      <c r="B569" s="35"/>
      <c r="C569" s="35"/>
      <c r="D569" s="35"/>
      <c r="E569" s="35"/>
      <c r="F569" s="35"/>
      <c r="G569" s="86"/>
      <c r="H569" s="35"/>
      <c r="I569" s="35"/>
      <c r="J569" s="32"/>
    </row>
    <row r="570" spans="1:10" x14ac:dyDescent="0.15">
      <c r="A570" s="35"/>
      <c r="B570" s="35"/>
      <c r="C570" s="35"/>
      <c r="D570" s="35"/>
      <c r="E570" s="35"/>
      <c r="F570" s="35"/>
      <c r="G570" s="86"/>
      <c r="H570" s="35"/>
      <c r="I570" s="35"/>
      <c r="J570" s="32"/>
    </row>
    <row r="571" spans="1:10" x14ac:dyDescent="0.15">
      <c r="A571" s="35"/>
      <c r="B571" s="35"/>
      <c r="C571" s="35"/>
      <c r="D571" s="35"/>
      <c r="E571" s="35"/>
      <c r="F571" s="35"/>
      <c r="G571" s="86"/>
      <c r="H571" s="35"/>
      <c r="I571" s="35"/>
      <c r="J571" s="32"/>
    </row>
    <row r="572" spans="1:10" x14ac:dyDescent="0.15">
      <c r="A572" s="35"/>
      <c r="B572" s="35"/>
      <c r="C572" s="35"/>
      <c r="D572" s="35"/>
      <c r="E572" s="35"/>
      <c r="F572" s="35"/>
      <c r="G572" s="86"/>
      <c r="H572" s="35"/>
      <c r="I572" s="35"/>
      <c r="J572" s="32"/>
    </row>
    <row r="573" spans="1:10" x14ac:dyDescent="0.15">
      <c r="A573" s="35"/>
      <c r="B573" s="35"/>
      <c r="C573" s="35"/>
      <c r="D573" s="35"/>
      <c r="E573" s="35"/>
      <c r="F573" s="35"/>
      <c r="G573" s="86"/>
      <c r="H573" s="35"/>
      <c r="I573" s="35"/>
      <c r="J573" s="32"/>
    </row>
    <row r="574" spans="1:10" x14ac:dyDescent="0.15">
      <c r="A574" s="35"/>
      <c r="B574" s="35"/>
      <c r="C574" s="35"/>
      <c r="D574" s="35"/>
      <c r="E574" s="35"/>
      <c r="F574" s="35"/>
      <c r="G574" s="86"/>
      <c r="H574" s="35"/>
      <c r="I574" s="35"/>
      <c r="J574" s="32"/>
    </row>
    <row r="575" spans="1:10" x14ac:dyDescent="0.15">
      <c r="A575" s="35"/>
      <c r="B575" s="35"/>
      <c r="C575" s="35"/>
      <c r="D575" s="35"/>
      <c r="E575" s="35"/>
      <c r="F575" s="35"/>
      <c r="G575" s="86"/>
      <c r="H575" s="35"/>
      <c r="I575" s="35"/>
      <c r="J575" s="32"/>
    </row>
    <row r="576" spans="1:10" x14ac:dyDescent="0.15">
      <c r="A576" s="35"/>
      <c r="B576" s="35"/>
      <c r="C576" s="35"/>
      <c r="D576" s="35"/>
      <c r="E576" s="35"/>
      <c r="F576" s="35"/>
      <c r="G576" s="86"/>
      <c r="H576" s="35"/>
      <c r="I576" s="35"/>
      <c r="J576" s="32"/>
    </row>
    <row r="577" spans="1:10" x14ac:dyDescent="0.15">
      <c r="A577" s="35"/>
      <c r="B577" s="35"/>
      <c r="C577" s="35"/>
      <c r="D577" s="35"/>
      <c r="E577" s="35"/>
      <c r="F577" s="35"/>
      <c r="G577" s="86"/>
      <c r="H577" s="35"/>
      <c r="I577" s="35"/>
      <c r="J577" s="32"/>
    </row>
    <row r="578" spans="1:10" x14ac:dyDescent="0.15">
      <c r="A578" s="35"/>
      <c r="B578" s="35"/>
      <c r="C578" s="35"/>
      <c r="D578" s="35"/>
      <c r="E578" s="35"/>
      <c r="F578" s="35"/>
      <c r="G578" s="86"/>
      <c r="H578" s="35"/>
      <c r="I578" s="35"/>
      <c r="J578" s="32"/>
    </row>
    <row r="579" spans="1:10" x14ac:dyDescent="0.15">
      <c r="A579" s="35"/>
      <c r="B579" s="35"/>
      <c r="C579" s="35"/>
      <c r="D579" s="35"/>
      <c r="E579" s="35"/>
      <c r="F579" s="35"/>
      <c r="G579" s="86"/>
      <c r="H579" s="35"/>
      <c r="I579" s="35"/>
      <c r="J579" s="32"/>
    </row>
    <row r="580" spans="1:10" x14ac:dyDescent="0.15">
      <c r="A580" s="35"/>
      <c r="B580" s="35"/>
      <c r="C580" s="35"/>
      <c r="D580" s="35"/>
      <c r="E580" s="35"/>
      <c r="F580" s="35"/>
      <c r="G580" s="86"/>
      <c r="H580" s="35"/>
      <c r="I580" s="35"/>
      <c r="J580" s="32"/>
    </row>
    <row r="581" spans="1:10" x14ac:dyDescent="0.15">
      <c r="A581" s="35"/>
      <c r="B581" s="35"/>
      <c r="C581" s="35"/>
      <c r="D581" s="35"/>
      <c r="E581" s="35"/>
      <c r="F581" s="35"/>
      <c r="G581" s="86"/>
      <c r="H581" s="35"/>
      <c r="I581" s="35"/>
      <c r="J581" s="32"/>
    </row>
    <row r="582" spans="1:10" x14ac:dyDescent="0.15">
      <c r="A582" s="35"/>
      <c r="B582" s="35"/>
      <c r="C582" s="35"/>
      <c r="D582" s="35"/>
      <c r="E582" s="35"/>
      <c r="F582" s="35"/>
      <c r="G582" s="86"/>
      <c r="H582" s="35"/>
      <c r="I582" s="35"/>
      <c r="J582" s="32"/>
    </row>
    <row r="583" spans="1:10" x14ac:dyDescent="0.15">
      <c r="A583" s="35"/>
      <c r="B583" s="35"/>
      <c r="C583" s="35"/>
      <c r="D583" s="35"/>
      <c r="E583" s="35"/>
      <c r="F583" s="35"/>
      <c r="G583" s="86"/>
      <c r="H583" s="35"/>
      <c r="I583" s="35"/>
      <c r="J583" s="32"/>
    </row>
    <row r="584" spans="1:10" x14ac:dyDescent="0.15">
      <c r="A584" s="35"/>
      <c r="B584" s="35"/>
      <c r="C584" s="35"/>
      <c r="D584" s="35"/>
      <c r="E584" s="35"/>
      <c r="F584" s="35"/>
      <c r="G584" s="86"/>
      <c r="H584" s="35"/>
      <c r="I584" s="35"/>
      <c r="J584" s="32"/>
    </row>
    <row r="585" spans="1:10" x14ac:dyDescent="0.15">
      <c r="A585" s="35"/>
      <c r="B585" s="35"/>
      <c r="C585" s="35"/>
      <c r="D585" s="35"/>
      <c r="E585" s="35"/>
      <c r="F585" s="35"/>
      <c r="G585" s="86"/>
      <c r="H585" s="35"/>
      <c r="I585" s="35"/>
      <c r="J585" s="32"/>
    </row>
    <row r="586" spans="1:10" x14ac:dyDescent="0.15">
      <c r="A586" s="35"/>
      <c r="B586" s="35"/>
      <c r="C586" s="35"/>
      <c r="D586" s="35"/>
      <c r="E586" s="35"/>
      <c r="F586" s="35"/>
      <c r="G586" s="86"/>
      <c r="H586" s="35"/>
      <c r="I586" s="35"/>
      <c r="J586" s="32"/>
    </row>
    <row r="587" spans="1:10" x14ac:dyDescent="0.15">
      <c r="A587" s="35"/>
      <c r="B587" s="35"/>
      <c r="C587" s="35"/>
      <c r="D587" s="35"/>
      <c r="E587" s="35"/>
      <c r="F587" s="35"/>
      <c r="G587" s="86"/>
      <c r="H587" s="35"/>
      <c r="I587" s="35"/>
      <c r="J587" s="32"/>
    </row>
    <row r="588" spans="1:10" x14ac:dyDescent="0.15">
      <c r="A588" s="35"/>
      <c r="B588" s="35"/>
      <c r="C588" s="35"/>
      <c r="D588" s="35"/>
      <c r="E588" s="35"/>
      <c r="F588" s="35"/>
      <c r="G588" s="86"/>
      <c r="H588" s="35"/>
      <c r="I588" s="35"/>
      <c r="J588" s="32"/>
    </row>
    <row r="589" spans="1:10" x14ac:dyDescent="0.15">
      <c r="A589" s="35"/>
      <c r="B589" s="35"/>
      <c r="C589" s="35"/>
      <c r="D589" s="35"/>
      <c r="E589" s="35"/>
      <c r="F589" s="35"/>
      <c r="G589" s="86"/>
      <c r="H589" s="35"/>
      <c r="I589" s="35"/>
      <c r="J589" s="32"/>
    </row>
    <row r="590" spans="1:10" x14ac:dyDescent="0.15">
      <c r="A590" s="35"/>
      <c r="B590" s="35"/>
      <c r="C590" s="35"/>
      <c r="D590" s="35"/>
      <c r="E590" s="35"/>
      <c r="F590" s="35"/>
      <c r="G590" s="86"/>
      <c r="H590" s="35"/>
      <c r="I590" s="35"/>
      <c r="J590" s="32"/>
    </row>
    <row r="591" spans="1:10" x14ac:dyDescent="0.15">
      <c r="A591" s="35"/>
      <c r="B591" s="35"/>
      <c r="C591" s="35"/>
      <c r="D591" s="35"/>
      <c r="E591" s="35"/>
      <c r="F591" s="35"/>
      <c r="G591" s="86"/>
      <c r="H591" s="35"/>
      <c r="I591" s="35"/>
      <c r="J591" s="32"/>
    </row>
    <row r="592" spans="1:10" x14ac:dyDescent="0.15">
      <c r="A592" s="35"/>
      <c r="B592" s="35"/>
      <c r="C592" s="35"/>
      <c r="D592" s="35"/>
      <c r="E592" s="35"/>
      <c r="F592" s="35"/>
      <c r="G592" s="86"/>
      <c r="H592" s="35"/>
      <c r="I592" s="35"/>
      <c r="J592" s="32"/>
    </row>
    <row r="593" spans="1:10" x14ac:dyDescent="0.15">
      <c r="A593" s="35"/>
      <c r="B593" s="35"/>
      <c r="C593" s="35"/>
      <c r="D593" s="35"/>
      <c r="E593" s="35"/>
      <c r="F593" s="35"/>
      <c r="G593" s="86"/>
      <c r="H593" s="35"/>
      <c r="I593" s="35"/>
      <c r="J593" s="32"/>
    </row>
    <row r="594" spans="1:10" x14ac:dyDescent="0.15">
      <c r="A594" s="35"/>
      <c r="B594" s="35"/>
      <c r="C594" s="35"/>
      <c r="D594" s="35"/>
      <c r="E594" s="35"/>
      <c r="F594" s="35"/>
      <c r="G594" s="86"/>
      <c r="H594" s="35"/>
      <c r="I594" s="35"/>
      <c r="J594" s="32"/>
    </row>
    <row r="595" spans="1:10" x14ac:dyDescent="0.15">
      <c r="A595" s="35"/>
      <c r="B595" s="35"/>
      <c r="C595" s="35"/>
      <c r="D595" s="35"/>
      <c r="E595" s="35"/>
      <c r="F595" s="35"/>
      <c r="G595" s="86"/>
      <c r="H595" s="35"/>
      <c r="I595" s="35"/>
      <c r="J595" s="32"/>
    </row>
    <row r="596" spans="1:10" x14ac:dyDescent="0.15">
      <c r="A596" s="35"/>
      <c r="B596" s="35"/>
      <c r="C596" s="35"/>
      <c r="D596" s="35"/>
      <c r="E596" s="35"/>
      <c r="F596" s="35"/>
      <c r="G596" s="86"/>
      <c r="H596" s="35"/>
      <c r="I596" s="35"/>
      <c r="J596" s="32"/>
    </row>
    <row r="597" spans="1:10" x14ac:dyDescent="0.15">
      <c r="A597" s="35"/>
      <c r="B597" s="35"/>
      <c r="C597" s="35"/>
      <c r="D597" s="35"/>
      <c r="E597" s="35"/>
      <c r="F597" s="35"/>
      <c r="G597" s="86"/>
      <c r="H597" s="35"/>
      <c r="I597" s="35"/>
      <c r="J597" s="32"/>
    </row>
    <row r="598" spans="1:10" x14ac:dyDescent="0.15">
      <c r="A598" s="35"/>
      <c r="B598" s="35"/>
      <c r="C598" s="35"/>
      <c r="D598" s="35"/>
      <c r="E598" s="35"/>
      <c r="F598" s="35"/>
      <c r="G598" s="86"/>
      <c r="H598" s="35"/>
      <c r="I598" s="35"/>
      <c r="J598" s="32"/>
    </row>
    <row r="599" spans="1:10" x14ac:dyDescent="0.15">
      <c r="A599" s="35"/>
      <c r="B599" s="35"/>
      <c r="C599" s="35"/>
      <c r="D599" s="35"/>
      <c r="E599" s="35"/>
      <c r="F599" s="35"/>
      <c r="G599" s="86"/>
      <c r="H599" s="35"/>
      <c r="I599" s="35"/>
      <c r="J599" s="32"/>
    </row>
    <row r="600" spans="1:10" x14ac:dyDescent="0.15">
      <c r="A600" s="35"/>
      <c r="B600" s="35"/>
      <c r="C600" s="35"/>
      <c r="D600" s="35"/>
      <c r="E600" s="35"/>
      <c r="F600" s="35"/>
      <c r="G600" s="86"/>
      <c r="H600" s="35"/>
      <c r="I600" s="35"/>
      <c r="J600" s="32"/>
    </row>
    <row r="601" spans="1:10" x14ac:dyDescent="0.15">
      <c r="A601" s="35"/>
      <c r="B601" s="35"/>
      <c r="C601" s="35"/>
      <c r="D601" s="35"/>
      <c r="E601" s="35"/>
      <c r="F601" s="35"/>
      <c r="G601" s="86"/>
      <c r="H601" s="35"/>
      <c r="I601" s="35"/>
      <c r="J601" s="32"/>
    </row>
    <row r="602" spans="1:10" x14ac:dyDescent="0.15">
      <c r="A602" s="35"/>
      <c r="B602" s="35"/>
      <c r="C602" s="35"/>
      <c r="D602" s="35"/>
      <c r="E602" s="35"/>
      <c r="F602" s="35"/>
      <c r="G602" s="86"/>
      <c r="H602" s="35"/>
      <c r="I602" s="35"/>
      <c r="J602" s="32"/>
    </row>
    <row r="603" spans="1:10" x14ac:dyDescent="0.15">
      <c r="A603" s="35"/>
      <c r="B603" s="35"/>
      <c r="C603" s="35"/>
      <c r="D603" s="35"/>
      <c r="E603" s="35"/>
      <c r="F603" s="35"/>
      <c r="G603" s="86"/>
      <c r="H603" s="35"/>
      <c r="I603" s="35"/>
      <c r="J603" s="32"/>
    </row>
    <row r="604" spans="1:10" x14ac:dyDescent="0.15">
      <c r="A604" s="35"/>
      <c r="B604" s="35"/>
      <c r="C604" s="35"/>
      <c r="D604" s="35"/>
      <c r="E604" s="35"/>
      <c r="F604" s="35"/>
      <c r="G604" s="86"/>
      <c r="H604" s="35"/>
      <c r="I604" s="35"/>
      <c r="J604" s="32"/>
    </row>
    <row r="605" spans="1:10" x14ac:dyDescent="0.15">
      <c r="A605" s="35"/>
      <c r="B605" s="35"/>
      <c r="C605" s="35"/>
      <c r="D605" s="35"/>
      <c r="E605" s="35"/>
      <c r="F605" s="35"/>
      <c r="G605" s="86"/>
      <c r="H605" s="35"/>
      <c r="I605" s="35"/>
      <c r="J605" s="32"/>
    </row>
    <row r="606" spans="1:10" x14ac:dyDescent="0.15">
      <c r="A606" s="35"/>
      <c r="B606" s="35"/>
      <c r="C606" s="35"/>
      <c r="D606" s="35"/>
      <c r="E606" s="35"/>
      <c r="F606" s="35"/>
      <c r="G606" s="86"/>
      <c r="H606" s="35"/>
      <c r="I606" s="35"/>
      <c r="J606" s="32"/>
    </row>
    <row r="607" spans="1:10" x14ac:dyDescent="0.15">
      <c r="A607" s="35"/>
      <c r="B607" s="35"/>
      <c r="C607" s="35"/>
      <c r="D607" s="35"/>
      <c r="E607" s="35"/>
      <c r="F607" s="35"/>
      <c r="G607" s="86"/>
      <c r="H607" s="35"/>
      <c r="I607" s="35"/>
      <c r="J607" s="32"/>
    </row>
    <row r="608" spans="1:10" x14ac:dyDescent="0.15">
      <c r="A608" s="35"/>
      <c r="B608" s="35"/>
      <c r="C608" s="35"/>
      <c r="D608" s="35"/>
      <c r="E608" s="35"/>
      <c r="F608" s="35"/>
      <c r="G608" s="86"/>
      <c r="H608" s="35"/>
      <c r="I608" s="35"/>
      <c r="J608" s="32"/>
    </row>
    <row r="609" spans="1:10" x14ac:dyDescent="0.15">
      <c r="A609" s="35"/>
      <c r="B609" s="35"/>
      <c r="C609" s="35"/>
      <c r="D609" s="35"/>
      <c r="E609" s="35"/>
      <c r="F609" s="35"/>
      <c r="G609" s="86"/>
      <c r="H609" s="35"/>
      <c r="I609" s="35"/>
      <c r="J609" s="32"/>
    </row>
    <row r="610" spans="1:10" x14ac:dyDescent="0.15">
      <c r="A610" s="35"/>
      <c r="B610" s="35"/>
      <c r="C610" s="35"/>
      <c r="D610" s="35"/>
      <c r="E610" s="35"/>
      <c r="F610" s="35"/>
      <c r="G610" s="86"/>
      <c r="H610" s="35"/>
      <c r="I610" s="35"/>
      <c r="J610" s="32"/>
    </row>
    <row r="611" spans="1:10" x14ac:dyDescent="0.15">
      <c r="A611" s="35"/>
      <c r="B611" s="35"/>
      <c r="C611" s="35"/>
      <c r="D611" s="35"/>
      <c r="E611" s="35"/>
      <c r="F611" s="35"/>
      <c r="G611" s="86"/>
      <c r="H611" s="35"/>
      <c r="I611" s="35"/>
      <c r="J611" s="32"/>
    </row>
    <row r="612" spans="1:10" x14ac:dyDescent="0.15">
      <c r="A612" s="35"/>
      <c r="B612" s="35"/>
      <c r="C612" s="35"/>
      <c r="D612" s="35"/>
      <c r="E612" s="35"/>
      <c r="F612" s="35"/>
      <c r="G612" s="86"/>
      <c r="H612" s="35"/>
      <c r="I612" s="35"/>
      <c r="J612" s="32"/>
    </row>
    <row r="613" spans="1:10" x14ac:dyDescent="0.15">
      <c r="A613" s="35"/>
      <c r="B613" s="35"/>
      <c r="C613" s="35"/>
      <c r="D613" s="35"/>
      <c r="E613" s="35"/>
      <c r="F613" s="35"/>
      <c r="G613" s="86"/>
      <c r="H613" s="35"/>
      <c r="I613" s="35"/>
      <c r="J613" s="32"/>
    </row>
    <row r="614" spans="1:10" x14ac:dyDescent="0.15">
      <c r="A614" s="35"/>
      <c r="B614" s="35"/>
      <c r="C614" s="35"/>
      <c r="D614" s="35"/>
      <c r="E614" s="35"/>
      <c r="F614" s="35"/>
      <c r="G614" s="86"/>
      <c r="H614" s="35"/>
      <c r="I614" s="35"/>
      <c r="J614" s="32"/>
    </row>
    <row r="615" spans="1:10" x14ac:dyDescent="0.15">
      <c r="A615" s="35"/>
      <c r="B615" s="35"/>
      <c r="C615" s="35"/>
      <c r="D615" s="35"/>
      <c r="E615" s="35"/>
      <c r="F615" s="35"/>
      <c r="G615" s="86"/>
      <c r="H615" s="35"/>
      <c r="I615" s="35"/>
      <c r="J615" s="32"/>
    </row>
    <row r="616" spans="1:10" x14ac:dyDescent="0.15">
      <c r="A616" s="35"/>
      <c r="B616" s="35"/>
      <c r="C616" s="35"/>
      <c r="D616" s="35"/>
      <c r="E616" s="35"/>
      <c r="F616" s="35"/>
      <c r="G616" s="86"/>
      <c r="H616" s="35"/>
      <c r="I616" s="35"/>
      <c r="J616" s="32"/>
    </row>
    <row r="617" spans="1:10" x14ac:dyDescent="0.15">
      <c r="A617" s="35"/>
      <c r="B617" s="35"/>
      <c r="C617" s="35"/>
      <c r="D617" s="35"/>
      <c r="E617" s="35"/>
      <c r="F617" s="35"/>
      <c r="G617" s="86"/>
      <c r="H617" s="35"/>
      <c r="I617" s="35"/>
      <c r="J617" s="32"/>
    </row>
    <row r="618" spans="1:10" x14ac:dyDescent="0.15">
      <c r="A618" s="35"/>
      <c r="B618" s="35"/>
      <c r="C618" s="35"/>
      <c r="D618" s="35"/>
      <c r="E618" s="35"/>
      <c r="F618" s="35"/>
      <c r="G618" s="86"/>
      <c r="H618" s="35"/>
      <c r="I618" s="35"/>
      <c r="J618" s="32"/>
    </row>
    <row r="619" spans="1:10" x14ac:dyDescent="0.15">
      <c r="A619" s="35"/>
      <c r="B619" s="35"/>
      <c r="C619" s="35"/>
      <c r="D619" s="35"/>
      <c r="E619" s="35"/>
      <c r="F619" s="35"/>
      <c r="G619" s="86"/>
      <c r="H619" s="35"/>
      <c r="I619" s="35"/>
      <c r="J619" s="32"/>
    </row>
    <row r="620" spans="1:10" x14ac:dyDescent="0.15">
      <c r="A620" s="35"/>
      <c r="B620" s="35"/>
      <c r="C620" s="35"/>
      <c r="D620" s="35"/>
      <c r="E620" s="35"/>
      <c r="F620" s="35"/>
      <c r="G620" s="86"/>
      <c r="H620" s="35"/>
      <c r="I620" s="35"/>
      <c r="J620" s="32"/>
    </row>
    <row r="621" spans="1:10" x14ac:dyDescent="0.15">
      <c r="A621" s="35"/>
      <c r="B621" s="35"/>
      <c r="C621" s="35"/>
      <c r="D621" s="35"/>
      <c r="E621" s="35"/>
      <c r="F621" s="35"/>
      <c r="G621" s="86"/>
      <c r="H621" s="35"/>
      <c r="I621" s="35"/>
      <c r="J621" s="32"/>
    </row>
    <row r="622" spans="1:10" x14ac:dyDescent="0.15">
      <c r="A622" s="35"/>
      <c r="B622" s="35"/>
      <c r="C622" s="35"/>
      <c r="D622" s="35"/>
      <c r="E622" s="35"/>
      <c r="F622" s="35"/>
      <c r="G622" s="86"/>
      <c r="H622" s="35"/>
      <c r="I622" s="35"/>
      <c r="J622" s="32"/>
    </row>
    <row r="623" spans="1:10" x14ac:dyDescent="0.15">
      <c r="A623" s="35"/>
      <c r="B623" s="35"/>
      <c r="C623" s="35"/>
      <c r="D623" s="35"/>
      <c r="E623" s="35"/>
      <c r="F623" s="35"/>
      <c r="G623" s="86"/>
      <c r="H623" s="35"/>
      <c r="I623" s="35"/>
      <c r="J623" s="32"/>
    </row>
    <row r="624" spans="1:10" x14ac:dyDescent="0.15">
      <c r="A624" s="35"/>
      <c r="B624" s="35"/>
      <c r="C624" s="35"/>
      <c r="D624" s="35"/>
      <c r="E624" s="35"/>
      <c r="F624" s="35"/>
      <c r="G624" s="86"/>
      <c r="H624" s="35"/>
      <c r="I624" s="35"/>
      <c r="J624" s="32"/>
    </row>
    <row r="625" spans="1:10" x14ac:dyDescent="0.15">
      <c r="A625" s="35"/>
      <c r="B625" s="35"/>
      <c r="C625" s="35"/>
      <c r="D625" s="35"/>
      <c r="E625" s="35"/>
      <c r="F625" s="35"/>
      <c r="G625" s="86"/>
      <c r="H625" s="35"/>
      <c r="I625" s="35"/>
      <c r="J625" s="32"/>
    </row>
    <row r="626" spans="1:10" x14ac:dyDescent="0.15">
      <c r="A626" s="35"/>
      <c r="B626" s="35"/>
      <c r="C626" s="35"/>
      <c r="D626" s="35"/>
      <c r="E626" s="35"/>
      <c r="F626" s="35"/>
      <c r="G626" s="86"/>
      <c r="H626" s="35"/>
      <c r="I626" s="35"/>
      <c r="J626" s="32"/>
    </row>
    <row r="627" spans="1:10" x14ac:dyDescent="0.15">
      <c r="A627" s="35"/>
      <c r="B627" s="35"/>
      <c r="C627" s="35"/>
      <c r="D627" s="35"/>
      <c r="E627" s="35"/>
      <c r="F627" s="35"/>
      <c r="G627" s="86"/>
      <c r="H627" s="35"/>
      <c r="I627" s="35"/>
      <c r="J627" s="32"/>
    </row>
    <row r="628" spans="1:10" x14ac:dyDescent="0.15">
      <c r="A628" s="35"/>
      <c r="B628" s="35"/>
      <c r="C628" s="35"/>
      <c r="D628" s="35"/>
      <c r="E628" s="35"/>
      <c r="F628" s="35"/>
      <c r="G628" s="86"/>
      <c r="H628" s="35"/>
      <c r="I628" s="35"/>
      <c r="J628" s="32"/>
    </row>
    <row r="629" spans="1:10" x14ac:dyDescent="0.15">
      <c r="A629" s="35"/>
      <c r="B629" s="35"/>
      <c r="C629" s="35"/>
      <c r="D629" s="35"/>
      <c r="E629" s="35"/>
      <c r="F629" s="35"/>
      <c r="G629" s="86"/>
      <c r="H629" s="35"/>
      <c r="I629" s="35"/>
      <c r="J629" s="32"/>
    </row>
    <row r="630" spans="1:10" x14ac:dyDescent="0.15">
      <c r="A630" s="35"/>
      <c r="B630" s="35"/>
      <c r="C630" s="35"/>
      <c r="D630" s="35"/>
      <c r="E630" s="35"/>
      <c r="F630" s="35"/>
      <c r="G630" s="86"/>
      <c r="H630" s="35"/>
      <c r="I630" s="35"/>
      <c r="J630" s="32"/>
    </row>
    <row r="631" spans="1:10" x14ac:dyDescent="0.15">
      <c r="A631" s="35"/>
      <c r="B631" s="35"/>
      <c r="C631" s="35"/>
      <c r="D631" s="35"/>
      <c r="E631" s="35"/>
      <c r="F631" s="35"/>
      <c r="G631" s="86"/>
      <c r="H631" s="35"/>
      <c r="I631" s="35"/>
      <c r="J631" s="32"/>
    </row>
    <row r="632" spans="1:10" x14ac:dyDescent="0.15">
      <c r="A632" s="35"/>
      <c r="B632" s="35"/>
      <c r="C632" s="35"/>
      <c r="D632" s="35"/>
      <c r="E632" s="35"/>
      <c r="F632" s="35"/>
      <c r="G632" s="86"/>
      <c r="H632" s="35"/>
      <c r="I632" s="35"/>
      <c r="J632" s="32"/>
    </row>
    <row r="633" spans="1:10" x14ac:dyDescent="0.15">
      <c r="A633" s="35"/>
      <c r="B633" s="35"/>
      <c r="C633" s="35"/>
      <c r="D633" s="35"/>
      <c r="E633" s="35"/>
      <c r="F633" s="35"/>
      <c r="G633" s="86"/>
      <c r="H633" s="35"/>
      <c r="I633" s="35"/>
      <c r="J633" s="32"/>
    </row>
    <row r="634" spans="1:10" x14ac:dyDescent="0.15">
      <c r="A634" s="35"/>
      <c r="B634" s="35"/>
      <c r="C634" s="35"/>
      <c r="D634" s="35"/>
      <c r="E634" s="35"/>
      <c r="F634" s="35"/>
      <c r="G634" s="86"/>
      <c r="H634" s="35"/>
      <c r="I634" s="35"/>
      <c r="J634" s="32"/>
    </row>
    <row r="635" spans="1:10" x14ac:dyDescent="0.15">
      <c r="A635" s="35"/>
      <c r="B635" s="35"/>
      <c r="C635" s="35"/>
      <c r="D635" s="35"/>
      <c r="E635" s="35"/>
      <c r="F635" s="35"/>
      <c r="G635" s="86"/>
      <c r="H635" s="35"/>
      <c r="I635" s="35"/>
      <c r="J635" s="32"/>
    </row>
    <row r="636" spans="1:10" x14ac:dyDescent="0.15">
      <c r="A636" s="35"/>
      <c r="B636" s="35"/>
      <c r="C636" s="35"/>
      <c r="D636" s="35"/>
      <c r="E636" s="35"/>
      <c r="F636" s="35"/>
      <c r="G636" s="86"/>
      <c r="H636" s="35"/>
      <c r="I636" s="35"/>
      <c r="J636" s="32"/>
    </row>
    <row r="637" spans="1:10" x14ac:dyDescent="0.15">
      <c r="A637" s="35"/>
      <c r="B637" s="35"/>
      <c r="C637" s="35"/>
      <c r="D637" s="35"/>
      <c r="E637" s="35"/>
      <c r="F637" s="35"/>
      <c r="G637" s="86"/>
      <c r="H637" s="35"/>
      <c r="I637" s="35"/>
      <c r="J637" s="32"/>
    </row>
    <row r="638" spans="1:10" x14ac:dyDescent="0.15">
      <c r="A638" s="35"/>
      <c r="B638" s="35"/>
      <c r="C638" s="35"/>
      <c r="D638" s="35"/>
      <c r="E638" s="35"/>
      <c r="F638" s="35"/>
      <c r="G638" s="86"/>
      <c r="H638" s="35"/>
      <c r="I638" s="35"/>
      <c r="J638" s="32"/>
    </row>
    <row r="639" spans="1:10" x14ac:dyDescent="0.15">
      <c r="A639" s="35"/>
      <c r="B639" s="35"/>
      <c r="C639" s="35"/>
      <c r="D639" s="35"/>
      <c r="E639" s="35"/>
      <c r="F639" s="35"/>
      <c r="G639" s="86"/>
      <c r="H639" s="35"/>
      <c r="I639" s="35"/>
      <c r="J639" s="32"/>
    </row>
    <row r="640" spans="1:10" x14ac:dyDescent="0.15">
      <c r="A640" s="35"/>
      <c r="B640" s="35"/>
      <c r="C640" s="35"/>
      <c r="D640" s="35"/>
      <c r="E640" s="35"/>
      <c r="F640" s="35"/>
      <c r="G640" s="86"/>
      <c r="H640" s="35"/>
      <c r="I640" s="35"/>
      <c r="J640" s="32"/>
    </row>
    <row r="641" spans="1:10" x14ac:dyDescent="0.15">
      <c r="A641" s="35"/>
      <c r="B641" s="35"/>
      <c r="C641" s="35"/>
      <c r="D641" s="35"/>
      <c r="E641" s="35"/>
      <c r="F641" s="35"/>
      <c r="G641" s="86"/>
      <c r="H641" s="35"/>
      <c r="I641" s="35"/>
      <c r="J641" s="32"/>
    </row>
    <row r="642" spans="1:10" x14ac:dyDescent="0.15">
      <c r="A642" s="35"/>
      <c r="B642" s="35"/>
      <c r="C642" s="35"/>
      <c r="D642" s="35"/>
      <c r="E642" s="35"/>
      <c r="F642" s="35"/>
      <c r="G642" s="86"/>
      <c r="H642" s="35"/>
      <c r="I642" s="35"/>
      <c r="J642" s="32"/>
    </row>
    <row r="643" spans="1:10" x14ac:dyDescent="0.15">
      <c r="A643" s="35"/>
      <c r="B643" s="35"/>
      <c r="C643" s="35"/>
      <c r="D643" s="35"/>
      <c r="E643" s="35"/>
      <c r="F643" s="35"/>
      <c r="G643" s="86"/>
      <c r="H643" s="35"/>
      <c r="I643" s="35"/>
      <c r="J643" s="32"/>
    </row>
    <row r="644" spans="1:10" x14ac:dyDescent="0.15">
      <c r="A644" s="35"/>
      <c r="B644" s="35"/>
      <c r="C644" s="35"/>
      <c r="D644" s="35"/>
      <c r="E644" s="35"/>
      <c r="F644" s="35"/>
      <c r="G644" s="86"/>
      <c r="H644" s="35"/>
      <c r="I644" s="35"/>
      <c r="J644" s="32"/>
    </row>
    <row r="645" spans="1:10" x14ac:dyDescent="0.15">
      <c r="A645" s="35"/>
      <c r="B645" s="35"/>
      <c r="C645" s="35"/>
      <c r="D645" s="35"/>
      <c r="E645" s="35"/>
      <c r="F645" s="35"/>
      <c r="G645" s="86"/>
      <c r="H645" s="35"/>
      <c r="I645" s="35"/>
      <c r="J645" s="32"/>
    </row>
    <row r="646" spans="1:10" x14ac:dyDescent="0.15">
      <c r="A646" s="35"/>
      <c r="B646" s="35"/>
      <c r="C646" s="35"/>
      <c r="D646" s="35"/>
      <c r="E646" s="35"/>
      <c r="F646" s="35"/>
      <c r="G646" s="86"/>
      <c r="H646" s="35"/>
      <c r="I646" s="35"/>
      <c r="J646" s="32"/>
    </row>
    <row r="647" spans="1:10" x14ac:dyDescent="0.15">
      <c r="A647" s="35"/>
      <c r="B647" s="35"/>
      <c r="C647" s="35"/>
      <c r="D647" s="35"/>
      <c r="E647" s="35"/>
      <c r="F647" s="35"/>
      <c r="G647" s="86"/>
      <c r="H647" s="35"/>
      <c r="I647" s="35"/>
      <c r="J647" s="32"/>
    </row>
    <row r="648" spans="1:10" x14ac:dyDescent="0.15">
      <c r="A648" s="35"/>
      <c r="B648" s="35"/>
      <c r="C648" s="35"/>
      <c r="D648" s="35"/>
      <c r="E648" s="35"/>
      <c r="F648" s="35"/>
      <c r="G648" s="86"/>
      <c r="H648" s="35"/>
      <c r="I648" s="35"/>
      <c r="J648" s="32"/>
    </row>
    <row r="649" spans="1:10" x14ac:dyDescent="0.15">
      <c r="A649" s="35"/>
      <c r="B649" s="35"/>
      <c r="C649" s="35"/>
      <c r="D649" s="35"/>
      <c r="E649" s="35"/>
      <c r="F649" s="35"/>
      <c r="G649" s="86"/>
      <c r="H649" s="35"/>
      <c r="I649" s="35"/>
      <c r="J649" s="32"/>
    </row>
    <row r="650" spans="1:10" x14ac:dyDescent="0.15">
      <c r="A650" s="35"/>
      <c r="B650" s="35"/>
      <c r="C650" s="35"/>
      <c r="D650" s="35"/>
      <c r="E650" s="35"/>
      <c r="F650" s="35"/>
      <c r="G650" s="86"/>
      <c r="H650" s="35"/>
      <c r="I650" s="35"/>
      <c r="J650" s="32"/>
    </row>
    <row r="651" spans="1:10" x14ac:dyDescent="0.15">
      <c r="A651" s="35"/>
      <c r="B651" s="35"/>
      <c r="C651" s="35"/>
      <c r="D651" s="35"/>
      <c r="E651" s="35"/>
      <c r="F651" s="35"/>
      <c r="G651" s="86"/>
      <c r="H651" s="35"/>
      <c r="I651" s="35"/>
      <c r="J651" s="32"/>
    </row>
    <row r="652" spans="1:10" x14ac:dyDescent="0.15">
      <c r="A652" s="35"/>
      <c r="B652" s="35"/>
      <c r="C652" s="35"/>
      <c r="D652" s="35"/>
      <c r="E652" s="35"/>
      <c r="F652" s="35"/>
      <c r="G652" s="86"/>
      <c r="H652" s="35"/>
      <c r="I652" s="35"/>
      <c r="J652" s="32"/>
    </row>
    <row r="653" spans="1:10" x14ac:dyDescent="0.15">
      <c r="A653" s="35"/>
      <c r="B653" s="35"/>
      <c r="C653" s="35"/>
      <c r="D653" s="35"/>
      <c r="E653" s="35"/>
      <c r="F653" s="35"/>
      <c r="G653" s="86"/>
      <c r="H653" s="35"/>
      <c r="I653" s="35"/>
      <c r="J653" s="32"/>
    </row>
    <row r="654" spans="1:10" x14ac:dyDescent="0.15">
      <c r="A654" s="35"/>
      <c r="B654" s="35"/>
      <c r="C654" s="35"/>
      <c r="D654" s="35"/>
      <c r="E654" s="35"/>
      <c r="F654" s="35"/>
      <c r="G654" s="86"/>
      <c r="H654" s="35"/>
      <c r="I654" s="35"/>
      <c r="J654" s="32"/>
    </row>
    <row r="655" spans="1:10" x14ac:dyDescent="0.15">
      <c r="A655" s="35"/>
      <c r="B655" s="35"/>
      <c r="C655" s="35"/>
      <c r="D655" s="35"/>
      <c r="E655" s="35"/>
      <c r="F655" s="35"/>
      <c r="G655" s="86"/>
      <c r="H655" s="35"/>
      <c r="I655" s="35"/>
      <c r="J655" s="32"/>
    </row>
    <row r="656" spans="1:10" x14ac:dyDescent="0.15">
      <c r="A656" s="35"/>
      <c r="B656" s="35"/>
      <c r="C656" s="35"/>
      <c r="D656" s="35"/>
      <c r="E656" s="35"/>
      <c r="F656" s="35"/>
      <c r="G656" s="86"/>
      <c r="H656" s="35"/>
      <c r="I656" s="35"/>
      <c r="J656" s="32"/>
    </row>
    <row r="657" spans="1:10" x14ac:dyDescent="0.15">
      <c r="A657" s="35"/>
      <c r="B657" s="35"/>
      <c r="C657" s="35"/>
      <c r="D657" s="35"/>
      <c r="E657" s="35"/>
      <c r="F657" s="35"/>
      <c r="G657" s="86"/>
      <c r="H657" s="35"/>
      <c r="I657" s="35"/>
      <c r="J657" s="32"/>
    </row>
    <row r="658" spans="1:10" x14ac:dyDescent="0.15">
      <c r="A658" s="35"/>
      <c r="B658" s="35"/>
      <c r="C658" s="35"/>
      <c r="D658" s="35"/>
      <c r="E658" s="35"/>
      <c r="F658" s="35"/>
      <c r="G658" s="86"/>
      <c r="H658" s="35"/>
      <c r="I658" s="35"/>
      <c r="J658" s="32"/>
    </row>
    <row r="659" spans="1:10" x14ac:dyDescent="0.15">
      <c r="A659" s="35"/>
      <c r="B659" s="35"/>
      <c r="C659" s="35"/>
      <c r="D659" s="35"/>
      <c r="E659" s="35"/>
      <c r="F659" s="35"/>
      <c r="G659" s="86"/>
      <c r="H659" s="35"/>
      <c r="I659" s="35"/>
      <c r="J659" s="32"/>
    </row>
    <row r="660" spans="1:10" x14ac:dyDescent="0.15">
      <c r="A660" s="35"/>
      <c r="B660" s="35"/>
      <c r="C660" s="35"/>
      <c r="D660" s="35"/>
      <c r="E660" s="35"/>
      <c r="F660" s="35"/>
      <c r="G660" s="86"/>
      <c r="H660" s="35"/>
      <c r="I660" s="35"/>
      <c r="J660" s="32"/>
    </row>
    <row r="661" spans="1:10" x14ac:dyDescent="0.15">
      <c r="A661" s="35"/>
      <c r="B661" s="35"/>
      <c r="C661" s="35"/>
      <c r="D661" s="35"/>
      <c r="E661" s="35"/>
      <c r="F661" s="35"/>
      <c r="G661" s="86"/>
      <c r="H661" s="35"/>
      <c r="I661" s="35"/>
      <c r="J661" s="32"/>
    </row>
    <row r="662" spans="1:10" x14ac:dyDescent="0.15">
      <c r="A662" s="35"/>
      <c r="B662" s="35"/>
      <c r="C662" s="35"/>
      <c r="D662" s="35"/>
      <c r="E662" s="35"/>
      <c r="F662" s="35"/>
      <c r="G662" s="86"/>
      <c r="H662" s="35"/>
      <c r="I662" s="35"/>
      <c r="J662" s="32"/>
    </row>
    <row r="663" spans="1:10" x14ac:dyDescent="0.15">
      <c r="A663" s="35"/>
      <c r="B663" s="35"/>
      <c r="C663" s="35"/>
      <c r="D663" s="35"/>
      <c r="E663" s="35"/>
      <c r="F663" s="35"/>
      <c r="G663" s="86"/>
      <c r="H663" s="35"/>
      <c r="I663" s="35"/>
      <c r="J663" s="32"/>
    </row>
    <row r="664" spans="1:10" x14ac:dyDescent="0.15">
      <c r="A664" s="35"/>
      <c r="B664" s="35"/>
      <c r="C664" s="35"/>
      <c r="D664" s="35"/>
      <c r="E664" s="35"/>
      <c r="F664" s="35"/>
      <c r="G664" s="86"/>
      <c r="H664" s="35"/>
      <c r="I664" s="35"/>
      <c r="J664" s="32"/>
    </row>
    <row r="665" spans="1:10" x14ac:dyDescent="0.15">
      <c r="A665" s="35"/>
      <c r="B665" s="35"/>
      <c r="C665" s="35"/>
      <c r="D665" s="35"/>
      <c r="E665" s="35"/>
      <c r="F665" s="35"/>
      <c r="G665" s="86"/>
      <c r="H665" s="35"/>
      <c r="I665" s="35"/>
      <c r="J665" s="32"/>
    </row>
    <row r="666" spans="1:10" x14ac:dyDescent="0.15">
      <c r="A666" s="35"/>
      <c r="B666" s="35"/>
      <c r="C666" s="35"/>
      <c r="D666" s="35"/>
      <c r="E666" s="35"/>
      <c r="F666" s="35"/>
      <c r="G666" s="86"/>
      <c r="H666" s="35"/>
      <c r="I666" s="35"/>
      <c r="J666" s="32"/>
    </row>
    <row r="667" spans="1:10" x14ac:dyDescent="0.15">
      <c r="A667" s="35"/>
      <c r="B667" s="35"/>
      <c r="C667" s="35"/>
      <c r="D667" s="35"/>
      <c r="E667" s="35"/>
      <c r="F667" s="35"/>
      <c r="G667" s="86"/>
      <c r="H667" s="35"/>
      <c r="I667" s="35"/>
      <c r="J667" s="32"/>
    </row>
    <row r="668" spans="1:10" x14ac:dyDescent="0.15">
      <c r="A668" s="35"/>
      <c r="B668" s="35"/>
      <c r="C668" s="35"/>
      <c r="D668" s="35"/>
      <c r="E668" s="35"/>
      <c r="F668" s="35"/>
      <c r="G668" s="86"/>
      <c r="H668" s="35"/>
      <c r="I668" s="35"/>
      <c r="J668" s="32"/>
    </row>
    <row r="669" spans="1:10" x14ac:dyDescent="0.15">
      <c r="A669" s="35"/>
      <c r="B669" s="35"/>
      <c r="C669" s="35"/>
      <c r="D669" s="35"/>
      <c r="E669" s="35"/>
      <c r="F669" s="35"/>
      <c r="G669" s="86"/>
      <c r="H669" s="35"/>
      <c r="I669" s="35"/>
      <c r="J669" s="32"/>
    </row>
    <row r="670" spans="1:10" x14ac:dyDescent="0.15">
      <c r="A670" s="35"/>
      <c r="B670" s="35"/>
      <c r="C670" s="35"/>
      <c r="D670" s="35"/>
      <c r="E670" s="35"/>
      <c r="F670" s="35"/>
      <c r="G670" s="86"/>
      <c r="H670" s="35"/>
      <c r="I670" s="35"/>
      <c r="J670" s="32"/>
    </row>
    <row r="671" spans="1:10" x14ac:dyDescent="0.15">
      <c r="A671" s="35"/>
      <c r="B671" s="35"/>
      <c r="C671" s="35"/>
      <c r="D671" s="35"/>
      <c r="E671" s="35"/>
      <c r="F671" s="35"/>
      <c r="G671" s="86"/>
      <c r="H671" s="35"/>
      <c r="I671" s="35"/>
      <c r="J671" s="32"/>
    </row>
    <row r="672" spans="1:10" x14ac:dyDescent="0.15">
      <c r="A672" s="35"/>
      <c r="B672" s="35"/>
      <c r="C672" s="35"/>
      <c r="D672" s="35"/>
      <c r="E672" s="35"/>
      <c r="F672" s="35"/>
      <c r="G672" s="86"/>
      <c r="H672" s="35"/>
      <c r="I672" s="35"/>
      <c r="J672" s="32"/>
    </row>
    <row r="673" spans="1:10" x14ac:dyDescent="0.15">
      <c r="A673" s="35"/>
      <c r="B673" s="35"/>
      <c r="C673" s="35"/>
      <c r="D673" s="35"/>
      <c r="E673" s="35"/>
      <c r="F673" s="35"/>
      <c r="G673" s="86"/>
      <c r="H673" s="35"/>
      <c r="I673" s="35"/>
      <c r="J673" s="32"/>
    </row>
    <row r="674" spans="1:10" x14ac:dyDescent="0.15">
      <c r="A674" s="35"/>
      <c r="B674" s="35"/>
      <c r="C674" s="35"/>
      <c r="D674" s="35"/>
      <c r="E674" s="35"/>
      <c r="F674" s="35"/>
      <c r="G674" s="86"/>
      <c r="H674" s="35"/>
      <c r="I674" s="35"/>
      <c r="J674" s="32"/>
    </row>
    <row r="675" spans="1:10" x14ac:dyDescent="0.15">
      <c r="A675" s="35"/>
      <c r="B675" s="35"/>
      <c r="C675" s="35"/>
      <c r="D675" s="35"/>
      <c r="E675" s="35"/>
      <c r="F675" s="35"/>
      <c r="G675" s="86"/>
      <c r="H675" s="35"/>
      <c r="I675" s="35"/>
      <c r="J675" s="32"/>
    </row>
    <row r="676" spans="1:10" x14ac:dyDescent="0.15">
      <c r="A676" s="35"/>
      <c r="B676" s="35"/>
      <c r="C676" s="35"/>
      <c r="D676" s="35"/>
      <c r="E676" s="35"/>
      <c r="F676" s="35"/>
      <c r="G676" s="86"/>
      <c r="H676" s="35"/>
      <c r="I676" s="35"/>
      <c r="J676" s="32"/>
    </row>
    <row r="677" spans="1:10" x14ac:dyDescent="0.15">
      <c r="A677" s="35"/>
      <c r="B677" s="35"/>
      <c r="C677" s="35"/>
      <c r="D677" s="35"/>
      <c r="E677" s="35"/>
      <c r="F677" s="35"/>
      <c r="G677" s="86"/>
      <c r="H677" s="35"/>
      <c r="I677" s="35"/>
      <c r="J677" s="32"/>
    </row>
    <row r="678" spans="1:10" x14ac:dyDescent="0.15">
      <c r="A678" s="35"/>
      <c r="B678" s="35"/>
      <c r="C678" s="35"/>
      <c r="D678" s="35"/>
      <c r="E678" s="35"/>
      <c r="F678" s="35"/>
      <c r="G678" s="86"/>
      <c r="H678" s="35"/>
      <c r="I678" s="35"/>
      <c r="J678" s="32"/>
    </row>
    <row r="679" spans="1:10" x14ac:dyDescent="0.15">
      <c r="A679" s="35"/>
      <c r="B679" s="35"/>
      <c r="C679" s="35"/>
      <c r="D679" s="35"/>
      <c r="E679" s="35"/>
      <c r="F679" s="35"/>
      <c r="G679" s="86"/>
      <c r="H679" s="35"/>
      <c r="I679" s="35"/>
      <c r="J679" s="32"/>
    </row>
    <row r="680" spans="1:10" x14ac:dyDescent="0.15">
      <c r="A680" s="35"/>
      <c r="B680" s="35"/>
      <c r="C680" s="35"/>
      <c r="D680" s="35"/>
      <c r="E680" s="35"/>
      <c r="F680" s="35"/>
      <c r="G680" s="86"/>
      <c r="H680" s="35"/>
      <c r="I680" s="35"/>
      <c r="J680" s="32"/>
    </row>
    <row r="681" spans="1:10" x14ac:dyDescent="0.15">
      <c r="A681" s="35"/>
      <c r="B681" s="35"/>
      <c r="C681" s="35"/>
      <c r="D681" s="35"/>
      <c r="E681" s="35"/>
      <c r="F681" s="35"/>
      <c r="G681" s="86"/>
      <c r="H681" s="35"/>
      <c r="I681" s="35"/>
      <c r="J681" s="32"/>
    </row>
    <row r="682" spans="1:10" x14ac:dyDescent="0.15">
      <c r="A682" s="35"/>
      <c r="B682" s="35"/>
      <c r="C682" s="35"/>
      <c r="D682" s="35"/>
      <c r="E682" s="35"/>
      <c r="F682" s="35"/>
      <c r="G682" s="86"/>
      <c r="H682" s="35"/>
      <c r="I682" s="35"/>
      <c r="J682" s="32"/>
    </row>
    <row r="683" spans="1:10" x14ac:dyDescent="0.15">
      <c r="A683" s="35"/>
      <c r="B683" s="35"/>
      <c r="C683" s="35"/>
      <c r="D683" s="35"/>
      <c r="E683" s="35"/>
      <c r="F683" s="35"/>
      <c r="G683" s="86"/>
      <c r="H683" s="35"/>
      <c r="I683" s="35"/>
      <c r="J683" s="32"/>
    </row>
    <row r="684" spans="1:10" x14ac:dyDescent="0.15">
      <c r="A684" s="35"/>
      <c r="B684" s="35"/>
      <c r="C684" s="35"/>
      <c r="D684" s="35"/>
      <c r="E684" s="35"/>
      <c r="F684" s="35"/>
      <c r="G684" s="86"/>
      <c r="H684" s="35"/>
      <c r="I684" s="35"/>
      <c r="J684" s="32"/>
    </row>
    <row r="685" spans="1:10" x14ac:dyDescent="0.15">
      <c r="A685" s="35"/>
      <c r="B685" s="35"/>
      <c r="C685" s="35"/>
      <c r="D685" s="35"/>
      <c r="E685" s="35"/>
      <c r="F685" s="35"/>
      <c r="G685" s="86"/>
      <c r="H685" s="35"/>
      <c r="I685" s="35"/>
      <c r="J685" s="32"/>
    </row>
    <row r="686" spans="1:10" x14ac:dyDescent="0.15">
      <c r="A686" s="35"/>
      <c r="B686" s="35"/>
      <c r="C686" s="35"/>
      <c r="D686" s="35"/>
      <c r="E686" s="35"/>
      <c r="F686" s="35"/>
      <c r="G686" s="86"/>
      <c r="H686" s="35"/>
      <c r="I686" s="35"/>
      <c r="J686" s="32"/>
    </row>
    <row r="687" spans="1:10" x14ac:dyDescent="0.15">
      <c r="A687" s="35"/>
      <c r="B687" s="35"/>
      <c r="C687" s="35"/>
      <c r="D687" s="35"/>
      <c r="E687" s="35"/>
      <c r="F687" s="35"/>
      <c r="G687" s="86"/>
      <c r="H687" s="35"/>
      <c r="I687" s="35"/>
      <c r="J687" s="32"/>
    </row>
    <row r="688" spans="1:10" x14ac:dyDescent="0.15">
      <c r="A688" s="35"/>
      <c r="B688" s="35"/>
      <c r="C688" s="35"/>
      <c r="D688" s="35"/>
      <c r="E688" s="35"/>
      <c r="F688" s="35"/>
      <c r="G688" s="86"/>
      <c r="H688" s="35"/>
      <c r="I688" s="35"/>
      <c r="J688" s="32"/>
    </row>
    <row r="689" spans="1:10" x14ac:dyDescent="0.15">
      <c r="A689" s="35"/>
      <c r="B689" s="35"/>
      <c r="C689" s="35"/>
      <c r="D689" s="35"/>
      <c r="E689" s="35"/>
      <c r="F689" s="35"/>
      <c r="G689" s="86"/>
      <c r="H689" s="35"/>
      <c r="I689" s="35"/>
      <c r="J689" s="32"/>
    </row>
    <row r="690" spans="1:10" x14ac:dyDescent="0.15">
      <c r="A690" s="35"/>
      <c r="B690" s="35"/>
      <c r="C690" s="35"/>
      <c r="D690" s="35"/>
      <c r="E690" s="35"/>
      <c r="F690" s="35"/>
      <c r="G690" s="86"/>
      <c r="H690" s="35"/>
      <c r="I690" s="35"/>
      <c r="J690" s="32"/>
    </row>
    <row r="691" spans="1:10" x14ac:dyDescent="0.15">
      <c r="A691" s="35"/>
      <c r="B691" s="35"/>
      <c r="C691" s="35"/>
      <c r="D691" s="35"/>
      <c r="E691" s="35"/>
      <c r="F691" s="35"/>
      <c r="G691" s="86"/>
      <c r="H691" s="35"/>
      <c r="I691" s="35"/>
      <c r="J691" s="32"/>
    </row>
    <row r="692" spans="1:10" x14ac:dyDescent="0.15">
      <c r="A692" s="35"/>
      <c r="B692" s="35"/>
      <c r="C692" s="35"/>
      <c r="D692" s="35"/>
      <c r="E692" s="35"/>
      <c r="F692" s="35"/>
      <c r="G692" s="86"/>
      <c r="H692" s="35"/>
      <c r="I692" s="35"/>
      <c r="J692" s="32"/>
    </row>
    <row r="693" spans="1:10" x14ac:dyDescent="0.15">
      <c r="A693" s="35"/>
      <c r="B693" s="35"/>
      <c r="C693" s="35"/>
      <c r="D693" s="35"/>
      <c r="E693" s="35"/>
      <c r="F693" s="35"/>
      <c r="G693" s="86"/>
      <c r="H693" s="35"/>
      <c r="I693" s="35"/>
      <c r="J693" s="32"/>
    </row>
    <row r="694" spans="1:10" x14ac:dyDescent="0.15">
      <c r="A694" s="35"/>
      <c r="B694" s="35"/>
      <c r="C694" s="35"/>
      <c r="D694" s="35"/>
      <c r="E694" s="35"/>
      <c r="F694" s="35"/>
      <c r="G694" s="86"/>
      <c r="H694" s="35"/>
      <c r="I694" s="35"/>
      <c r="J694" s="32"/>
    </row>
    <row r="695" spans="1:10" x14ac:dyDescent="0.15">
      <c r="A695" s="35"/>
      <c r="B695" s="35"/>
      <c r="C695" s="35"/>
      <c r="D695" s="35"/>
      <c r="E695" s="35"/>
      <c r="F695" s="35"/>
      <c r="G695" s="86"/>
      <c r="H695" s="35"/>
      <c r="I695" s="35"/>
      <c r="J695" s="32"/>
    </row>
    <row r="696" spans="1:10" x14ac:dyDescent="0.15">
      <c r="A696" s="35"/>
      <c r="B696" s="35"/>
      <c r="C696" s="35"/>
      <c r="D696" s="35"/>
      <c r="E696" s="35"/>
      <c r="F696" s="35"/>
      <c r="G696" s="86"/>
      <c r="H696" s="35"/>
      <c r="I696" s="35"/>
      <c r="J696" s="32"/>
    </row>
    <row r="697" spans="1:10" x14ac:dyDescent="0.15">
      <c r="A697" s="35"/>
      <c r="B697" s="35"/>
      <c r="C697" s="35"/>
      <c r="D697" s="35"/>
      <c r="E697" s="35"/>
      <c r="F697" s="35"/>
      <c r="G697" s="86"/>
      <c r="H697" s="35"/>
      <c r="I697" s="35"/>
      <c r="J697" s="32"/>
    </row>
    <row r="698" spans="1:10" x14ac:dyDescent="0.15">
      <c r="A698" s="35"/>
      <c r="B698" s="35"/>
      <c r="C698" s="35"/>
      <c r="D698" s="35"/>
      <c r="E698" s="35"/>
      <c r="F698" s="35"/>
      <c r="G698" s="86"/>
      <c r="H698" s="35"/>
      <c r="I698" s="35"/>
      <c r="J698" s="32"/>
    </row>
    <row r="699" spans="1:10" x14ac:dyDescent="0.15">
      <c r="A699" s="35"/>
      <c r="B699" s="35"/>
      <c r="C699" s="35"/>
      <c r="D699" s="35"/>
      <c r="E699" s="35"/>
      <c r="F699" s="35"/>
      <c r="G699" s="86"/>
      <c r="H699" s="35"/>
      <c r="I699" s="35"/>
      <c r="J699" s="32"/>
    </row>
    <row r="700" spans="1:10" x14ac:dyDescent="0.15">
      <c r="A700" s="35"/>
      <c r="B700" s="35"/>
      <c r="C700" s="35"/>
      <c r="D700" s="35"/>
      <c r="E700" s="35"/>
      <c r="F700" s="35"/>
      <c r="G700" s="86"/>
      <c r="H700" s="35"/>
      <c r="I700" s="35"/>
      <c r="J700" s="32"/>
    </row>
    <row r="701" spans="1:10" x14ac:dyDescent="0.15">
      <c r="A701" s="35"/>
      <c r="B701" s="35"/>
      <c r="C701" s="35"/>
      <c r="D701" s="35"/>
      <c r="E701" s="35"/>
      <c r="F701" s="35"/>
      <c r="G701" s="86"/>
      <c r="H701" s="35"/>
      <c r="I701" s="35"/>
      <c r="J701" s="32"/>
    </row>
    <row r="702" spans="1:10" x14ac:dyDescent="0.15">
      <c r="A702" s="35"/>
      <c r="B702" s="35"/>
      <c r="C702" s="35"/>
      <c r="D702" s="35"/>
      <c r="E702" s="35"/>
      <c r="F702" s="35"/>
      <c r="G702" s="86"/>
      <c r="H702" s="35"/>
      <c r="I702" s="35"/>
      <c r="J702" s="32"/>
    </row>
    <row r="703" spans="1:10" x14ac:dyDescent="0.15">
      <c r="A703" s="35"/>
      <c r="B703" s="35"/>
      <c r="C703" s="35"/>
      <c r="D703" s="35"/>
      <c r="E703" s="35"/>
      <c r="F703" s="35"/>
      <c r="G703" s="86"/>
      <c r="H703" s="35"/>
      <c r="I703" s="35"/>
      <c r="J703" s="32"/>
    </row>
    <row r="704" spans="1:10" x14ac:dyDescent="0.15">
      <c r="A704" s="35"/>
      <c r="B704" s="35"/>
      <c r="C704" s="35"/>
      <c r="D704" s="35"/>
      <c r="E704" s="35"/>
      <c r="F704" s="35"/>
      <c r="G704" s="86"/>
      <c r="H704" s="35"/>
      <c r="I704" s="35"/>
      <c r="J704" s="32"/>
    </row>
    <row r="705" spans="1:10" x14ac:dyDescent="0.15">
      <c r="A705" s="35"/>
      <c r="B705" s="35"/>
      <c r="C705" s="35"/>
      <c r="D705" s="35"/>
      <c r="E705" s="35"/>
      <c r="F705" s="35"/>
      <c r="G705" s="86"/>
      <c r="H705" s="35"/>
      <c r="I705" s="35"/>
      <c r="J705" s="32"/>
    </row>
    <row r="706" spans="1:10" x14ac:dyDescent="0.15">
      <c r="A706" s="35"/>
      <c r="B706" s="35"/>
      <c r="C706" s="35"/>
      <c r="D706" s="35"/>
      <c r="E706" s="35"/>
      <c r="F706" s="35"/>
      <c r="G706" s="86"/>
      <c r="H706" s="35"/>
      <c r="I706" s="35"/>
      <c r="J706" s="32"/>
    </row>
    <row r="707" spans="1:10" x14ac:dyDescent="0.15">
      <c r="A707" s="35"/>
      <c r="B707" s="35"/>
      <c r="C707" s="35"/>
      <c r="D707" s="35"/>
      <c r="E707" s="35"/>
      <c r="F707" s="35"/>
      <c r="G707" s="86"/>
      <c r="H707" s="35"/>
      <c r="I707" s="35"/>
      <c r="J707" s="32"/>
    </row>
    <row r="708" spans="1:10" x14ac:dyDescent="0.15">
      <c r="A708" s="35"/>
      <c r="B708" s="35"/>
      <c r="C708" s="35"/>
      <c r="D708" s="35"/>
      <c r="E708" s="35"/>
      <c r="F708" s="35"/>
      <c r="G708" s="86"/>
      <c r="H708" s="35"/>
      <c r="I708" s="35"/>
      <c r="J708" s="32"/>
    </row>
    <row r="709" spans="1:10" x14ac:dyDescent="0.15">
      <c r="A709" s="35"/>
      <c r="B709" s="35"/>
      <c r="C709" s="35"/>
      <c r="D709" s="35"/>
      <c r="E709" s="35"/>
      <c r="F709" s="35"/>
      <c r="G709" s="86"/>
      <c r="H709" s="35"/>
      <c r="I709" s="35"/>
      <c r="J709" s="32"/>
    </row>
    <row r="710" spans="1:10" x14ac:dyDescent="0.15">
      <c r="A710" s="35"/>
      <c r="B710" s="35"/>
      <c r="C710" s="35"/>
      <c r="D710" s="35"/>
      <c r="E710" s="35"/>
      <c r="F710" s="35"/>
      <c r="G710" s="86"/>
      <c r="H710" s="35"/>
      <c r="I710" s="35"/>
      <c r="J710" s="32"/>
    </row>
    <row r="711" spans="1:10" x14ac:dyDescent="0.15">
      <c r="A711" s="35"/>
      <c r="B711" s="35"/>
      <c r="C711" s="35"/>
      <c r="D711" s="35"/>
      <c r="E711" s="35"/>
      <c r="F711" s="35"/>
      <c r="G711" s="86"/>
      <c r="H711" s="35"/>
      <c r="I711" s="35"/>
      <c r="J711" s="32"/>
    </row>
    <row r="712" spans="1:10" x14ac:dyDescent="0.15">
      <c r="A712" s="35"/>
      <c r="B712" s="35"/>
      <c r="C712" s="35"/>
      <c r="D712" s="35"/>
      <c r="E712" s="35"/>
      <c r="F712" s="35"/>
      <c r="G712" s="86"/>
      <c r="H712" s="35"/>
      <c r="I712" s="35"/>
      <c r="J712" s="32"/>
    </row>
    <row r="713" spans="1:10" x14ac:dyDescent="0.15">
      <c r="A713" s="35"/>
      <c r="B713" s="35"/>
      <c r="C713" s="35"/>
      <c r="D713" s="35"/>
      <c r="E713" s="35"/>
      <c r="F713" s="35"/>
      <c r="G713" s="86"/>
      <c r="H713" s="35"/>
      <c r="I713" s="35"/>
      <c r="J713" s="32"/>
    </row>
    <row r="714" spans="1:10" x14ac:dyDescent="0.15">
      <c r="A714" s="35"/>
      <c r="B714" s="35"/>
      <c r="C714" s="35"/>
      <c r="D714" s="35"/>
      <c r="E714" s="35"/>
      <c r="F714" s="35"/>
      <c r="G714" s="86"/>
      <c r="H714" s="35"/>
      <c r="I714" s="35"/>
      <c r="J714" s="32"/>
    </row>
    <row r="715" spans="1:10" x14ac:dyDescent="0.15">
      <c r="A715" s="35"/>
      <c r="B715" s="35"/>
      <c r="C715" s="35"/>
      <c r="D715" s="35"/>
      <c r="E715" s="35"/>
      <c r="F715" s="35"/>
      <c r="G715" s="86"/>
      <c r="H715" s="35"/>
      <c r="I715" s="35"/>
      <c r="J715" s="32"/>
    </row>
    <row r="716" spans="1:10" x14ac:dyDescent="0.15">
      <c r="A716" s="35"/>
      <c r="B716" s="35"/>
      <c r="C716" s="35"/>
      <c r="D716" s="35"/>
      <c r="E716" s="35"/>
      <c r="F716" s="35"/>
      <c r="G716" s="86"/>
      <c r="H716" s="35"/>
      <c r="I716" s="35"/>
      <c r="J716" s="32"/>
    </row>
    <row r="717" spans="1:10" x14ac:dyDescent="0.15">
      <c r="A717" s="35"/>
      <c r="B717" s="35"/>
      <c r="C717" s="35"/>
      <c r="D717" s="35"/>
      <c r="E717" s="35"/>
      <c r="F717" s="35"/>
      <c r="G717" s="86"/>
      <c r="H717" s="35"/>
      <c r="I717" s="35"/>
      <c r="J717" s="32"/>
    </row>
    <row r="718" spans="1:10" x14ac:dyDescent="0.15">
      <c r="A718" s="35"/>
      <c r="B718" s="35"/>
      <c r="C718" s="35"/>
      <c r="D718" s="35"/>
      <c r="E718" s="35"/>
      <c r="F718" s="35"/>
      <c r="G718" s="86"/>
      <c r="H718" s="35"/>
      <c r="I718" s="35"/>
      <c r="J718" s="32"/>
    </row>
    <row r="719" spans="1:10" x14ac:dyDescent="0.15">
      <c r="A719" s="35"/>
      <c r="B719" s="35"/>
      <c r="C719" s="35"/>
      <c r="D719" s="35"/>
      <c r="E719" s="35"/>
      <c r="F719" s="35"/>
      <c r="G719" s="86"/>
      <c r="H719" s="35"/>
      <c r="I719" s="35"/>
      <c r="J719" s="32"/>
    </row>
    <row r="720" spans="1:10" x14ac:dyDescent="0.15">
      <c r="A720" s="35"/>
      <c r="B720" s="35"/>
      <c r="C720" s="35"/>
      <c r="D720" s="35"/>
      <c r="E720" s="35"/>
      <c r="F720" s="35"/>
      <c r="G720" s="86"/>
      <c r="H720" s="35"/>
      <c r="I720" s="35"/>
      <c r="J720" s="32"/>
    </row>
    <row r="721" spans="1:10" x14ac:dyDescent="0.15">
      <c r="A721" s="35"/>
      <c r="B721" s="35"/>
      <c r="C721" s="35"/>
      <c r="D721" s="35"/>
      <c r="E721" s="35"/>
      <c r="F721" s="35"/>
      <c r="G721" s="86"/>
      <c r="H721" s="35"/>
      <c r="I721" s="35"/>
      <c r="J721" s="32"/>
    </row>
    <row r="722" spans="1:10" x14ac:dyDescent="0.15">
      <c r="A722" s="35"/>
      <c r="B722" s="35"/>
      <c r="C722" s="35"/>
      <c r="D722" s="35"/>
      <c r="E722" s="35"/>
      <c r="F722" s="35"/>
      <c r="G722" s="86"/>
      <c r="H722" s="35"/>
      <c r="I722" s="35"/>
      <c r="J722" s="32"/>
    </row>
    <row r="723" spans="1:10" x14ac:dyDescent="0.15">
      <c r="A723" s="35"/>
      <c r="B723" s="35"/>
      <c r="C723" s="35"/>
      <c r="D723" s="35"/>
      <c r="E723" s="35"/>
      <c r="F723" s="35"/>
      <c r="G723" s="86"/>
      <c r="H723" s="35"/>
      <c r="I723" s="35"/>
      <c r="J723" s="32"/>
    </row>
    <row r="724" spans="1:10" x14ac:dyDescent="0.15">
      <c r="A724" s="35"/>
      <c r="B724" s="35"/>
      <c r="C724" s="35"/>
      <c r="D724" s="35"/>
      <c r="E724" s="35"/>
      <c r="F724" s="35"/>
      <c r="G724" s="86"/>
      <c r="H724" s="35"/>
      <c r="I724" s="35"/>
      <c r="J724" s="32"/>
    </row>
    <row r="725" spans="1:10" x14ac:dyDescent="0.15">
      <c r="A725" s="35"/>
      <c r="B725" s="35"/>
      <c r="C725" s="35"/>
      <c r="D725" s="35"/>
      <c r="E725" s="35"/>
      <c r="F725" s="35"/>
      <c r="G725" s="86"/>
      <c r="H725" s="35"/>
      <c r="I725" s="35"/>
      <c r="J725" s="32"/>
    </row>
    <row r="726" spans="1:10" x14ac:dyDescent="0.15">
      <c r="A726" s="35"/>
      <c r="B726" s="35"/>
      <c r="C726" s="35"/>
      <c r="D726" s="35"/>
      <c r="E726" s="35"/>
      <c r="F726" s="35"/>
      <c r="G726" s="86"/>
      <c r="H726" s="35"/>
      <c r="I726" s="35"/>
      <c r="J726" s="32"/>
    </row>
    <row r="727" spans="1:10" x14ac:dyDescent="0.15">
      <c r="A727" s="35"/>
      <c r="B727" s="35"/>
      <c r="C727" s="35"/>
      <c r="D727" s="35"/>
      <c r="E727" s="35"/>
      <c r="F727" s="35"/>
      <c r="G727" s="86"/>
      <c r="H727" s="35"/>
      <c r="I727" s="35"/>
      <c r="J727" s="32"/>
    </row>
    <row r="728" spans="1:10" x14ac:dyDescent="0.15">
      <c r="A728" s="35"/>
      <c r="B728" s="35"/>
      <c r="C728" s="35"/>
      <c r="D728" s="35"/>
      <c r="E728" s="35"/>
      <c r="F728" s="35"/>
      <c r="G728" s="86"/>
      <c r="H728" s="35"/>
      <c r="I728" s="35"/>
      <c r="J728" s="32"/>
    </row>
    <row r="729" spans="1:10" x14ac:dyDescent="0.15">
      <c r="A729" s="35"/>
      <c r="B729" s="35"/>
      <c r="C729" s="35"/>
      <c r="D729" s="35"/>
      <c r="E729" s="35"/>
      <c r="F729" s="35"/>
      <c r="G729" s="86"/>
      <c r="H729" s="35"/>
      <c r="I729" s="35"/>
      <c r="J729" s="32"/>
    </row>
    <row r="730" spans="1:10" x14ac:dyDescent="0.15">
      <c r="A730" s="35"/>
      <c r="B730" s="35"/>
      <c r="C730" s="35"/>
      <c r="D730" s="35"/>
      <c r="E730" s="35"/>
      <c r="F730" s="35"/>
      <c r="G730" s="86"/>
      <c r="H730" s="35"/>
      <c r="I730" s="35"/>
      <c r="J730" s="32"/>
    </row>
    <row r="731" spans="1:10" x14ac:dyDescent="0.15">
      <c r="A731" s="35"/>
      <c r="B731" s="35"/>
      <c r="C731" s="35"/>
      <c r="D731" s="35"/>
      <c r="E731" s="35"/>
      <c r="F731" s="35"/>
      <c r="G731" s="86"/>
      <c r="H731" s="35"/>
      <c r="I731" s="35"/>
      <c r="J731" s="32"/>
    </row>
    <row r="732" spans="1:10" x14ac:dyDescent="0.15">
      <c r="A732" s="35"/>
      <c r="B732" s="35"/>
      <c r="C732" s="35"/>
      <c r="D732" s="35"/>
      <c r="E732" s="35"/>
      <c r="F732" s="35"/>
      <c r="G732" s="86"/>
      <c r="H732" s="35"/>
      <c r="I732" s="35"/>
      <c r="J732" s="32"/>
    </row>
    <row r="733" spans="1:10" x14ac:dyDescent="0.15">
      <c r="A733" s="35"/>
      <c r="B733" s="35"/>
      <c r="C733" s="35"/>
      <c r="D733" s="35"/>
      <c r="E733" s="35"/>
      <c r="F733" s="35"/>
      <c r="G733" s="86"/>
      <c r="H733" s="35"/>
      <c r="I733" s="35"/>
      <c r="J733" s="32"/>
    </row>
    <row r="734" spans="1:10" x14ac:dyDescent="0.15">
      <c r="A734" s="35"/>
      <c r="B734" s="35"/>
      <c r="C734" s="35"/>
      <c r="D734" s="35"/>
      <c r="E734" s="35"/>
      <c r="F734" s="35"/>
      <c r="G734" s="86"/>
      <c r="H734" s="35"/>
      <c r="I734" s="35"/>
      <c r="J734" s="32"/>
    </row>
    <row r="735" spans="1:10" x14ac:dyDescent="0.15">
      <c r="A735" s="35"/>
      <c r="B735" s="35"/>
      <c r="C735" s="35"/>
      <c r="D735" s="35"/>
      <c r="E735" s="35"/>
      <c r="F735" s="35"/>
      <c r="G735" s="86"/>
      <c r="H735" s="35"/>
      <c r="I735" s="35"/>
      <c r="J735" s="32"/>
    </row>
    <row r="736" spans="1:10" x14ac:dyDescent="0.15">
      <c r="A736" s="35"/>
      <c r="B736" s="35"/>
      <c r="C736" s="35"/>
      <c r="D736" s="35"/>
      <c r="E736" s="35"/>
      <c r="F736" s="35"/>
      <c r="G736" s="86"/>
      <c r="H736" s="35"/>
      <c r="I736" s="35"/>
      <c r="J736" s="32"/>
    </row>
    <row r="737" spans="1:10" x14ac:dyDescent="0.15">
      <c r="A737" s="35"/>
      <c r="B737" s="35"/>
      <c r="C737" s="35"/>
      <c r="D737" s="35"/>
      <c r="E737" s="35"/>
      <c r="F737" s="35"/>
      <c r="G737" s="86"/>
      <c r="H737" s="35"/>
      <c r="I737" s="35"/>
      <c r="J737" s="32"/>
    </row>
    <row r="738" spans="1:10" x14ac:dyDescent="0.15">
      <c r="A738" s="35"/>
      <c r="B738" s="35"/>
      <c r="C738" s="35"/>
      <c r="D738" s="35"/>
      <c r="E738" s="35"/>
      <c r="F738" s="35"/>
      <c r="G738" s="86"/>
      <c r="H738" s="35"/>
      <c r="I738" s="35"/>
      <c r="J738" s="32"/>
    </row>
    <row r="739" spans="1:10" x14ac:dyDescent="0.15">
      <c r="A739" s="35"/>
      <c r="B739" s="35"/>
      <c r="C739" s="35"/>
      <c r="D739" s="35"/>
      <c r="E739" s="35"/>
      <c r="F739" s="35"/>
      <c r="G739" s="86"/>
      <c r="H739" s="35"/>
      <c r="I739" s="35"/>
      <c r="J739" s="32"/>
    </row>
    <row r="740" spans="1:10" x14ac:dyDescent="0.15">
      <c r="A740" s="35"/>
      <c r="B740" s="35"/>
      <c r="C740" s="35"/>
      <c r="D740" s="35"/>
      <c r="E740" s="35"/>
      <c r="F740" s="35"/>
      <c r="G740" s="86"/>
      <c r="H740" s="35"/>
      <c r="I740" s="35"/>
      <c r="J740" s="32"/>
    </row>
    <row r="741" spans="1:10" x14ac:dyDescent="0.15">
      <c r="A741" s="35"/>
      <c r="B741" s="35"/>
      <c r="C741" s="35"/>
      <c r="D741" s="35"/>
      <c r="E741" s="35"/>
      <c r="F741" s="35"/>
      <c r="G741" s="86"/>
      <c r="H741" s="35"/>
      <c r="I741" s="35"/>
      <c r="J741" s="32"/>
    </row>
    <row r="742" spans="1:10" x14ac:dyDescent="0.15">
      <c r="A742" s="35"/>
      <c r="B742" s="35"/>
      <c r="C742" s="35"/>
      <c r="D742" s="35"/>
      <c r="E742" s="35"/>
      <c r="F742" s="35"/>
      <c r="G742" s="86"/>
      <c r="H742" s="35"/>
      <c r="I742" s="35"/>
      <c r="J742" s="32"/>
    </row>
    <row r="743" spans="1:10" x14ac:dyDescent="0.15">
      <c r="A743" s="35"/>
      <c r="B743" s="35"/>
      <c r="C743" s="35"/>
      <c r="D743" s="35"/>
      <c r="E743" s="35"/>
      <c r="F743" s="35"/>
      <c r="G743" s="86"/>
      <c r="H743" s="35"/>
      <c r="I743" s="35"/>
      <c r="J743" s="32"/>
    </row>
    <row r="744" spans="1:10" x14ac:dyDescent="0.15">
      <c r="A744" s="35"/>
      <c r="B744" s="35"/>
      <c r="C744" s="35"/>
      <c r="D744" s="35"/>
      <c r="E744" s="35"/>
      <c r="F744" s="35"/>
      <c r="G744" s="86"/>
      <c r="H744" s="35"/>
      <c r="I744" s="35"/>
      <c r="J744" s="32"/>
    </row>
    <row r="745" spans="1:10" x14ac:dyDescent="0.15">
      <c r="A745" s="35"/>
      <c r="B745" s="35"/>
      <c r="C745" s="35"/>
      <c r="D745" s="35"/>
      <c r="E745" s="35"/>
      <c r="F745" s="35"/>
      <c r="G745" s="86"/>
      <c r="H745" s="35"/>
      <c r="I745" s="35"/>
      <c r="J745" s="32"/>
    </row>
    <row r="746" spans="1:10" x14ac:dyDescent="0.15">
      <c r="A746" s="35"/>
      <c r="B746" s="35"/>
      <c r="C746" s="35"/>
      <c r="D746" s="35"/>
      <c r="E746" s="35"/>
      <c r="F746" s="35"/>
      <c r="G746" s="86"/>
      <c r="H746" s="35"/>
      <c r="I746" s="35"/>
      <c r="J746" s="32"/>
    </row>
    <row r="747" spans="1:10" x14ac:dyDescent="0.15">
      <c r="A747" s="35"/>
      <c r="B747" s="35"/>
      <c r="C747" s="35"/>
      <c r="D747" s="35"/>
      <c r="E747" s="35"/>
      <c r="F747" s="35"/>
      <c r="G747" s="86"/>
      <c r="H747" s="35"/>
      <c r="I747" s="35"/>
      <c r="J747" s="32"/>
    </row>
    <row r="748" spans="1:10" x14ac:dyDescent="0.15">
      <c r="A748" s="35"/>
      <c r="B748" s="35"/>
      <c r="C748" s="35"/>
      <c r="D748" s="35"/>
      <c r="E748" s="35"/>
      <c r="F748" s="35"/>
      <c r="G748" s="86"/>
      <c r="H748" s="35"/>
      <c r="I748" s="35"/>
      <c r="J748" s="32"/>
    </row>
    <row r="749" spans="1:10" x14ac:dyDescent="0.15">
      <c r="A749" s="35"/>
      <c r="B749" s="35"/>
      <c r="C749" s="35"/>
      <c r="D749" s="35"/>
      <c r="E749" s="35"/>
      <c r="F749" s="35"/>
      <c r="G749" s="86"/>
      <c r="H749" s="35"/>
      <c r="I749" s="35"/>
      <c r="J749" s="32"/>
    </row>
    <row r="750" spans="1:10" x14ac:dyDescent="0.15">
      <c r="A750" s="35"/>
      <c r="B750" s="35"/>
      <c r="C750" s="35"/>
      <c r="D750" s="35"/>
      <c r="E750" s="35"/>
      <c r="F750" s="35"/>
      <c r="G750" s="86"/>
      <c r="H750" s="35"/>
      <c r="I750" s="35"/>
      <c r="J750" s="32"/>
    </row>
    <row r="751" spans="1:10" x14ac:dyDescent="0.15">
      <c r="A751" s="35"/>
      <c r="B751" s="35"/>
      <c r="C751" s="35"/>
      <c r="D751" s="35"/>
      <c r="E751" s="35"/>
      <c r="F751" s="35"/>
      <c r="G751" s="86"/>
      <c r="H751" s="35"/>
      <c r="I751" s="35"/>
      <c r="J751" s="32"/>
    </row>
    <row r="752" spans="1:10" x14ac:dyDescent="0.15">
      <c r="A752" s="35"/>
      <c r="B752" s="35"/>
      <c r="C752" s="35"/>
      <c r="D752" s="35"/>
      <c r="E752" s="35"/>
      <c r="F752" s="35"/>
      <c r="G752" s="86"/>
      <c r="H752" s="35"/>
      <c r="I752" s="35"/>
      <c r="J752" s="32"/>
    </row>
    <row r="753" spans="1:10" x14ac:dyDescent="0.15">
      <c r="A753" s="35"/>
      <c r="B753" s="35"/>
      <c r="C753" s="35"/>
      <c r="D753" s="35"/>
      <c r="E753" s="35"/>
      <c r="F753" s="35"/>
      <c r="G753" s="86"/>
      <c r="H753" s="35"/>
      <c r="I753" s="35"/>
      <c r="J753" s="32"/>
    </row>
    <row r="754" spans="1:10" x14ac:dyDescent="0.15">
      <c r="A754" s="35"/>
      <c r="B754" s="35"/>
      <c r="C754" s="35"/>
      <c r="D754" s="35"/>
      <c r="E754" s="35"/>
      <c r="F754" s="35"/>
      <c r="G754" s="86"/>
      <c r="H754" s="35"/>
      <c r="I754" s="35"/>
      <c r="J754" s="32"/>
    </row>
    <row r="755" spans="1:10" x14ac:dyDescent="0.15">
      <c r="A755" s="35"/>
      <c r="B755" s="35"/>
      <c r="C755" s="35"/>
      <c r="D755" s="35"/>
      <c r="E755" s="35"/>
      <c r="F755" s="35"/>
      <c r="G755" s="86"/>
      <c r="H755" s="35"/>
      <c r="I755" s="35"/>
      <c r="J755" s="32"/>
    </row>
    <row r="756" spans="1:10" x14ac:dyDescent="0.15">
      <c r="A756" s="35"/>
      <c r="B756" s="35"/>
      <c r="C756" s="35"/>
      <c r="D756" s="35"/>
      <c r="E756" s="35"/>
      <c r="F756" s="35"/>
      <c r="G756" s="86"/>
      <c r="H756" s="35"/>
      <c r="I756" s="35"/>
      <c r="J756" s="32"/>
    </row>
    <row r="757" spans="1:10" x14ac:dyDescent="0.15">
      <c r="A757" s="35"/>
      <c r="B757" s="35"/>
      <c r="C757" s="35"/>
      <c r="D757" s="35"/>
      <c r="E757" s="35"/>
      <c r="F757" s="35"/>
      <c r="G757" s="86"/>
      <c r="H757" s="35"/>
      <c r="I757" s="35"/>
      <c r="J757" s="32"/>
    </row>
    <row r="758" spans="1:10" x14ac:dyDescent="0.15">
      <c r="A758" s="35"/>
      <c r="B758" s="35"/>
      <c r="C758" s="35"/>
      <c r="D758" s="35"/>
      <c r="E758" s="35"/>
      <c r="F758" s="35"/>
      <c r="G758" s="86"/>
      <c r="H758" s="35"/>
      <c r="I758" s="35"/>
      <c r="J758" s="32"/>
    </row>
    <row r="759" spans="1:10" x14ac:dyDescent="0.15">
      <c r="A759" s="35"/>
      <c r="B759" s="35"/>
      <c r="C759" s="35"/>
      <c r="D759" s="35"/>
      <c r="E759" s="35"/>
      <c r="F759" s="35"/>
      <c r="G759" s="86"/>
      <c r="H759" s="35"/>
      <c r="I759" s="35"/>
      <c r="J759" s="32"/>
    </row>
    <row r="760" spans="1:10" x14ac:dyDescent="0.15">
      <c r="A760" s="35"/>
      <c r="B760" s="35"/>
      <c r="C760" s="35"/>
      <c r="D760" s="35"/>
      <c r="E760" s="35"/>
      <c r="F760" s="35"/>
      <c r="G760" s="86"/>
      <c r="H760" s="35"/>
      <c r="I760" s="35"/>
      <c r="J760" s="32"/>
    </row>
    <row r="761" spans="1:10" x14ac:dyDescent="0.15">
      <c r="A761" s="35"/>
      <c r="B761" s="35"/>
      <c r="C761" s="35"/>
      <c r="D761" s="35"/>
      <c r="E761" s="35"/>
      <c r="F761" s="35"/>
      <c r="G761" s="86"/>
      <c r="H761" s="35"/>
      <c r="I761" s="35"/>
      <c r="J761" s="32"/>
    </row>
    <row r="762" spans="1:10" x14ac:dyDescent="0.15">
      <c r="A762" s="35"/>
      <c r="B762" s="35"/>
      <c r="C762" s="35"/>
      <c r="D762" s="35"/>
      <c r="E762" s="35"/>
      <c r="F762" s="35"/>
      <c r="G762" s="86"/>
      <c r="H762" s="35"/>
      <c r="I762" s="35"/>
      <c r="J762" s="32"/>
    </row>
    <row r="763" spans="1:10" x14ac:dyDescent="0.15">
      <c r="A763" s="35"/>
      <c r="B763" s="35"/>
      <c r="C763" s="35"/>
      <c r="D763" s="35"/>
      <c r="E763" s="35"/>
      <c r="F763" s="35"/>
      <c r="G763" s="86"/>
      <c r="H763" s="35"/>
      <c r="I763" s="35"/>
      <c r="J763" s="32"/>
    </row>
    <row r="764" spans="1:10" x14ac:dyDescent="0.15">
      <c r="A764" s="35"/>
      <c r="B764" s="35"/>
      <c r="C764" s="35"/>
      <c r="D764" s="35"/>
      <c r="E764" s="35"/>
      <c r="F764" s="35"/>
      <c r="G764" s="86"/>
      <c r="H764" s="35"/>
      <c r="I764" s="35"/>
      <c r="J764" s="32"/>
    </row>
    <row r="765" spans="1:10" x14ac:dyDescent="0.15">
      <c r="A765" s="35"/>
      <c r="B765" s="35"/>
      <c r="C765" s="35"/>
      <c r="D765" s="35"/>
      <c r="E765" s="35"/>
      <c r="F765" s="35"/>
      <c r="G765" s="86"/>
      <c r="H765" s="35"/>
      <c r="I765" s="35"/>
      <c r="J765" s="32"/>
    </row>
    <row r="766" spans="1:10" x14ac:dyDescent="0.15">
      <c r="A766" s="35"/>
      <c r="B766" s="35"/>
      <c r="C766" s="35"/>
      <c r="D766" s="35"/>
      <c r="E766" s="35"/>
      <c r="F766" s="35"/>
      <c r="G766" s="86"/>
      <c r="H766" s="35"/>
      <c r="I766" s="35"/>
      <c r="J766" s="32"/>
    </row>
    <row r="767" spans="1:10" x14ac:dyDescent="0.15">
      <c r="A767" s="35"/>
      <c r="B767" s="35"/>
      <c r="C767" s="35"/>
      <c r="D767" s="35"/>
      <c r="E767" s="35"/>
      <c r="F767" s="35"/>
      <c r="G767" s="86"/>
      <c r="H767" s="35"/>
      <c r="I767" s="35"/>
      <c r="J767" s="32"/>
    </row>
    <row r="768" spans="1:10" x14ac:dyDescent="0.15">
      <c r="A768" s="35"/>
      <c r="B768" s="35"/>
      <c r="C768" s="35"/>
      <c r="D768" s="35"/>
      <c r="E768" s="35"/>
      <c r="F768" s="35"/>
      <c r="G768" s="86"/>
      <c r="H768" s="35"/>
      <c r="I768" s="35"/>
      <c r="J768" s="32"/>
    </row>
    <row r="769" spans="1:10" x14ac:dyDescent="0.15">
      <c r="A769" s="35"/>
      <c r="B769" s="35"/>
      <c r="C769" s="35"/>
      <c r="D769" s="35"/>
      <c r="E769" s="35"/>
      <c r="F769" s="35"/>
      <c r="G769" s="86"/>
      <c r="H769" s="35"/>
      <c r="I769" s="35"/>
      <c r="J769" s="32"/>
    </row>
    <row r="770" spans="1:10" x14ac:dyDescent="0.15">
      <c r="A770" s="35"/>
      <c r="B770" s="35"/>
      <c r="C770" s="35"/>
      <c r="D770" s="35"/>
      <c r="E770" s="35"/>
      <c r="F770" s="35"/>
      <c r="G770" s="86"/>
      <c r="H770" s="35"/>
      <c r="I770" s="35"/>
      <c r="J770" s="32"/>
    </row>
    <row r="771" spans="1:10" x14ac:dyDescent="0.15">
      <c r="A771" s="35"/>
      <c r="B771" s="35"/>
      <c r="C771" s="35"/>
      <c r="D771" s="35"/>
      <c r="E771" s="35"/>
      <c r="F771" s="35"/>
      <c r="G771" s="86"/>
      <c r="H771" s="35"/>
      <c r="I771" s="35"/>
      <c r="J771" s="32"/>
    </row>
    <row r="772" spans="1:10" x14ac:dyDescent="0.15">
      <c r="A772" s="35"/>
      <c r="B772" s="35"/>
      <c r="C772" s="35"/>
      <c r="D772" s="35"/>
      <c r="E772" s="35"/>
      <c r="F772" s="35"/>
      <c r="G772" s="86"/>
      <c r="H772" s="35"/>
      <c r="I772" s="35"/>
      <c r="J772" s="32"/>
    </row>
    <row r="773" spans="1:10" x14ac:dyDescent="0.15">
      <c r="A773" s="35"/>
      <c r="B773" s="35"/>
      <c r="C773" s="35"/>
      <c r="D773" s="35"/>
      <c r="E773" s="35"/>
      <c r="F773" s="35"/>
      <c r="G773" s="86"/>
      <c r="H773" s="35"/>
      <c r="I773" s="35"/>
      <c r="J773" s="32"/>
    </row>
    <row r="774" spans="1:10" x14ac:dyDescent="0.15">
      <c r="A774" s="35"/>
      <c r="B774" s="35"/>
      <c r="C774" s="35"/>
      <c r="D774" s="35"/>
      <c r="E774" s="35"/>
      <c r="F774" s="35"/>
      <c r="G774" s="86"/>
      <c r="H774" s="35"/>
      <c r="I774" s="35"/>
      <c r="J774" s="32"/>
    </row>
    <row r="775" spans="1:10" x14ac:dyDescent="0.15">
      <c r="A775" s="35"/>
      <c r="B775" s="35"/>
      <c r="C775" s="35"/>
      <c r="D775" s="35"/>
      <c r="E775" s="35"/>
      <c r="F775" s="35"/>
      <c r="G775" s="86"/>
      <c r="H775" s="35"/>
      <c r="I775" s="35"/>
      <c r="J775" s="32"/>
    </row>
    <row r="776" spans="1:10" x14ac:dyDescent="0.15">
      <c r="A776" s="35"/>
      <c r="B776" s="35"/>
      <c r="C776" s="35"/>
      <c r="D776" s="35"/>
      <c r="E776" s="35"/>
      <c r="F776" s="35"/>
      <c r="G776" s="86"/>
      <c r="H776" s="35"/>
      <c r="I776" s="35"/>
      <c r="J776" s="32"/>
    </row>
    <row r="777" spans="1:10" x14ac:dyDescent="0.15">
      <c r="A777" s="35"/>
      <c r="B777" s="35"/>
      <c r="C777" s="35"/>
      <c r="D777" s="35"/>
      <c r="E777" s="35"/>
      <c r="F777" s="35"/>
      <c r="G777" s="86"/>
      <c r="H777" s="35"/>
      <c r="I777" s="35"/>
      <c r="J777" s="32"/>
    </row>
    <row r="778" spans="1:10" x14ac:dyDescent="0.15">
      <c r="A778" s="35"/>
      <c r="B778" s="35"/>
      <c r="C778" s="35"/>
      <c r="D778" s="35"/>
      <c r="E778" s="35"/>
      <c r="F778" s="35"/>
      <c r="G778" s="86"/>
      <c r="H778" s="35"/>
      <c r="I778" s="35"/>
      <c r="J778" s="32"/>
    </row>
    <row r="779" spans="1:10" x14ac:dyDescent="0.15">
      <c r="A779" s="35"/>
      <c r="B779" s="35"/>
      <c r="C779" s="35"/>
      <c r="D779" s="35"/>
      <c r="E779" s="35"/>
      <c r="F779" s="35"/>
      <c r="G779" s="86"/>
      <c r="H779" s="35"/>
      <c r="I779" s="35"/>
      <c r="J779" s="32"/>
    </row>
    <row r="780" spans="1:10" x14ac:dyDescent="0.15">
      <c r="A780" s="35"/>
      <c r="B780" s="35"/>
      <c r="C780" s="35"/>
      <c r="D780" s="35"/>
      <c r="E780" s="35"/>
      <c r="F780" s="35"/>
      <c r="G780" s="86"/>
      <c r="H780" s="35"/>
      <c r="I780" s="35"/>
      <c r="J780" s="32"/>
    </row>
    <row r="781" spans="1:10" x14ac:dyDescent="0.15">
      <c r="A781" s="35"/>
      <c r="B781" s="35"/>
      <c r="C781" s="35"/>
      <c r="D781" s="35"/>
      <c r="E781" s="35"/>
      <c r="F781" s="35"/>
      <c r="G781" s="86"/>
      <c r="H781" s="35"/>
      <c r="I781" s="35"/>
      <c r="J781" s="32"/>
    </row>
    <row r="782" spans="1:10" x14ac:dyDescent="0.15">
      <c r="A782" s="35"/>
      <c r="B782" s="35"/>
      <c r="C782" s="35"/>
      <c r="D782" s="35"/>
      <c r="E782" s="35"/>
      <c r="F782" s="35"/>
      <c r="G782" s="86"/>
      <c r="H782" s="35"/>
      <c r="I782" s="35"/>
      <c r="J782" s="32"/>
    </row>
    <row r="783" spans="1:10" x14ac:dyDescent="0.15">
      <c r="A783" s="35"/>
      <c r="B783" s="35"/>
      <c r="C783" s="35"/>
      <c r="D783" s="35"/>
      <c r="E783" s="35"/>
      <c r="F783" s="35"/>
      <c r="G783" s="86"/>
      <c r="H783" s="35"/>
      <c r="I783" s="35"/>
      <c r="J783" s="32"/>
    </row>
    <row r="784" spans="1:10" x14ac:dyDescent="0.15">
      <c r="A784" s="35"/>
      <c r="B784" s="35"/>
      <c r="C784" s="35"/>
      <c r="D784" s="35"/>
      <c r="E784" s="35"/>
      <c r="F784" s="35"/>
      <c r="G784" s="86"/>
      <c r="H784" s="35"/>
      <c r="I784" s="35"/>
      <c r="J784" s="32"/>
    </row>
    <row r="785" spans="1:10" x14ac:dyDescent="0.15">
      <c r="A785" s="35"/>
      <c r="B785" s="35"/>
      <c r="C785" s="35"/>
      <c r="D785" s="35"/>
      <c r="E785" s="35"/>
      <c r="F785" s="35"/>
      <c r="G785" s="86"/>
      <c r="H785" s="35"/>
      <c r="I785" s="35"/>
      <c r="J785" s="32"/>
    </row>
    <row r="786" spans="1:10" x14ac:dyDescent="0.15">
      <c r="A786" s="35"/>
      <c r="B786" s="35"/>
      <c r="C786" s="35"/>
      <c r="D786" s="35"/>
      <c r="E786" s="35"/>
      <c r="F786" s="35"/>
      <c r="G786" s="86"/>
      <c r="H786" s="35"/>
      <c r="I786" s="35"/>
      <c r="J786" s="32"/>
    </row>
    <row r="787" spans="1:10" x14ac:dyDescent="0.15">
      <c r="A787" s="35"/>
      <c r="B787" s="35"/>
      <c r="C787" s="35"/>
      <c r="D787" s="35"/>
      <c r="E787" s="35"/>
      <c r="F787" s="35"/>
      <c r="G787" s="86"/>
      <c r="H787" s="35"/>
      <c r="I787" s="35"/>
      <c r="J787" s="32"/>
    </row>
    <row r="788" spans="1:10" x14ac:dyDescent="0.15">
      <c r="A788" s="35"/>
      <c r="B788" s="35"/>
      <c r="C788" s="35"/>
      <c r="D788" s="35"/>
      <c r="E788" s="35"/>
      <c r="F788" s="35"/>
      <c r="G788" s="86"/>
      <c r="H788" s="35"/>
      <c r="I788" s="35"/>
      <c r="J788" s="32"/>
    </row>
    <row r="789" spans="1:10" x14ac:dyDescent="0.15">
      <c r="A789" s="35"/>
      <c r="B789" s="35"/>
      <c r="C789" s="35"/>
      <c r="D789" s="35"/>
      <c r="E789" s="35"/>
      <c r="F789" s="35"/>
      <c r="G789" s="86"/>
      <c r="H789" s="35"/>
      <c r="I789" s="35"/>
      <c r="J789" s="32"/>
    </row>
    <row r="790" spans="1:10" x14ac:dyDescent="0.15">
      <c r="A790" s="35"/>
      <c r="B790" s="35"/>
      <c r="C790" s="35"/>
      <c r="D790" s="35"/>
      <c r="E790" s="35"/>
      <c r="F790" s="35"/>
      <c r="G790" s="86"/>
      <c r="H790" s="35"/>
      <c r="I790" s="35"/>
      <c r="J790" s="32"/>
    </row>
    <row r="791" spans="1:10" x14ac:dyDescent="0.15">
      <c r="A791" s="35"/>
      <c r="B791" s="35"/>
      <c r="C791" s="35"/>
      <c r="D791" s="35"/>
      <c r="E791" s="35"/>
      <c r="F791" s="35"/>
      <c r="G791" s="86"/>
      <c r="H791" s="35"/>
      <c r="I791" s="35"/>
      <c r="J791" s="32"/>
    </row>
    <row r="792" spans="1:10" x14ac:dyDescent="0.15">
      <c r="A792" s="35"/>
      <c r="B792" s="35"/>
      <c r="C792" s="35"/>
      <c r="D792" s="35"/>
      <c r="E792" s="35"/>
      <c r="F792" s="35"/>
      <c r="G792" s="86"/>
      <c r="H792" s="35"/>
      <c r="I792" s="35"/>
      <c r="J792" s="32"/>
    </row>
    <row r="793" spans="1:10" x14ac:dyDescent="0.15">
      <c r="A793" s="35"/>
      <c r="B793" s="35"/>
      <c r="C793" s="35"/>
      <c r="D793" s="35"/>
      <c r="E793" s="35"/>
      <c r="F793" s="35"/>
      <c r="G793" s="86"/>
      <c r="H793" s="35"/>
      <c r="I793" s="35"/>
      <c r="J793" s="32"/>
    </row>
    <row r="794" spans="1:10" x14ac:dyDescent="0.15">
      <c r="A794" s="35"/>
      <c r="B794" s="35"/>
      <c r="C794" s="35"/>
      <c r="D794" s="35"/>
      <c r="E794" s="35"/>
      <c r="F794" s="35"/>
      <c r="G794" s="86"/>
      <c r="H794" s="35"/>
      <c r="I794" s="35"/>
      <c r="J794" s="32"/>
    </row>
    <row r="795" spans="1:10" x14ac:dyDescent="0.15">
      <c r="A795" s="35"/>
      <c r="B795" s="35"/>
      <c r="C795" s="35"/>
      <c r="D795" s="35"/>
      <c r="E795" s="35"/>
      <c r="F795" s="35"/>
      <c r="G795" s="86"/>
      <c r="H795" s="35"/>
      <c r="I795" s="35"/>
      <c r="J795" s="32"/>
    </row>
    <row r="796" spans="1:10" x14ac:dyDescent="0.15">
      <c r="A796" s="35"/>
      <c r="B796" s="35"/>
      <c r="C796" s="35"/>
      <c r="D796" s="35"/>
      <c r="E796" s="35"/>
      <c r="F796" s="35"/>
      <c r="G796" s="86"/>
      <c r="H796" s="35"/>
      <c r="I796" s="35"/>
      <c r="J796" s="32"/>
    </row>
    <row r="797" spans="1:10" x14ac:dyDescent="0.15">
      <c r="A797" s="35"/>
      <c r="B797" s="35"/>
      <c r="C797" s="35"/>
      <c r="D797" s="35"/>
      <c r="E797" s="35"/>
      <c r="F797" s="35"/>
      <c r="G797" s="86"/>
      <c r="H797" s="35"/>
      <c r="I797" s="35"/>
      <c r="J797" s="32"/>
    </row>
    <row r="798" spans="1:10" x14ac:dyDescent="0.15">
      <c r="A798" s="35"/>
      <c r="B798" s="35"/>
      <c r="C798" s="35"/>
      <c r="D798" s="35"/>
      <c r="E798" s="35"/>
      <c r="F798" s="35"/>
      <c r="G798" s="86"/>
      <c r="H798" s="35"/>
      <c r="I798" s="35"/>
      <c r="J798" s="32"/>
    </row>
    <row r="799" spans="1:10" x14ac:dyDescent="0.15">
      <c r="A799" s="35"/>
      <c r="B799" s="35"/>
      <c r="C799" s="35"/>
      <c r="D799" s="35"/>
      <c r="E799" s="35"/>
      <c r="F799" s="35"/>
      <c r="G799" s="86"/>
      <c r="H799" s="35"/>
      <c r="I799" s="35"/>
      <c r="J799" s="32"/>
    </row>
    <row r="800" spans="1:10" x14ac:dyDescent="0.15">
      <c r="A800" s="35"/>
      <c r="B800" s="35"/>
      <c r="C800" s="35"/>
      <c r="D800" s="35"/>
      <c r="E800" s="35"/>
      <c r="F800" s="35"/>
      <c r="G800" s="86"/>
      <c r="H800" s="35"/>
      <c r="I800" s="35"/>
      <c r="J800" s="32"/>
    </row>
    <row r="801" spans="1:10" x14ac:dyDescent="0.15">
      <c r="A801" s="35"/>
      <c r="B801" s="35"/>
      <c r="C801" s="35"/>
      <c r="D801" s="35"/>
      <c r="E801" s="35"/>
      <c r="F801" s="35"/>
      <c r="G801" s="86"/>
      <c r="H801" s="35"/>
      <c r="I801" s="35"/>
      <c r="J801" s="32"/>
    </row>
    <row r="802" spans="1:10" x14ac:dyDescent="0.15">
      <c r="A802" s="35"/>
      <c r="B802" s="35"/>
      <c r="C802" s="35"/>
      <c r="D802" s="35"/>
      <c r="E802" s="35"/>
      <c r="F802" s="35"/>
      <c r="G802" s="86"/>
      <c r="H802" s="35"/>
      <c r="I802" s="35"/>
      <c r="J802" s="32"/>
    </row>
    <row r="803" spans="1:10" x14ac:dyDescent="0.15">
      <c r="A803" s="35"/>
      <c r="B803" s="35"/>
      <c r="C803" s="35"/>
      <c r="D803" s="35"/>
      <c r="E803" s="35"/>
      <c r="F803" s="35"/>
      <c r="G803" s="86"/>
      <c r="H803" s="35"/>
      <c r="I803" s="35"/>
      <c r="J803" s="32"/>
    </row>
    <row r="804" spans="1:10" x14ac:dyDescent="0.15">
      <c r="A804" s="35"/>
      <c r="B804" s="35"/>
      <c r="C804" s="35"/>
      <c r="D804" s="35"/>
      <c r="E804" s="35"/>
      <c r="F804" s="35"/>
      <c r="G804" s="86"/>
      <c r="H804" s="35"/>
      <c r="I804" s="35"/>
      <c r="J804" s="32"/>
    </row>
    <row r="805" spans="1:10" x14ac:dyDescent="0.15">
      <c r="A805" s="35"/>
      <c r="B805" s="35"/>
      <c r="C805" s="35"/>
      <c r="D805" s="35"/>
      <c r="E805" s="35"/>
      <c r="F805" s="35"/>
      <c r="G805" s="86"/>
      <c r="H805" s="35"/>
      <c r="I805" s="35"/>
      <c r="J805" s="32"/>
    </row>
    <row r="806" spans="1:10" x14ac:dyDescent="0.15">
      <c r="A806" s="35"/>
      <c r="B806" s="35"/>
      <c r="C806" s="35"/>
      <c r="D806" s="35"/>
      <c r="E806" s="35"/>
      <c r="F806" s="35"/>
      <c r="G806" s="86"/>
      <c r="H806" s="35"/>
      <c r="I806" s="35"/>
      <c r="J806" s="32"/>
    </row>
    <row r="807" spans="1:10" x14ac:dyDescent="0.15">
      <c r="A807" s="35"/>
      <c r="B807" s="35"/>
      <c r="C807" s="35"/>
      <c r="D807" s="35"/>
      <c r="E807" s="35"/>
      <c r="F807" s="35"/>
      <c r="G807" s="86"/>
      <c r="H807" s="35"/>
      <c r="I807" s="35"/>
      <c r="J807" s="32"/>
    </row>
    <row r="808" spans="1:10" x14ac:dyDescent="0.15">
      <c r="A808" s="35"/>
      <c r="B808" s="35"/>
      <c r="C808" s="35"/>
      <c r="D808" s="35"/>
      <c r="E808" s="35"/>
      <c r="F808" s="35"/>
      <c r="G808" s="86"/>
      <c r="H808" s="35"/>
      <c r="I808" s="35"/>
      <c r="J808" s="32"/>
    </row>
    <row r="809" spans="1:10" x14ac:dyDescent="0.15">
      <c r="A809" s="35"/>
      <c r="B809" s="35"/>
      <c r="C809" s="35"/>
      <c r="D809" s="35"/>
      <c r="E809" s="35"/>
      <c r="F809" s="35"/>
      <c r="G809" s="86"/>
      <c r="H809" s="35"/>
      <c r="I809" s="35"/>
      <c r="J809" s="32"/>
    </row>
    <row r="810" spans="1:10" x14ac:dyDescent="0.15">
      <c r="A810" s="35"/>
      <c r="B810" s="35"/>
      <c r="C810" s="35"/>
      <c r="D810" s="35"/>
      <c r="E810" s="35"/>
      <c r="F810" s="35"/>
      <c r="G810" s="86"/>
      <c r="H810" s="35"/>
      <c r="I810" s="35"/>
      <c r="J810" s="32"/>
    </row>
    <row r="811" spans="1:10" x14ac:dyDescent="0.15">
      <c r="A811" s="35"/>
      <c r="B811" s="35"/>
      <c r="C811" s="35"/>
      <c r="D811" s="35"/>
      <c r="E811" s="35"/>
      <c r="F811" s="35"/>
      <c r="G811" s="86"/>
      <c r="H811" s="35"/>
      <c r="I811" s="35"/>
      <c r="J811" s="32"/>
    </row>
    <row r="812" spans="1:10" x14ac:dyDescent="0.15">
      <c r="A812" s="35"/>
      <c r="B812" s="35"/>
      <c r="C812" s="35"/>
      <c r="D812" s="35"/>
      <c r="E812" s="35"/>
      <c r="F812" s="35"/>
      <c r="G812" s="86"/>
      <c r="H812" s="35"/>
      <c r="I812" s="35"/>
      <c r="J812" s="32"/>
    </row>
    <row r="813" spans="1:10" x14ac:dyDescent="0.15">
      <c r="A813" s="35"/>
      <c r="B813" s="35"/>
      <c r="C813" s="35"/>
      <c r="D813" s="35"/>
      <c r="E813" s="35"/>
      <c r="F813" s="35"/>
      <c r="G813" s="86"/>
      <c r="H813" s="35"/>
      <c r="I813" s="35"/>
      <c r="J813" s="32"/>
    </row>
    <row r="814" spans="1:10" x14ac:dyDescent="0.15">
      <c r="A814" s="35"/>
      <c r="B814" s="35"/>
      <c r="C814" s="35"/>
      <c r="D814" s="35"/>
      <c r="E814" s="35"/>
      <c r="F814" s="35"/>
      <c r="G814" s="86"/>
      <c r="H814" s="35"/>
      <c r="I814" s="35"/>
      <c r="J814" s="32"/>
    </row>
    <row r="815" spans="1:10" x14ac:dyDescent="0.15">
      <c r="A815" s="35"/>
      <c r="B815" s="35"/>
      <c r="C815" s="35"/>
      <c r="D815" s="35"/>
      <c r="E815" s="35"/>
      <c r="F815" s="35"/>
      <c r="G815" s="86"/>
      <c r="H815" s="35"/>
      <c r="I815" s="35"/>
      <c r="J815" s="32"/>
    </row>
    <row r="816" spans="1:10" x14ac:dyDescent="0.15">
      <c r="A816" s="35"/>
      <c r="B816" s="35"/>
      <c r="C816" s="35"/>
      <c r="D816" s="35"/>
      <c r="E816" s="35"/>
      <c r="F816" s="35"/>
      <c r="G816" s="86"/>
      <c r="H816" s="35"/>
      <c r="I816" s="35"/>
      <c r="J816" s="32"/>
    </row>
    <row r="817" spans="1:10" x14ac:dyDescent="0.15">
      <c r="A817" s="35"/>
      <c r="B817" s="35"/>
      <c r="C817" s="35"/>
      <c r="D817" s="35"/>
      <c r="E817" s="35"/>
      <c r="F817" s="35"/>
      <c r="G817" s="86"/>
      <c r="H817" s="35"/>
      <c r="I817" s="35"/>
      <c r="J817" s="32"/>
    </row>
    <row r="818" spans="1:10" x14ac:dyDescent="0.15">
      <c r="A818" s="35"/>
      <c r="B818" s="35"/>
      <c r="C818" s="35"/>
      <c r="D818" s="35"/>
      <c r="E818" s="35"/>
      <c r="F818" s="35"/>
      <c r="G818" s="86"/>
      <c r="H818" s="35"/>
      <c r="I818" s="35"/>
      <c r="J818" s="32"/>
    </row>
    <row r="819" spans="1:10" x14ac:dyDescent="0.15">
      <c r="A819" s="35"/>
      <c r="B819" s="35"/>
      <c r="C819" s="35"/>
      <c r="D819" s="35"/>
      <c r="E819" s="35"/>
      <c r="F819" s="35"/>
      <c r="G819" s="86"/>
      <c r="H819" s="35"/>
      <c r="I819" s="35"/>
      <c r="J819" s="32"/>
    </row>
    <row r="820" spans="1:10" x14ac:dyDescent="0.15">
      <c r="A820" s="35"/>
      <c r="B820" s="35"/>
      <c r="C820" s="35"/>
      <c r="D820" s="35"/>
      <c r="E820" s="35"/>
      <c r="F820" s="35"/>
      <c r="G820" s="86"/>
      <c r="H820" s="35"/>
      <c r="I820" s="35"/>
      <c r="J820" s="32"/>
    </row>
    <row r="821" spans="1:10" x14ac:dyDescent="0.15">
      <c r="A821" s="35"/>
      <c r="B821" s="35"/>
      <c r="C821" s="35"/>
      <c r="D821" s="35"/>
      <c r="E821" s="35"/>
      <c r="F821" s="35"/>
      <c r="G821" s="86"/>
      <c r="H821" s="35"/>
      <c r="I821" s="35"/>
      <c r="J821" s="32"/>
    </row>
    <row r="822" spans="1:10" x14ac:dyDescent="0.15">
      <c r="A822" s="35"/>
      <c r="B822" s="35"/>
      <c r="C822" s="35"/>
      <c r="D822" s="35"/>
      <c r="E822" s="35"/>
      <c r="F822" s="35"/>
      <c r="G822" s="86"/>
      <c r="H822" s="35"/>
      <c r="I822" s="35"/>
      <c r="J822" s="32"/>
    </row>
    <row r="823" spans="1:10" x14ac:dyDescent="0.15">
      <c r="A823" s="35"/>
      <c r="B823" s="35"/>
      <c r="C823" s="35"/>
      <c r="D823" s="35"/>
      <c r="E823" s="35"/>
      <c r="F823" s="35"/>
      <c r="G823" s="86"/>
      <c r="H823" s="35"/>
      <c r="I823" s="35"/>
      <c r="J823" s="32"/>
    </row>
    <row r="824" spans="1:10" x14ac:dyDescent="0.15">
      <c r="A824" s="35"/>
      <c r="B824" s="35"/>
      <c r="C824" s="35"/>
      <c r="D824" s="35"/>
      <c r="E824" s="35"/>
      <c r="F824" s="35"/>
      <c r="G824" s="86"/>
      <c r="H824" s="35"/>
      <c r="I824" s="35"/>
      <c r="J824" s="32"/>
    </row>
    <row r="825" spans="1:10" x14ac:dyDescent="0.15">
      <c r="A825" s="35"/>
      <c r="B825" s="35"/>
      <c r="C825" s="35"/>
      <c r="D825" s="35"/>
      <c r="E825" s="35"/>
      <c r="F825" s="35"/>
      <c r="G825" s="86"/>
      <c r="H825" s="35"/>
      <c r="I825" s="35"/>
      <c r="J825" s="32"/>
    </row>
    <row r="826" spans="1:10" x14ac:dyDescent="0.15">
      <c r="A826" s="35"/>
      <c r="B826" s="35"/>
      <c r="C826" s="35"/>
      <c r="D826" s="35"/>
      <c r="E826" s="35"/>
      <c r="F826" s="35"/>
      <c r="G826" s="86"/>
      <c r="H826" s="35"/>
      <c r="I826" s="35"/>
      <c r="J826" s="32"/>
    </row>
    <row r="827" spans="1:10" x14ac:dyDescent="0.15">
      <c r="A827" s="35"/>
      <c r="B827" s="35"/>
      <c r="C827" s="35"/>
      <c r="D827" s="35"/>
      <c r="E827" s="35"/>
      <c r="F827" s="35"/>
      <c r="G827" s="86"/>
      <c r="H827" s="35"/>
      <c r="I827" s="35"/>
      <c r="J827" s="32"/>
    </row>
    <row r="828" spans="1:10" x14ac:dyDescent="0.15">
      <c r="A828" s="35"/>
      <c r="B828" s="35"/>
      <c r="C828" s="35"/>
      <c r="D828" s="35"/>
      <c r="E828" s="35"/>
      <c r="F828" s="35"/>
      <c r="G828" s="86"/>
      <c r="H828" s="35"/>
      <c r="I828" s="35"/>
      <c r="J828" s="32"/>
    </row>
    <row r="829" spans="1:10" x14ac:dyDescent="0.15">
      <c r="A829" s="35"/>
      <c r="B829" s="35"/>
      <c r="C829" s="35"/>
      <c r="D829" s="35"/>
      <c r="E829" s="35"/>
      <c r="F829" s="35"/>
      <c r="G829" s="86"/>
      <c r="H829" s="35"/>
      <c r="I829" s="35"/>
      <c r="J829" s="32"/>
    </row>
    <row r="830" spans="1:10" x14ac:dyDescent="0.15">
      <c r="A830" s="35"/>
      <c r="B830" s="35"/>
      <c r="C830" s="35"/>
      <c r="D830" s="35"/>
      <c r="E830" s="35"/>
      <c r="F830" s="35"/>
      <c r="G830" s="86"/>
      <c r="H830" s="35"/>
      <c r="I830" s="35"/>
      <c r="J830" s="32"/>
    </row>
    <row r="831" spans="1:10" x14ac:dyDescent="0.15">
      <c r="A831" s="35"/>
      <c r="B831" s="35"/>
      <c r="C831" s="35"/>
      <c r="D831" s="35"/>
      <c r="E831" s="35"/>
      <c r="F831" s="35"/>
      <c r="G831" s="86"/>
      <c r="H831" s="35"/>
      <c r="I831" s="35"/>
      <c r="J831" s="32"/>
    </row>
    <row r="832" spans="1:10" x14ac:dyDescent="0.15">
      <c r="A832" s="35"/>
      <c r="B832" s="35"/>
      <c r="C832" s="35"/>
      <c r="D832" s="35"/>
      <c r="E832" s="35"/>
      <c r="F832" s="35"/>
      <c r="G832" s="86"/>
      <c r="H832" s="35"/>
      <c r="I832" s="35"/>
      <c r="J832" s="32"/>
    </row>
    <row r="833" spans="1:10" x14ac:dyDescent="0.15">
      <c r="A833" s="35"/>
      <c r="B833" s="35"/>
      <c r="C833" s="35"/>
      <c r="D833" s="35"/>
      <c r="E833" s="35"/>
      <c r="F833" s="35"/>
      <c r="G833" s="86"/>
      <c r="H833" s="35"/>
      <c r="I833" s="35"/>
      <c r="J833" s="32"/>
    </row>
    <row r="834" spans="1:10" x14ac:dyDescent="0.15">
      <c r="A834" s="35"/>
      <c r="B834" s="35"/>
      <c r="C834" s="35"/>
      <c r="D834" s="35"/>
      <c r="E834" s="35"/>
      <c r="F834" s="35"/>
      <c r="G834" s="86"/>
      <c r="H834" s="35"/>
      <c r="I834" s="35"/>
      <c r="J834" s="32"/>
    </row>
    <row r="835" spans="1:10" x14ac:dyDescent="0.15">
      <c r="A835" s="35"/>
      <c r="B835" s="35"/>
      <c r="C835" s="35"/>
      <c r="D835" s="35"/>
      <c r="E835" s="35"/>
      <c r="F835" s="35"/>
      <c r="G835" s="86"/>
      <c r="H835" s="35"/>
      <c r="I835" s="35"/>
      <c r="J835" s="32"/>
    </row>
    <row r="836" spans="1:10" x14ac:dyDescent="0.15">
      <c r="A836" s="35"/>
      <c r="B836" s="35"/>
      <c r="C836" s="35"/>
      <c r="D836" s="35"/>
      <c r="E836" s="35"/>
      <c r="F836" s="35"/>
      <c r="G836" s="86"/>
      <c r="H836" s="35"/>
      <c r="I836" s="35"/>
      <c r="J836" s="32"/>
    </row>
    <row r="837" spans="1:10" x14ac:dyDescent="0.15">
      <c r="A837" s="35"/>
      <c r="B837" s="35"/>
      <c r="C837" s="35"/>
      <c r="D837" s="35"/>
      <c r="E837" s="35"/>
      <c r="F837" s="35"/>
      <c r="G837" s="86"/>
      <c r="H837" s="35"/>
      <c r="I837" s="35"/>
      <c r="J837" s="32"/>
    </row>
    <row r="838" spans="1:10" x14ac:dyDescent="0.15">
      <c r="A838" s="35"/>
      <c r="B838" s="35"/>
      <c r="C838" s="35"/>
      <c r="D838" s="35"/>
      <c r="E838" s="35"/>
      <c r="F838" s="35"/>
      <c r="G838" s="86"/>
      <c r="H838" s="35"/>
      <c r="I838" s="35"/>
      <c r="J838" s="32"/>
    </row>
    <row r="839" spans="1:10" x14ac:dyDescent="0.15">
      <c r="A839" s="35"/>
      <c r="B839" s="35"/>
      <c r="C839" s="35"/>
      <c r="D839" s="35"/>
      <c r="E839" s="35"/>
      <c r="F839" s="35"/>
      <c r="G839" s="86"/>
      <c r="H839" s="35"/>
      <c r="I839" s="35"/>
      <c r="J839" s="32"/>
    </row>
    <row r="840" spans="1:10" x14ac:dyDescent="0.15">
      <c r="A840" s="35"/>
      <c r="B840" s="35"/>
      <c r="C840" s="35"/>
      <c r="D840" s="35"/>
      <c r="E840" s="35"/>
      <c r="F840" s="35"/>
      <c r="G840" s="86"/>
      <c r="H840" s="35"/>
      <c r="I840" s="35"/>
      <c r="J840" s="32"/>
    </row>
    <row r="841" spans="1:10" x14ac:dyDescent="0.15">
      <c r="A841" s="35"/>
      <c r="B841" s="35"/>
      <c r="C841" s="35"/>
      <c r="D841" s="35"/>
      <c r="E841" s="35"/>
      <c r="F841" s="35"/>
      <c r="G841" s="86"/>
      <c r="H841" s="35"/>
      <c r="I841" s="35"/>
      <c r="J841" s="32"/>
    </row>
    <row r="842" spans="1:10" x14ac:dyDescent="0.15">
      <c r="A842" s="35"/>
      <c r="B842" s="35"/>
      <c r="C842" s="35"/>
      <c r="D842" s="35"/>
      <c r="E842" s="35"/>
      <c r="F842" s="35"/>
      <c r="G842" s="86"/>
      <c r="H842" s="35"/>
      <c r="I842" s="35"/>
      <c r="J842" s="32"/>
    </row>
    <row r="843" spans="1:10" x14ac:dyDescent="0.15">
      <c r="A843" s="35"/>
      <c r="B843" s="35"/>
      <c r="C843" s="35"/>
      <c r="D843" s="35"/>
      <c r="E843" s="35"/>
      <c r="F843" s="35"/>
      <c r="G843" s="86"/>
      <c r="H843" s="35"/>
      <c r="I843" s="35"/>
      <c r="J843" s="32"/>
    </row>
    <row r="844" spans="1:10" x14ac:dyDescent="0.15">
      <c r="A844" s="35"/>
      <c r="B844" s="35"/>
      <c r="C844" s="35"/>
      <c r="D844" s="35"/>
      <c r="E844" s="35"/>
      <c r="F844" s="35"/>
      <c r="G844" s="86"/>
      <c r="H844" s="35"/>
      <c r="I844" s="35"/>
      <c r="J844" s="32"/>
    </row>
    <row r="845" spans="1:10" x14ac:dyDescent="0.15">
      <c r="A845" s="35"/>
      <c r="B845" s="35"/>
      <c r="C845" s="35"/>
      <c r="D845" s="35"/>
      <c r="E845" s="35"/>
      <c r="F845" s="35"/>
      <c r="G845" s="86"/>
      <c r="H845" s="35"/>
      <c r="I845" s="35"/>
      <c r="J845" s="32"/>
    </row>
    <row r="846" spans="1:10" x14ac:dyDescent="0.15">
      <c r="A846" s="35"/>
      <c r="B846" s="35"/>
      <c r="C846" s="35"/>
      <c r="D846" s="35"/>
      <c r="E846" s="35"/>
      <c r="F846" s="35"/>
      <c r="G846" s="86"/>
      <c r="H846" s="35"/>
      <c r="I846" s="35"/>
      <c r="J846" s="32"/>
    </row>
    <row r="847" spans="1:10" x14ac:dyDescent="0.15">
      <c r="A847" s="35"/>
      <c r="B847" s="35"/>
      <c r="C847" s="35"/>
      <c r="D847" s="35"/>
      <c r="E847" s="35"/>
      <c r="F847" s="35"/>
      <c r="G847" s="86"/>
      <c r="H847" s="35"/>
      <c r="I847" s="35"/>
      <c r="J847" s="32"/>
    </row>
    <row r="848" spans="1:10" x14ac:dyDescent="0.15">
      <c r="A848" s="35"/>
      <c r="B848" s="35"/>
      <c r="C848" s="35"/>
      <c r="D848" s="35"/>
      <c r="E848" s="35"/>
      <c r="F848" s="35"/>
      <c r="G848" s="86"/>
      <c r="H848" s="35"/>
      <c r="I848" s="35"/>
      <c r="J848" s="32"/>
    </row>
    <row r="849" spans="1:10" x14ac:dyDescent="0.15">
      <c r="A849" s="35"/>
      <c r="B849" s="35"/>
      <c r="C849" s="35"/>
      <c r="D849" s="35"/>
      <c r="E849" s="35"/>
      <c r="F849" s="35"/>
      <c r="G849" s="86"/>
      <c r="H849" s="35"/>
      <c r="I849" s="35"/>
      <c r="J849" s="32"/>
    </row>
    <row r="850" spans="1:10" x14ac:dyDescent="0.15">
      <c r="A850" s="35"/>
      <c r="B850" s="35"/>
      <c r="C850" s="35"/>
      <c r="D850" s="35"/>
      <c r="E850" s="35"/>
      <c r="F850" s="35"/>
      <c r="G850" s="86"/>
      <c r="H850" s="35"/>
      <c r="I850" s="35"/>
      <c r="J850" s="32"/>
    </row>
    <row r="851" spans="1:10" x14ac:dyDescent="0.15">
      <c r="A851" s="35"/>
      <c r="B851" s="35"/>
      <c r="C851" s="35"/>
      <c r="D851" s="35"/>
      <c r="E851" s="35"/>
      <c r="F851" s="35"/>
      <c r="G851" s="86"/>
      <c r="H851" s="35"/>
      <c r="I851" s="35"/>
      <c r="J851" s="32"/>
    </row>
    <row r="852" spans="1:10" x14ac:dyDescent="0.15">
      <c r="A852" s="35"/>
      <c r="B852" s="35"/>
      <c r="C852" s="35"/>
      <c r="D852" s="35"/>
      <c r="E852" s="35"/>
      <c r="F852" s="35"/>
      <c r="G852" s="86"/>
      <c r="H852" s="35"/>
      <c r="I852" s="35"/>
      <c r="J852" s="32"/>
    </row>
    <row r="853" spans="1:10" x14ac:dyDescent="0.15">
      <c r="A853" s="35"/>
      <c r="B853" s="35"/>
      <c r="C853" s="35"/>
      <c r="D853" s="35"/>
      <c r="E853" s="35"/>
      <c r="F853" s="35"/>
      <c r="G853" s="86"/>
      <c r="H853" s="35"/>
      <c r="I853" s="35"/>
      <c r="J853" s="32"/>
    </row>
    <row r="854" spans="1:10" x14ac:dyDescent="0.15">
      <c r="A854" s="35"/>
      <c r="B854" s="35"/>
      <c r="C854" s="35"/>
      <c r="D854" s="35"/>
      <c r="E854" s="35"/>
      <c r="F854" s="35"/>
      <c r="G854" s="86"/>
      <c r="H854" s="35"/>
      <c r="I854" s="35"/>
      <c r="J854" s="32"/>
    </row>
    <row r="855" spans="1:10" x14ac:dyDescent="0.15">
      <c r="A855" s="35"/>
      <c r="B855" s="35"/>
      <c r="C855" s="35"/>
      <c r="D855" s="35"/>
      <c r="E855" s="35"/>
      <c r="F855" s="35"/>
      <c r="G855" s="86"/>
      <c r="H855" s="35"/>
      <c r="I855" s="35"/>
      <c r="J855" s="32"/>
    </row>
    <row r="856" spans="1:10" x14ac:dyDescent="0.15">
      <c r="A856" s="35"/>
      <c r="B856" s="35"/>
      <c r="C856" s="35"/>
      <c r="D856" s="35"/>
      <c r="E856" s="35"/>
      <c r="F856" s="35"/>
      <c r="G856" s="86"/>
      <c r="H856" s="35"/>
      <c r="I856" s="35"/>
      <c r="J856" s="32"/>
    </row>
    <row r="857" spans="1:10" x14ac:dyDescent="0.15">
      <c r="A857" s="35"/>
      <c r="B857" s="35"/>
      <c r="C857" s="35"/>
      <c r="D857" s="35"/>
      <c r="E857" s="35"/>
      <c r="F857" s="35"/>
      <c r="G857" s="86"/>
      <c r="H857" s="35"/>
      <c r="I857" s="35"/>
      <c r="J857" s="32"/>
    </row>
    <row r="858" spans="1:10" x14ac:dyDescent="0.15">
      <c r="A858" s="35"/>
      <c r="B858" s="35"/>
      <c r="C858" s="35"/>
      <c r="D858" s="35"/>
      <c r="E858" s="35"/>
      <c r="F858" s="35"/>
      <c r="G858" s="86"/>
      <c r="H858" s="35"/>
      <c r="I858" s="35"/>
      <c r="J858" s="32"/>
    </row>
    <row r="859" spans="1:10" x14ac:dyDescent="0.15">
      <c r="A859" s="35"/>
      <c r="B859" s="35"/>
      <c r="C859" s="35"/>
      <c r="D859" s="35"/>
      <c r="E859" s="35"/>
      <c r="F859" s="35"/>
      <c r="G859" s="86"/>
      <c r="H859" s="35"/>
      <c r="I859" s="35"/>
      <c r="J859" s="32"/>
    </row>
    <row r="860" spans="1:10" x14ac:dyDescent="0.15">
      <c r="A860" s="35"/>
      <c r="B860" s="35"/>
      <c r="C860" s="35"/>
      <c r="D860" s="35"/>
      <c r="E860" s="35"/>
      <c r="F860" s="35"/>
      <c r="G860" s="86"/>
      <c r="H860" s="35"/>
      <c r="I860" s="35"/>
      <c r="J860" s="32"/>
    </row>
    <row r="861" spans="1:10" x14ac:dyDescent="0.15">
      <c r="A861" s="35"/>
      <c r="B861" s="35"/>
      <c r="C861" s="35"/>
      <c r="D861" s="35"/>
      <c r="E861" s="35"/>
      <c r="F861" s="35"/>
      <c r="G861" s="86"/>
      <c r="H861" s="35"/>
      <c r="I861" s="35"/>
      <c r="J861" s="32"/>
    </row>
    <row r="862" spans="1:10" x14ac:dyDescent="0.15">
      <c r="A862" s="35"/>
      <c r="B862" s="35"/>
      <c r="C862" s="35"/>
      <c r="D862" s="35"/>
      <c r="E862" s="35"/>
      <c r="F862" s="35"/>
      <c r="G862" s="86"/>
      <c r="H862" s="35"/>
      <c r="I862" s="35"/>
      <c r="J862" s="32"/>
    </row>
    <row r="863" spans="1:10" x14ac:dyDescent="0.15">
      <c r="A863" s="35"/>
      <c r="B863" s="35"/>
      <c r="C863" s="35"/>
      <c r="D863" s="35"/>
      <c r="E863" s="35"/>
      <c r="F863" s="35"/>
      <c r="G863" s="86"/>
      <c r="H863" s="35"/>
      <c r="I863" s="35"/>
      <c r="J863" s="32"/>
    </row>
    <row r="864" spans="1:10" x14ac:dyDescent="0.15">
      <c r="A864" s="35"/>
      <c r="B864" s="35"/>
      <c r="C864" s="35"/>
      <c r="D864" s="35"/>
      <c r="E864" s="35"/>
      <c r="F864" s="35"/>
      <c r="G864" s="86"/>
      <c r="H864" s="35"/>
      <c r="I864" s="35"/>
      <c r="J864" s="32"/>
    </row>
    <row r="865" spans="1:10" x14ac:dyDescent="0.15">
      <c r="A865" s="35"/>
      <c r="B865" s="35"/>
      <c r="C865" s="35"/>
      <c r="D865" s="35"/>
      <c r="E865" s="35"/>
      <c r="F865" s="35"/>
      <c r="G865" s="86"/>
      <c r="H865" s="35"/>
      <c r="I865" s="35"/>
      <c r="J865" s="32"/>
    </row>
    <row r="866" spans="1:10" x14ac:dyDescent="0.15">
      <c r="A866" s="35"/>
      <c r="B866" s="35"/>
      <c r="C866" s="35"/>
      <c r="D866" s="35"/>
      <c r="E866" s="35"/>
      <c r="F866" s="35"/>
      <c r="G866" s="86"/>
      <c r="H866" s="35"/>
      <c r="I866" s="35"/>
      <c r="J866" s="32"/>
    </row>
    <row r="867" spans="1:10" x14ac:dyDescent="0.15">
      <c r="A867" s="35"/>
      <c r="B867" s="35"/>
      <c r="C867" s="35"/>
      <c r="D867" s="35"/>
      <c r="E867" s="35"/>
      <c r="F867" s="35"/>
      <c r="G867" s="86"/>
      <c r="H867" s="35"/>
      <c r="I867" s="35"/>
      <c r="J867" s="32"/>
    </row>
    <row r="868" spans="1:10" x14ac:dyDescent="0.15">
      <c r="A868" s="35"/>
      <c r="B868" s="35"/>
      <c r="C868" s="35"/>
      <c r="D868" s="35"/>
      <c r="E868" s="35"/>
      <c r="F868" s="35"/>
      <c r="G868" s="86"/>
      <c r="H868" s="35"/>
      <c r="I868" s="35"/>
      <c r="J868" s="32"/>
    </row>
    <row r="869" spans="1:10" x14ac:dyDescent="0.15">
      <c r="A869" s="35"/>
      <c r="B869" s="35"/>
      <c r="C869" s="35"/>
      <c r="D869" s="35"/>
      <c r="E869" s="35"/>
      <c r="F869" s="35"/>
      <c r="G869" s="86"/>
      <c r="H869" s="35"/>
      <c r="I869" s="35"/>
      <c r="J869" s="32"/>
    </row>
    <row r="870" spans="1:10" x14ac:dyDescent="0.15">
      <c r="A870" s="35"/>
      <c r="B870" s="35"/>
      <c r="C870" s="35"/>
      <c r="D870" s="35"/>
      <c r="E870" s="35"/>
      <c r="F870" s="35"/>
      <c r="G870" s="86"/>
      <c r="H870" s="35"/>
      <c r="I870" s="35"/>
      <c r="J870" s="32"/>
    </row>
    <row r="871" spans="1:10" x14ac:dyDescent="0.15">
      <c r="A871" s="35"/>
      <c r="B871" s="35"/>
      <c r="C871" s="35"/>
      <c r="D871" s="35"/>
      <c r="E871" s="35"/>
      <c r="F871" s="35"/>
      <c r="G871" s="86"/>
      <c r="H871" s="35"/>
      <c r="I871" s="35"/>
      <c r="J871" s="32"/>
    </row>
    <row r="872" spans="1:10" x14ac:dyDescent="0.15">
      <c r="A872" s="35"/>
      <c r="B872" s="35"/>
      <c r="C872" s="35"/>
      <c r="D872" s="35"/>
      <c r="E872" s="35"/>
      <c r="F872" s="35"/>
      <c r="G872" s="86"/>
      <c r="H872" s="35"/>
      <c r="I872" s="35"/>
      <c r="J872" s="32"/>
    </row>
    <row r="873" spans="1:10" x14ac:dyDescent="0.15">
      <c r="A873" s="35"/>
      <c r="B873" s="35"/>
      <c r="C873" s="35"/>
      <c r="D873" s="35"/>
      <c r="E873" s="35"/>
      <c r="F873" s="35"/>
      <c r="G873" s="86"/>
      <c r="H873" s="35"/>
      <c r="I873" s="35"/>
      <c r="J873" s="32"/>
    </row>
    <row r="874" spans="1:10" x14ac:dyDescent="0.15">
      <c r="A874" s="35"/>
      <c r="B874" s="35"/>
      <c r="C874" s="35"/>
      <c r="D874" s="35"/>
      <c r="E874" s="35"/>
      <c r="F874" s="35"/>
      <c r="G874" s="86"/>
      <c r="H874" s="35"/>
      <c r="I874" s="35"/>
      <c r="J874" s="32"/>
    </row>
    <row r="875" spans="1:10" x14ac:dyDescent="0.15">
      <c r="A875" s="35"/>
      <c r="B875" s="35"/>
      <c r="C875" s="35"/>
      <c r="D875" s="35"/>
      <c r="E875" s="35"/>
      <c r="F875" s="35"/>
      <c r="G875" s="86"/>
      <c r="H875" s="35"/>
      <c r="I875" s="35"/>
      <c r="J875" s="32"/>
    </row>
    <row r="876" spans="1:10" x14ac:dyDescent="0.15">
      <c r="A876" s="35"/>
      <c r="B876" s="35"/>
      <c r="C876" s="35"/>
      <c r="D876" s="35"/>
      <c r="E876" s="35"/>
      <c r="F876" s="35"/>
      <c r="G876" s="86"/>
      <c r="H876" s="35"/>
      <c r="I876" s="35"/>
      <c r="J876" s="32"/>
    </row>
    <row r="877" spans="1:10" x14ac:dyDescent="0.15">
      <c r="A877" s="35"/>
      <c r="B877" s="35"/>
      <c r="C877" s="35"/>
      <c r="D877" s="35"/>
      <c r="E877" s="35"/>
      <c r="F877" s="35"/>
      <c r="G877" s="86"/>
      <c r="H877" s="35"/>
      <c r="I877" s="35"/>
      <c r="J877" s="32"/>
    </row>
    <row r="878" spans="1:10" x14ac:dyDescent="0.15">
      <c r="A878" s="35"/>
      <c r="B878" s="35"/>
      <c r="C878" s="35"/>
      <c r="D878" s="35"/>
      <c r="E878" s="35"/>
      <c r="F878" s="35"/>
      <c r="G878" s="86"/>
      <c r="H878" s="35"/>
      <c r="I878" s="35"/>
      <c r="J878" s="32"/>
    </row>
    <row r="879" spans="1:10" x14ac:dyDescent="0.15">
      <c r="A879" s="35"/>
      <c r="B879" s="35"/>
      <c r="C879" s="35"/>
      <c r="D879" s="35"/>
      <c r="E879" s="35"/>
      <c r="F879" s="35"/>
      <c r="G879" s="86"/>
      <c r="H879" s="35"/>
      <c r="I879" s="35"/>
      <c r="J879" s="32"/>
    </row>
    <row r="880" spans="1:10" x14ac:dyDescent="0.15">
      <c r="A880" s="35"/>
      <c r="B880" s="35"/>
      <c r="C880" s="35"/>
      <c r="D880" s="35"/>
      <c r="E880" s="35"/>
      <c r="F880" s="35"/>
      <c r="G880" s="86"/>
      <c r="H880" s="35"/>
      <c r="I880" s="35"/>
      <c r="J880" s="32"/>
    </row>
    <row r="881" spans="1:10" x14ac:dyDescent="0.15">
      <c r="A881" s="35"/>
      <c r="B881" s="35"/>
      <c r="C881" s="35"/>
      <c r="D881" s="35"/>
      <c r="E881" s="35"/>
      <c r="F881" s="35"/>
      <c r="G881" s="86"/>
      <c r="H881" s="35"/>
      <c r="I881" s="35"/>
      <c r="J881" s="32"/>
    </row>
    <row r="882" spans="1:10" x14ac:dyDescent="0.15">
      <c r="A882" s="35"/>
      <c r="B882" s="35"/>
      <c r="C882" s="35"/>
      <c r="D882" s="35"/>
      <c r="E882" s="35"/>
      <c r="F882" s="35"/>
      <c r="G882" s="86"/>
      <c r="H882" s="35"/>
      <c r="I882" s="35"/>
      <c r="J882" s="32"/>
    </row>
    <row r="883" spans="1:10" x14ac:dyDescent="0.15">
      <c r="A883" s="35"/>
      <c r="B883" s="35"/>
      <c r="C883" s="35"/>
      <c r="D883" s="35"/>
      <c r="E883" s="35"/>
      <c r="F883" s="35"/>
      <c r="G883" s="86"/>
      <c r="H883" s="35"/>
      <c r="I883" s="35"/>
      <c r="J883" s="32"/>
    </row>
    <row r="884" spans="1:10" x14ac:dyDescent="0.15">
      <c r="A884" s="35"/>
      <c r="B884" s="35"/>
      <c r="C884" s="35"/>
      <c r="D884" s="35"/>
      <c r="E884" s="35"/>
      <c r="F884" s="35"/>
      <c r="G884" s="86"/>
      <c r="H884" s="35"/>
      <c r="I884" s="35"/>
      <c r="J884" s="32"/>
    </row>
    <row r="885" spans="1:10" x14ac:dyDescent="0.15">
      <c r="A885" s="35"/>
      <c r="B885" s="35"/>
      <c r="C885" s="35"/>
      <c r="D885" s="35"/>
      <c r="E885" s="35"/>
      <c r="F885" s="35"/>
      <c r="G885" s="86"/>
      <c r="H885" s="35"/>
      <c r="I885" s="35"/>
      <c r="J885" s="32"/>
    </row>
    <row r="886" spans="1:10" x14ac:dyDescent="0.15">
      <c r="A886" s="35"/>
      <c r="B886" s="35"/>
      <c r="C886" s="35"/>
      <c r="D886" s="35"/>
      <c r="E886" s="35"/>
      <c r="F886" s="35"/>
      <c r="G886" s="86"/>
      <c r="H886" s="35"/>
      <c r="I886" s="35"/>
      <c r="J886" s="32"/>
    </row>
    <row r="887" spans="1:10" x14ac:dyDescent="0.15">
      <c r="A887" s="35"/>
      <c r="B887" s="35"/>
      <c r="C887" s="35"/>
      <c r="D887" s="35"/>
      <c r="E887" s="35"/>
      <c r="F887" s="35"/>
      <c r="G887" s="86"/>
      <c r="H887" s="35"/>
      <c r="I887" s="35"/>
      <c r="J887" s="32"/>
    </row>
    <row r="888" spans="1:10" x14ac:dyDescent="0.15">
      <c r="A888" s="35"/>
      <c r="B888" s="35"/>
      <c r="C888" s="35"/>
      <c r="D888" s="35"/>
      <c r="E888" s="35"/>
      <c r="F888" s="35"/>
      <c r="G888" s="86"/>
      <c r="H888" s="35"/>
      <c r="I888" s="35"/>
      <c r="J888" s="32"/>
    </row>
    <row r="889" spans="1:10" x14ac:dyDescent="0.15">
      <c r="A889" s="35"/>
      <c r="B889" s="35"/>
      <c r="C889" s="35"/>
      <c r="D889" s="35"/>
      <c r="E889" s="35"/>
      <c r="F889" s="35"/>
      <c r="G889" s="86"/>
      <c r="H889" s="35"/>
      <c r="I889" s="35"/>
      <c r="J889" s="32"/>
    </row>
    <row r="890" spans="1:10" x14ac:dyDescent="0.15">
      <c r="A890" s="35"/>
      <c r="B890" s="35"/>
      <c r="C890" s="35"/>
      <c r="D890" s="35"/>
      <c r="E890" s="35"/>
      <c r="F890" s="35"/>
      <c r="G890" s="86"/>
      <c r="H890" s="35"/>
      <c r="I890" s="35"/>
      <c r="J890" s="32"/>
    </row>
    <row r="891" spans="1:10" x14ac:dyDescent="0.15">
      <c r="A891" s="35"/>
      <c r="B891" s="35"/>
      <c r="C891" s="35"/>
      <c r="D891" s="35"/>
      <c r="E891" s="35"/>
      <c r="F891" s="35"/>
      <c r="G891" s="86"/>
      <c r="H891" s="35"/>
      <c r="I891" s="35"/>
      <c r="J891" s="32"/>
    </row>
    <row r="892" spans="1:10" x14ac:dyDescent="0.15">
      <c r="A892" s="35"/>
      <c r="B892" s="35"/>
      <c r="C892" s="35"/>
      <c r="D892" s="35"/>
      <c r="E892" s="35"/>
      <c r="F892" s="35"/>
      <c r="G892" s="86"/>
      <c r="H892" s="35"/>
      <c r="I892" s="35"/>
      <c r="J892" s="32"/>
    </row>
    <row r="893" spans="1:10" x14ac:dyDescent="0.15">
      <c r="A893" s="35"/>
      <c r="B893" s="35"/>
      <c r="C893" s="35"/>
      <c r="D893" s="35"/>
      <c r="E893" s="35"/>
      <c r="F893" s="35"/>
      <c r="G893" s="86"/>
      <c r="H893" s="35"/>
      <c r="I893" s="35"/>
      <c r="J893" s="32"/>
    </row>
    <row r="894" spans="1:10" x14ac:dyDescent="0.15">
      <c r="A894" s="35"/>
      <c r="B894" s="35"/>
      <c r="C894" s="35"/>
      <c r="D894" s="35"/>
      <c r="E894" s="35"/>
      <c r="F894" s="35"/>
      <c r="G894" s="86"/>
      <c r="H894" s="35"/>
      <c r="I894" s="35"/>
      <c r="J894" s="32"/>
    </row>
    <row r="895" spans="1:10" x14ac:dyDescent="0.15">
      <c r="A895" s="35"/>
      <c r="B895" s="35"/>
      <c r="C895" s="35"/>
      <c r="D895" s="35"/>
      <c r="E895" s="35"/>
      <c r="F895" s="35"/>
      <c r="G895" s="86"/>
      <c r="H895" s="35"/>
      <c r="I895" s="35"/>
      <c r="J895" s="32"/>
    </row>
    <row r="896" spans="1:10" x14ac:dyDescent="0.15">
      <c r="A896" s="35"/>
      <c r="B896" s="35"/>
      <c r="C896" s="35"/>
      <c r="D896" s="35"/>
      <c r="E896" s="35"/>
      <c r="F896" s="35"/>
      <c r="G896" s="86"/>
      <c r="H896" s="35"/>
      <c r="I896" s="35"/>
      <c r="J896" s="32"/>
    </row>
    <row r="897" spans="1:10" x14ac:dyDescent="0.15">
      <c r="A897" s="35"/>
      <c r="B897" s="35"/>
      <c r="C897" s="35"/>
      <c r="D897" s="35"/>
      <c r="E897" s="35"/>
      <c r="F897" s="35"/>
      <c r="G897" s="86"/>
      <c r="H897" s="35"/>
      <c r="I897" s="35"/>
      <c r="J897" s="32"/>
    </row>
    <row r="898" spans="1:10" x14ac:dyDescent="0.15">
      <c r="A898" s="35"/>
      <c r="B898" s="35"/>
      <c r="C898" s="35"/>
      <c r="D898" s="35"/>
      <c r="E898" s="35"/>
      <c r="F898" s="35"/>
      <c r="G898" s="86"/>
      <c r="H898" s="35"/>
      <c r="I898" s="35"/>
      <c r="J898" s="32"/>
    </row>
    <row r="899" spans="1:10" x14ac:dyDescent="0.15">
      <c r="A899" s="35"/>
      <c r="B899" s="35"/>
      <c r="C899" s="35"/>
      <c r="D899" s="35"/>
      <c r="E899" s="35"/>
      <c r="F899" s="35"/>
      <c r="G899" s="86"/>
      <c r="H899" s="35"/>
      <c r="I899" s="35"/>
      <c r="J899" s="32"/>
    </row>
    <row r="900" spans="1:10" x14ac:dyDescent="0.15">
      <c r="A900" s="35"/>
      <c r="B900" s="35"/>
      <c r="C900" s="35"/>
      <c r="D900" s="35"/>
      <c r="E900" s="35"/>
      <c r="F900" s="35"/>
      <c r="G900" s="86"/>
      <c r="H900" s="35"/>
      <c r="I900" s="35"/>
      <c r="J900" s="32"/>
    </row>
    <row r="901" spans="1:10" x14ac:dyDescent="0.15">
      <c r="A901" s="35"/>
      <c r="B901" s="35"/>
      <c r="C901" s="35"/>
      <c r="D901" s="35"/>
      <c r="E901" s="35"/>
      <c r="F901" s="35"/>
      <c r="G901" s="86"/>
      <c r="H901" s="35"/>
      <c r="I901" s="35"/>
      <c r="J901" s="32"/>
    </row>
    <row r="902" spans="1:10" x14ac:dyDescent="0.15">
      <c r="A902" s="35"/>
      <c r="B902" s="35"/>
      <c r="C902" s="35"/>
      <c r="D902" s="35"/>
      <c r="E902" s="35"/>
      <c r="F902" s="35"/>
      <c r="G902" s="86"/>
      <c r="H902" s="35"/>
      <c r="I902" s="35"/>
      <c r="J902" s="32"/>
    </row>
    <row r="903" spans="1:10" x14ac:dyDescent="0.15">
      <c r="A903" s="35"/>
      <c r="B903" s="35"/>
      <c r="C903" s="35"/>
      <c r="D903" s="35"/>
      <c r="E903" s="35"/>
      <c r="F903" s="35"/>
      <c r="G903" s="86"/>
      <c r="H903" s="35"/>
      <c r="I903" s="35"/>
      <c r="J903" s="32"/>
    </row>
    <row r="904" spans="1:10" x14ac:dyDescent="0.15">
      <c r="A904" s="35"/>
      <c r="B904" s="35"/>
      <c r="C904" s="35"/>
      <c r="D904" s="35"/>
      <c r="E904" s="35"/>
      <c r="F904" s="35"/>
      <c r="G904" s="86"/>
      <c r="H904" s="35"/>
      <c r="I904" s="35"/>
      <c r="J904" s="32"/>
    </row>
    <row r="905" spans="1:10" x14ac:dyDescent="0.15">
      <c r="A905" s="35"/>
      <c r="B905" s="35"/>
      <c r="C905" s="35"/>
      <c r="D905" s="35"/>
      <c r="E905" s="35"/>
      <c r="F905" s="35"/>
      <c r="G905" s="86"/>
      <c r="H905" s="35"/>
      <c r="I905" s="35"/>
      <c r="J905" s="32"/>
    </row>
    <row r="906" spans="1:10" x14ac:dyDescent="0.15">
      <c r="A906" s="35"/>
      <c r="B906" s="35"/>
      <c r="C906" s="35"/>
      <c r="D906" s="35"/>
      <c r="E906" s="35"/>
      <c r="F906" s="35"/>
      <c r="G906" s="86"/>
      <c r="H906" s="35"/>
      <c r="I906" s="35"/>
      <c r="J906" s="32"/>
    </row>
    <row r="907" spans="1:10" x14ac:dyDescent="0.15">
      <c r="A907" s="35"/>
      <c r="B907" s="35"/>
      <c r="C907" s="35"/>
      <c r="D907" s="35"/>
      <c r="E907" s="35"/>
      <c r="F907" s="35"/>
      <c r="G907" s="86"/>
      <c r="H907" s="35"/>
      <c r="I907" s="35"/>
      <c r="J907" s="32"/>
    </row>
    <row r="908" spans="1:10" x14ac:dyDescent="0.15">
      <c r="A908" s="35"/>
      <c r="B908" s="35"/>
      <c r="C908" s="35"/>
      <c r="D908" s="35"/>
      <c r="E908" s="35"/>
      <c r="F908" s="35"/>
      <c r="G908" s="86"/>
      <c r="H908" s="35"/>
      <c r="I908" s="35"/>
      <c r="J908" s="32"/>
    </row>
    <row r="909" spans="1:10" x14ac:dyDescent="0.15">
      <c r="A909" s="35"/>
      <c r="B909" s="35"/>
      <c r="C909" s="35"/>
      <c r="D909" s="35"/>
      <c r="E909" s="35"/>
      <c r="F909" s="35"/>
      <c r="G909" s="86"/>
      <c r="H909" s="35"/>
      <c r="I909" s="35"/>
      <c r="J909" s="32"/>
    </row>
    <row r="910" spans="1:10" x14ac:dyDescent="0.15">
      <c r="A910" s="35"/>
      <c r="B910" s="35"/>
      <c r="C910" s="35"/>
      <c r="D910" s="35"/>
      <c r="E910" s="35"/>
      <c r="F910" s="35"/>
      <c r="G910" s="86"/>
      <c r="H910" s="35"/>
      <c r="I910" s="35"/>
      <c r="J910" s="32"/>
    </row>
    <row r="911" spans="1:10" x14ac:dyDescent="0.15">
      <c r="A911" s="35"/>
      <c r="B911" s="35"/>
      <c r="C911" s="35"/>
      <c r="D911" s="35"/>
      <c r="E911" s="35"/>
      <c r="F911" s="35"/>
      <c r="G911" s="86"/>
      <c r="H911" s="35"/>
      <c r="I911" s="35"/>
      <c r="J911" s="32"/>
    </row>
    <row r="912" spans="1:10" x14ac:dyDescent="0.15">
      <c r="A912" s="35"/>
      <c r="B912" s="35"/>
      <c r="C912" s="35"/>
      <c r="D912" s="35"/>
      <c r="E912" s="35"/>
      <c r="F912" s="35"/>
      <c r="G912" s="86"/>
      <c r="H912" s="35"/>
      <c r="I912" s="35"/>
      <c r="J912" s="32"/>
    </row>
    <row r="913" spans="1:10" x14ac:dyDescent="0.15">
      <c r="A913" s="35"/>
      <c r="B913" s="35"/>
      <c r="C913" s="35"/>
      <c r="D913" s="35"/>
      <c r="E913" s="35"/>
      <c r="F913" s="35"/>
      <c r="G913" s="86"/>
      <c r="H913" s="35"/>
      <c r="I913" s="35"/>
      <c r="J913" s="32"/>
    </row>
    <row r="914" spans="1:10" x14ac:dyDescent="0.15">
      <c r="A914" s="35"/>
      <c r="B914" s="35"/>
      <c r="C914" s="35"/>
      <c r="D914" s="35"/>
      <c r="E914" s="35"/>
      <c r="F914" s="35"/>
      <c r="G914" s="86"/>
      <c r="H914" s="35"/>
      <c r="I914" s="35"/>
      <c r="J914" s="32"/>
    </row>
    <row r="915" spans="1:10" x14ac:dyDescent="0.15">
      <c r="A915" s="35"/>
      <c r="B915" s="35"/>
      <c r="C915" s="35"/>
      <c r="D915" s="35"/>
      <c r="E915" s="35"/>
      <c r="F915" s="35"/>
      <c r="G915" s="86"/>
      <c r="H915" s="35"/>
      <c r="I915" s="35"/>
      <c r="J915" s="32"/>
    </row>
    <row r="916" spans="1:10" x14ac:dyDescent="0.15">
      <c r="A916" s="35"/>
      <c r="B916" s="35"/>
      <c r="C916" s="35"/>
      <c r="D916" s="35"/>
      <c r="E916" s="35"/>
      <c r="F916" s="35"/>
      <c r="G916" s="86"/>
      <c r="H916" s="35"/>
      <c r="I916" s="35"/>
      <c r="J916" s="32"/>
    </row>
    <row r="917" spans="1:10" x14ac:dyDescent="0.15">
      <c r="A917" s="35"/>
      <c r="B917" s="35"/>
      <c r="C917" s="35"/>
      <c r="D917" s="35"/>
      <c r="E917" s="35"/>
      <c r="F917" s="35"/>
      <c r="G917" s="86"/>
      <c r="H917" s="35"/>
      <c r="I917" s="35"/>
      <c r="J917" s="32"/>
    </row>
    <row r="918" spans="1:10" x14ac:dyDescent="0.15">
      <c r="A918" s="35"/>
      <c r="B918" s="35"/>
      <c r="C918" s="35"/>
      <c r="D918" s="35"/>
      <c r="E918" s="35"/>
      <c r="F918" s="35"/>
      <c r="G918" s="86"/>
      <c r="H918" s="35"/>
      <c r="I918" s="35"/>
      <c r="J918" s="32"/>
    </row>
    <row r="919" spans="1:10" x14ac:dyDescent="0.15">
      <c r="A919" s="35"/>
      <c r="B919" s="35"/>
      <c r="C919" s="35"/>
      <c r="D919" s="35"/>
      <c r="E919" s="35"/>
      <c r="F919" s="35"/>
      <c r="G919" s="86"/>
      <c r="H919" s="35"/>
      <c r="I919" s="35"/>
      <c r="J919" s="32"/>
    </row>
    <row r="920" spans="1:10" x14ac:dyDescent="0.15">
      <c r="A920" s="35"/>
      <c r="B920" s="35"/>
      <c r="C920" s="35"/>
      <c r="D920" s="35"/>
      <c r="E920" s="35"/>
      <c r="F920" s="35"/>
      <c r="G920" s="86"/>
      <c r="H920" s="35"/>
      <c r="I920" s="35"/>
      <c r="J920" s="32"/>
    </row>
    <row r="921" spans="1:10" x14ac:dyDescent="0.15">
      <c r="A921" s="35"/>
      <c r="B921" s="35"/>
      <c r="C921" s="35"/>
      <c r="D921" s="35"/>
      <c r="E921" s="35"/>
      <c r="F921" s="35"/>
      <c r="G921" s="86"/>
      <c r="H921" s="35"/>
      <c r="I921" s="35"/>
      <c r="J921" s="32"/>
    </row>
    <row r="922" spans="1:10" x14ac:dyDescent="0.15">
      <c r="A922" s="35"/>
      <c r="B922" s="35"/>
      <c r="C922" s="35"/>
      <c r="D922" s="35"/>
      <c r="E922" s="35"/>
      <c r="F922" s="35"/>
      <c r="G922" s="86"/>
      <c r="H922" s="35"/>
      <c r="I922" s="35"/>
      <c r="J922" s="32"/>
    </row>
    <row r="923" spans="1:10" x14ac:dyDescent="0.15">
      <c r="A923" s="35"/>
      <c r="B923" s="35"/>
      <c r="C923" s="35"/>
      <c r="D923" s="35"/>
      <c r="E923" s="35"/>
      <c r="F923" s="35"/>
      <c r="G923" s="86"/>
      <c r="H923" s="35"/>
      <c r="I923" s="35"/>
      <c r="J923" s="32"/>
    </row>
    <row r="924" spans="1:10" x14ac:dyDescent="0.15">
      <c r="A924" s="35"/>
      <c r="B924" s="35"/>
      <c r="C924" s="35"/>
      <c r="D924" s="35"/>
      <c r="E924" s="35"/>
      <c r="F924" s="35"/>
      <c r="G924" s="86"/>
      <c r="H924" s="35"/>
      <c r="I924" s="35"/>
      <c r="J924" s="32"/>
    </row>
    <row r="925" spans="1:10" x14ac:dyDescent="0.15">
      <c r="A925" s="35"/>
      <c r="B925" s="35"/>
      <c r="C925" s="35"/>
      <c r="D925" s="35"/>
      <c r="E925" s="35"/>
      <c r="F925" s="35"/>
      <c r="G925" s="86"/>
      <c r="H925" s="35"/>
      <c r="I925" s="35"/>
      <c r="J925" s="32"/>
    </row>
    <row r="926" spans="1:10" x14ac:dyDescent="0.15">
      <c r="A926" s="35"/>
      <c r="B926" s="35"/>
      <c r="C926" s="35"/>
      <c r="D926" s="35"/>
      <c r="E926" s="35"/>
      <c r="F926" s="35"/>
      <c r="G926" s="86"/>
      <c r="H926" s="35"/>
      <c r="I926" s="35"/>
      <c r="J926" s="32"/>
    </row>
    <row r="927" spans="1:10" x14ac:dyDescent="0.15">
      <c r="A927" s="35"/>
      <c r="B927" s="35"/>
      <c r="C927" s="35"/>
      <c r="D927" s="35"/>
      <c r="E927" s="35"/>
      <c r="F927" s="35"/>
      <c r="G927" s="86"/>
      <c r="H927" s="35"/>
      <c r="I927" s="35"/>
      <c r="J927" s="32"/>
    </row>
    <row r="928" spans="1:10" x14ac:dyDescent="0.15">
      <c r="A928" s="35"/>
      <c r="B928" s="35"/>
      <c r="C928" s="35"/>
      <c r="D928" s="35"/>
      <c r="E928" s="35"/>
      <c r="F928" s="35"/>
      <c r="G928" s="86"/>
      <c r="H928" s="35"/>
      <c r="I928" s="35"/>
      <c r="J928" s="32"/>
    </row>
    <row r="929" spans="1:10" x14ac:dyDescent="0.15">
      <c r="A929" s="35"/>
      <c r="B929" s="35"/>
      <c r="C929" s="35"/>
      <c r="D929" s="35"/>
      <c r="E929" s="35"/>
      <c r="F929" s="35"/>
      <c r="G929" s="86"/>
      <c r="H929" s="35"/>
      <c r="I929" s="35"/>
      <c r="J929" s="32"/>
    </row>
    <row r="930" spans="1:10" x14ac:dyDescent="0.15">
      <c r="A930" s="35"/>
      <c r="B930" s="35"/>
      <c r="C930" s="35"/>
      <c r="D930" s="35"/>
      <c r="E930" s="35"/>
      <c r="F930" s="35"/>
      <c r="G930" s="86"/>
      <c r="H930" s="35"/>
      <c r="I930" s="35"/>
      <c r="J930" s="32"/>
    </row>
    <row r="931" spans="1:10" x14ac:dyDescent="0.15">
      <c r="A931" s="35"/>
      <c r="B931" s="35"/>
      <c r="C931" s="35"/>
      <c r="D931" s="35"/>
      <c r="E931" s="35"/>
      <c r="F931" s="35"/>
      <c r="G931" s="86"/>
      <c r="H931" s="35"/>
      <c r="I931" s="35"/>
      <c r="J931" s="32"/>
    </row>
    <row r="932" spans="1:10" x14ac:dyDescent="0.15">
      <c r="A932" s="35"/>
      <c r="B932" s="35"/>
      <c r="C932" s="35"/>
      <c r="D932" s="35"/>
      <c r="E932" s="35"/>
      <c r="F932" s="35"/>
      <c r="G932" s="86"/>
      <c r="H932" s="35"/>
      <c r="I932" s="35"/>
      <c r="J932" s="32"/>
    </row>
    <row r="933" spans="1:10" x14ac:dyDescent="0.15">
      <c r="A933" s="35"/>
      <c r="B933" s="35"/>
      <c r="C933" s="35"/>
      <c r="D933" s="35"/>
      <c r="E933" s="35"/>
      <c r="F933" s="35"/>
      <c r="G933" s="86"/>
      <c r="H933" s="35"/>
      <c r="I933" s="35"/>
      <c r="J933" s="32"/>
    </row>
    <row r="934" spans="1:10" x14ac:dyDescent="0.15">
      <c r="A934" s="35"/>
      <c r="B934" s="35"/>
      <c r="C934" s="35"/>
      <c r="D934" s="35"/>
      <c r="E934" s="35"/>
      <c r="F934" s="35"/>
      <c r="G934" s="86"/>
      <c r="H934" s="35"/>
      <c r="I934" s="35"/>
      <c r="J934" s="32"/>
    </row>
    <row r="935" spans="1:10" x14ac:dyDescent="0.15">
      <c r="A935" s="35"/>
      <c r="B935" s="35"/>
      <c r="C935" s="35"/>
      <c r="D935" s="35"/>
      <c r="E935" s="35"/>
      <c r="F935" s="35"/>
      <c r="G935" s="86"/>
      <c r="H935" s="35"/>
      <c r="I935" s="35"/>
      <c r="J935" s="32"/>
    </row>
    <row r="936" spans="1:10" x14ac:dyDescent="0.15">
      <c r="A936" s="35"/>
      <c r="B936" s="35"/>
      <c r="C936" s="35"/>
      <c r="D936" s="35"/>
      <c r="E936" s="35"/>
      <c r="F936" s="35"/>
      <c r="G936" s="86"/>
      <c r="H936" s="35"/>
      <c r="I936" s="35"/>
      <c r="J936" s="32"/>
    </row>
    <row r="937" spans="1:10" x14ac:dyDescent="0.15">
      <c r="A937" s="35"/>
      <c r="B937" s="35"/>
      <c r="C937" s="35"/>
      <c r="D937" s="35"/>
      <c r="E937" s="35"/>
      <c r="F937" s="35"/>
      <c r="G937" s="86"/>
      <c r="H937" s="35"/>
      <c r="I937" s="35"/>
      <c r="J937" s="32"/>
    </row>
    <row r="938" spans="1:10" x14ac:dyDescent="0.15">
      <c r="A938" s="35"/>
      <c r="B938" s="35"/>
      <c r="C938" s="35"/>
      <c r="D938" s="35"/>
      <c r="E938" s="35"/>
      <c r="F938" s="35"/>
      <c r="G938" s="86"/>
      <c r="H938" s="35"/>
      <c r="I938" s="35"/>
      <c r="J938" s="32"/>
    </row>
    <row r="939" spans="1:10" x14ac:dyDescent="0.15">
      <c r="A939" s="35"/>
      <c r="B939" s="35"/>
      <c r="C939" s="35"/>
      <c r="D939" s="35"/>
      <c r="E939" s="35"/>
      <c r="F939" s="35"/>
      <c r="G939" s="86"/>
      <c r="H939" s="35"/>
      <c r="I939" s="35"/>
      <c r="J939" s="32"/>
    </row>
    <row r="940" spans="1:10" x14ac:dyDescent="0.15">
      <c r="A940" s="35"/>
      <c r="B940" s="35"/>
      <c r="C940" s="35"/>
      <c r="D940" s="35"/>
      <c r="E940" s="35"/>
      <c r="F940" s="35"/>
      <c r="G940" s="86"/>
      <c r="H940" s="35"/>
      <c r="I940" s="35"/>
      <c r="J940" s="32"/>
    </row>
    <row r="941" spans="1:10" x14ac:dyDescent="0.15">
      <c r="A941" s="35"/>
      <c r="B941" s="35"/>
      <c r="C941" s="35"/>
      <c r="D941" s="35"/>
      <c r="E941" s="35"/>
      <c r="F941" s="35"/>
      <c r="G941" s="86"/>
      <c r="H941" s="35"/>
      <c r="I941" s="35"/>
      <c r="J941" s="32"/>
    </row>
    <row r="942" spans="1:10" x14ac:dyDescent="0.15">
      <c r="A942" s="35"/>
      <c r="B942" s="35"/>
      <c r="C942" s="35"/>
      <c r="D942" s="35"/>
      <c r="E942" s="35"/>
      <c r="F942" s="35"/>
      <c r="G942" s="86"/>
      <c r="H942" s="35"/>
      <c r="I942" s="35"/>
      <c r="J942" s="32"/>
    </row>
    <row r="943" spans="1:10" x14ac:dyDescent="0.15">
      <c r="A943" s="35"/>
      <c r="B943" s="35"/>
      <c r="C943" s="35"/>
      <c r="D943" s="35"/>
      <c r="E943" s="35"/>
      <c r="F943" s="35"/>
      <c r="G943" s="86"/>
      <c r="H943" s="35"/>
      <c r="I943" s="35"/>
      <c r="J943" s="32"/>
    </row>
    <row r="944" spans="1:10" x14ac:dyDescent="0.15">
      <c r="A944" s="35"/>
      <c r="B944" s="35"/>
      <c r="C944" s="35"/>
      <c r="D944" s="35"/>
      <c r="E944" s="35"/>
      <c r="F944" s="35"/>
      <c r="G944" s="86"/>
      <c r="H944" s="35"/>
      <c r="I944" s="35"/>
      <c r="J944" s="32"/>
    </row>
    <row r="945" spans="1:10" x14ac:dyDescent="0.15">
      <c r="A945" s="35"/>
      <c r="B945" s="35"/>
      <c r="C945" s="35"/>
      <c r="D945" s="35"/>
      <c r="E945" s="35"/>
      <c r="F945" s="35"/>
      <c r="G945" s="86"/>
      <c r="H945" s="35"/>
      <c r="I945" s="35"/>
      <c r="J945" s="32"/>
    </row>
    <row r="946" spans="1:10" x14ac:dyDescent="0.15">
      <c r="A946" s="35"/>
      <c r="B946" s="35"/>
      <c r="C946" s="35"/>
      <c r="D946" s="35"/>
      <c r="E946" s="35"/>
      <c r="F946" s="35"/>
      <c r="G946" s="86"/>
      <c r="H946" s="35"/>
      <c r="I946" s="35"/>
      <c r="J946" s="32"/>
    </row>
    <row r="947" spans="1:10" x14ac:dyDescent="0.15">
      <c r="A947" s="35"/>
      <c r="B947" s="35"/>
      <c r="C947" s="35"/>
      <c r="D947" s="35"/>
      <c r="E947" s="35"/>
      <c r="F947" s="35"/>
      <c r="G947" s="86"/>
      <c r="H947" s="35"/>
      <c r="I947" s="35"/>
      <c r="J947" s="32"/>
    </row>
    <row r="948" spans="1:10" x14ac:dyDescent="0.15">
      <c r="A948" s="35"/>
      <c r="B948" s="35"/>
      <c r="C948" s="35"/>
      <c r="D948" s="35"/>
      <c r="E948" s="35"/>
      <c r="F948" s="35"/>
      <c r="G948" s="86"/>
      <c r="H948" s="35"/>
      <c r="I948" s="35"/>
      <c r="J948" s="32"/>
    </row>
    <row r="949" spans="1:10" x14ac:dyDescent="0.15">
      <c r="A949" s="35"/>
      <c r="B949" s="35"/>
      <c r="C949" s="35"/>
      <c r="D949" s="35"/>
      <c r="E949" s="35"/>
      <c r="F949" s="35"/>
      <c r="G949" s="86"/>
      <c r="H949" s="35"/>
      <c r="I949" s="35"/>
      <c r="J949" s="32"/>
    </row>
    <row r="950" spans="1:10" x14ac:dyDescent="0.15">
      <c r="A950" s="35"/>
      <c r="B950" s="35"/>
      <c r="C950" s="35"/>
      <c r="D950" s="35"/>
      <c r="E950" s="35"/>
      <c r="F950" s="35"/>
      <c r="G950" s="86"/>
      <c r="H950" s="35"/>
      <c r="I950" s="35"/>
      <c r="J950" s="32"/>
    </row>
    <row r="951" spans="1:10" x14ac:dyDescent="0.15">
      <c r="A951" s="35"/>
      <c r="B951" s="35"/>
      <c r="C951" s="35"/>
      <c r="D951" s="35"/>
      <c r="E951" s="35"/>
      <c r="F951" s="35"/>
      <c r="G951" s="86"/>
      <c r="H951" s="35"/>
      <c r="I951" s="35"/>
      <c r="J951" s="32"/>
    </row>
    <row r="952" spans="1:10" x14ac:dyDescent="0.15">
      <c r="A952" s="35"/>
      <c r="B952" s="35"/>
      <c r="C952" s="35"/>
      <c r="D952" s="35"/>
      <c r="E952" s="35"/>
      <c r="F952" s="35"/>
      <c r="G952" s="86"/>
      <c r="H952" s="35"/>
      <c r="I952" s="35"/>
      <c r="J952" s="32"/>
    </row>
    <row r="953" spans="1:10" x14ac:dyDescent="0.15">
      <c r="A953" s="35"/>
      <c r="B953" s="35"/>
      <c r="C953" s="35"/>
      <c r="D953" s="35"/>
      <c r="E953" s="35"/>
      <c r="F953" s="35"/>
      <c r="G953" s="86"/>
      <c r="H953" s="35"/>
      <c r="I953" s="35"/>
      <c r="J953" s="32"/>
    </row>
    <row r="954" spans="1:10" x14ac:dyDescent="0.15">
      <c r="A954" s="35"/>
      <c r="B954" s="35"/>
      <c r="C954" s="35"/>
      <c r="D954" s="35"/>
      <c r="E954" s="35"/>
      <c r="F954" s="35"/>
      <c r="G954" s="86"/>
      <c r="H954" s="35"/>
      <c r="I954" s="35"/>
      <c r="J954" s="32"/>
    </row>
    <row r="955" spans="1:10" x14ac:dyDescent="0.15">
      <c r="A955" s="35"/>
      <c r="B955" s="35"/>
      <c r="C955" s="35"/>
      <c r="D955" s="35"/>
      <c r="E955" s="35"/>
      <c r="F955" s="35"/>
      <c r="G955" s="86"/>
      <c r="H955" s="35"/>
      <c r="I955" s="35"/>
      <c r="J955" s="32"/>
    </row>
    <row r="956" spans="1:10" x14ac:dyDescent="0.15">
      <c r="A956" s="35"/>
      <c r="B956" s="35"/>
      <c r="C956" s="35"/>
      <c r="D956" s="35"/>
      <c r="E956" s="35"/>
      <c r="F956" s="35"/>
      <c r="G956" s="86"/>
      <c r="H956" s="35"/>
      <c r="I956" s="35"/>
      <c r="J956" s="32"/>
    </row>
    <row r="957" spans="1:10" x14ac:dyDescent="0.15">
      <c r="A957" s="35"/>
      <c r="B957" s="35"/>
      <c r="C957" s="35"/>
      <c r="D957" s="35"/>
      <c r="E957" s="35"/>
      <c r="F957" s="35"/>
      <c r="G957" s="86"/>
      <c r="H957" s="35"/>
      <c r="I957" s="35"/>
      <c r="J957" s="32"/>
    </row>
    <row r="958" spans="1:10" x14ac:dyDescent="0.15">
      <c r="A958" s="35"/>
      <c r="B958" s="35"/>
      <c r="C958" s="35"/>
      <c r="D958" s="35"/>
      <c r="E958" s="35"/>
      <c r="F958" s="35"/>
      <c r="G958" s="86"/>
      <c r="H958" s="35"/>
      <c r="I958" s="35"/>
      <c r="J958" s="32"/>
    </row>
    <row r="959" spans="1:10" x14ac:dyDescent="0.15">
      <c r="A959" s="35"/>
      <c r="B959" s="35"/>
      <c r="C959" s="35"/>
      <c r="D959" s="35"/>
      <c r="E959" s="35"/>
      <c r="F959" s="35"/>
      <c r="G959" s="86"/>
      <c r="H959" s="35"/>
      <c r="I959" s="35"/>
      <c r="J959" s="32"/>
    </row>
    <row r="960" spans="1:10" x14ac:dyDescent="0.15">
      <c r="A960" s="35"/>
      <c r="B960" s="35"/>
      <c r="C960" s="35"/>
      <c r="D960" s="35"/>
      <c r="E960" s="35"/>
      <c r="F960" s="35"/>
      <c r="G960" s="86"/>
      <c r="H960" s="35"/>
      <c r="I960" s="35"/>
      <c r="J960" s="32"/>
    </row>
    <row r="961" spans="1:10" x14ac:dyDescent="0.15">
      <c r="A961" s="35"/>
      <c r="B961" s="35"/>
      <c r="C961" s="35"/>
      <c r="D961" s="35"/>
      <c r="E961" s="35"/>
      <c r="F961" s="35"/>
      <c r="G961" s="86"/>
      <c r="H961" s="35"/>
      <c r="I961" s="35"/>
      <c r="J961" s="32"/>
    </row>
    <row r="962" spans="1:10" x14ac:dyDescent="0.15">
      <c r="A962" s="35"/>
      <c r="B962" s="35"/>
      <c r="C962" s="35"/>
      <c r="D962" s="35"/>
      <c r="E962" s="35"/>
      <c r="F962" s="35"/>
      <c r="G962" s="86"/>
      <c r="H962" s="35"/>
      <c r="I962" s="35"/>
      <c r="J962" s="32"/>
    </row>
    <row r="963" spans="1:10" x14ac:dyDescent="0.15">
      <c r="A963" s="35"/>
      <c r="B963" s="35"/>
      <c r="C963" s="35"/>
      <c r="D963" s="35"/>
      <c r="E963" s="35"/>
      <c r="F963" s="35"/>
      <c r="G963" s="86"/>
      <c r="H963" s="35"/>
      <c r="I963" s="35"/>
      <c r="J963" s="32"/>
    </row>
    <row r="964" spans="1:10" x14ac:dyDescent="0.15">
      <c r="A964" s="35"/>
      <c r="B964" s="35"/>
      <c r="C964" s="35"/>
      <c r="D964" s="35"/>
      <c r="E964" s="35"/>
      <c r="F964" s="35"/>
      <c r="G964" s="86"/>
      <c r="H964" s="35"/>
      <c r="I964" s="35"/>
      <c r="J964" s="32"/>
    </row>
    <row r="965" spans="1:10" x14ac:dyDescent="0.15">
      <c r="A965" s="35"/>
      <c r="B965" s="35"/>
      <c r="C965" s="35"/>
      <c r="D965" s="35"/>
      <c r="E965" s="35"/>
      <c r="F965" s="35"/>
      <c r="G965" s="86"/>
      <c r="H965" s="35"/>
      <c r="I965" s="35"/>
      <c r="J965" s="32"/>
    </row>
    <row r="966" spans="1:10" x14ac:dyDescent="0.15">
      <c r="A966" s="35"/>
      <c r="B966" s="35"/>
      <c r="C966" s="35"/>
      <c r="D966" s="35"/>
      <c r="E966" s="35"/>
      <c r="F966" s="35"/>
      <c r="G966" s="86"/>
      <c r="H966" s="35"/>
      <c r="I966" s="35"/>
      <c r="J966" s="32"/>
    </row>
    <row r="967" spans="1:10" x14ac:dyDescent="0.15">
      <c r="A967" s="35"/>
      <c r="B967" s="35"/>
      <c r="C967" s="35"/>
      <c r="D967" s="35"/>
      <c r="E967" s="35"/>
      <c r="F967" s="35"/>
      <c r="G967" s="86"/>
      <c r="H967" s="35"/>
      <c r="I967" s="35"/>
      <c r="J967" s="32"/>
    </row>
    <row r="968" spans="1:10" x14ac:dyDescent="0.15">
      <c r="A968" s="35"/>
      <c r="B968" s="35"/>
      <c r="C968" s="35"/>
      <c r="D968" s="35"/>
      <c r="E968" s="35"/>
      <c r="F968" s="35"/>
      <c r="G968" s="86"/>
      <c r="H968" s="35"/>
      <c r="I968" s="35"/>
      <c r="J968" s="32"/>
    </row>
    <row r="969" spans="1:10" x14ac:dyDescent="0.15">
      <c r="A969" s="35"/>
      <c r="B969" s="35"/>
      <c r="C969" s="35"/>
      <c r="D969" s="35"/>
      <c r="E969" s="35"/>
      <c r="F969" s="35"/>
      <c r="G969" s="86"/>
      <c r="H969" s="35"/>
      <c r="I969" s="35"/>
      <c r="J969" s="32"/>
    </row>
    <row r="970" spans="1:10" x14ac:dyDescent="0.15">
      <c r="A970" s="35"/>
      <c r="B970" s="35"/>
      <c r="C970" s="35"/>
      <c r="D970" s="35"/>
      <c r="E970" s="35"/>
      <c r="F970" s="35"/>
      <c r="G970" s="86"/>
      <c r="H970" s="35"/>
      <c r="I970" s="35"/>
      <c r="J970" s="32"/>
    </row>
    <row r="971" spans="1:10" x14ac:dyDescent="0.15">
      <c r="A971" s="35"/>
      <c r="B971" s="35"/>
      <c r="C971" s="35"/>
      <c r="D971" s="35"/>
      <c r="E971" s="35"/>
      <c r="F971" s="35"/>
      <c r="G971" s="86"/>
      <c r="H971" s="35"/>
      <c r="I971" s="35"/>
      <c r="J971" s="32"/>
    </row>
    <row r="972" spans="1:10" x14ac:dyDescent="0.15">
      <c r="A972" s="35"/>
      <c r="B972" s="35"/>
      <c r="C972" s="35"/>
      <c r="D972" s="35"/>
      <c r="E972" s="35"/>
      <c r="F972" s="35"/>
      <c r="G972" s="86"/>
      <c r="H972" s="35"/>
      <c r="I972" s="35"/>
      <c r="J972" s="32"/>
    </row>
    <row r="973" spans="1:10" x14ac:dyDescent="0.15">
      <c r="A973" s="35"/>
      <c r="B973" s="35"/>
      <c r="C973" s="35"/>
      <c r="D973" s="35"/>
      <c r="E973" s="35"/>
      <c r="F973" s="35"/>
      <c r="G973" s="86"/>
      <c r="H973" s="35"/>
      <c r="I973" s="35"/>
      <c r="J973" s="32"/>
    </row>
    <row r="974" spans="1:10" x14ac:dyDescent="0.15">
      <c r="A974" s="35"/>
      <c r="B974" s="35"/>
      <c r="C974" s="35"/>
      <c r="D974" s="35"/>
      <c r="E974" s="35"/>
      <c r="F974" s="35"/>
      <c r="G974" s="86"/>
      <c r="H974" s="35"/>
      <c r="I974" s="35"/>
      <c r="J974" s="32"/>
    </row>
    <row r="975" spans="1:10" x14ac:dyDescent="0.15">
      <c r="A975" s="35"/>
      <c r="B975" s="35"/>
      <c r="C975" s="35"/>
      <c r="D975" s="35"/>
      <c r="E975" s="35"/>
      <c r="F975" s="35"/>
      <c r="G975" s="86"/>
      <c r="H975" s="35"/>
      <c r="I975" s="35"/>
      <c r="J975" s="32"/>
    </row>
    <row r="976" spans="1:10" x14ac:dyDescent="0.15">
      <c r="A976" s="35"/>
      <c r="B976" s="35"/>
      <c r="C976" s="35"/>
      <c r="D976" s="35"/>
      <c r="E976" s="35"/>
      <c r="F976" s="35"/>
      <c r="G976" s="86"/>
      <c r="H976" s="35"/>
      <c r="I976" s="35"/>
      <c r="J976" s="32"/>
    </row>
    <row r="977" spans="1:10" x14ac:dyDescent="0.15">
      <c r="A977" s="35"/>
      <c r="B977" s="35"/>
      <c r="C977" s="35"/>
      <c r="D977" s="35"/>
      <c r="E977" s="35"/>
      <c r="F977" s="35"/>
      <c r="G977" s="86"/>
      <c r="H977" s="35"/>
      <c r="I977" s="35"/>
      <c r="J977" s="32"/>
    </row>
    <row r="978" spans="1:10" x14ac:dyDescent="0.15">
      <c r="A978" s="35"/>
      <c r="B978" s="35"/>
      <c r="C978" s="35"/>
      <c r="D978" s="35"/>
      <c r="E978" s="35"/>
      <c r="F978" s="35"/>
      <c r="G978" s="86"/>
      <c r="H978" s="35"/>
      <c r="I978" s="35"/>
      <c r="J978" s="32"/>
    </row>
    <row r="979" spans="1:10" x14ac:dyDescent="0.15">
      <c r="A979" s="35"/>
      <c r="B979" s="35"/>
      <c r="C979" s="35"/>
      <c r="D979" s="35"/>
      <c r="E979" s="35"/>
      <c r="F979" s="35"/>
      <c r="G979" s="86"/>
      <c r="H979" s="35"/>
      <c r="I979" s="35"/>
      <c r="J979" s="32"/>
    </row>
    <row r="980" spans="1:10" x14ac:dyDescent="0.15">
      <c r="A980" s="35"/>
      <c r="B980" s="35"/>
      <c r="C980" s="35"/>
      <c r="D980" s="35"/>
      <c r="E980" s="35"/>
      <c r="F980" s="35"/>
      <c r="G980" s="86"/>
      <c r="H980" s="35"/>
      <c r="I980" s="35"/>
      <c r="J980" s="32"/>
    </row>
    <row r="981" spans="1:10" x14ac:dyDescent="0.15">
      <c r="A981" s="35"/>
      <c r="B981" s="35"/>
      <c r="C981" s="35"/>
      <c r="D981" s="35"/>
      <c r="E981" s="35"/>
      <c r="F981" s="35"/>
      <c r="G981" s="86"/>
      <c r="H981" s="35"/>
      <c r="I981" s="35"/>
      <c r="J981" s="32"/>
    </row>
    <row r="982" spans="1:10" x14ac:dyDescent="0.15">
      <c r="A982" s="35"/>
      <c r="B982" s="35"/>
      <c r="C982" s="35"/>
      <c r="D982" s="35"/>
      <c r="E982" s="35"/>
      <c r="F982" s="35"/>
      <c r="G982" s="86"/>
      <c r="H982" s="35"/>
      <c r="I982" s="35"/>
      <c r="J982" s="32"/>
    </row>
    <row r="983" spans="1:10" x14ac:dyDescent="0.15">
      <c r="A983" s="35"/>
      <c r="B983" s="35"/>
      <c r="C983" s="35"/>
      <c r="D983" s="35"/>
      <c r="E983" s="35"/>
      <c r="F983" s="35"/>
      <c r="G983" s="86"/>
      <c r="H983" s="35"/>
      <c r="I983" s="35"/>
      <c r="J983" s="32"/>
    </row>
    <row r="984" spans="1:10" x14ac:dyDescent="0.15">
      <c r="A984" s="35"/>
      <c r="B984" s="35"/>
      <c r="C984" s="35"/>
      <c r="D984" s="35"/>
      <c r="E984" s="35"/>
      <c r="F984" s="35"/>
      <c r="G984" s="86"/>
      <c r="H984" s="35"/>
      <c r="I984" s="35"/>
      <c r="J984" s="32"/>
    </row>
    <row r="985" spans="1:10" x14ac:dyDescent="0.15">
      <c r="A985" s="35"/>
      <c r="B985" s="35"/>
      <c r="C985" s="35"/>
      <c r="D985" s="35"/>
      <c r="E985" s="35"/>
      <c r="F985" s="35"/>
      <c r="G985" s="86"/>
      <c r="H985" s="35"/>
      <c r="I985" s="35"/>
      <c r="J985" s="32"/>
    </row>
    <row r="986" spans="1:10" x14ac:dyDescent="0.15">
      <c r="A986" s="35"/>
      <c r="B986" s="35"/>
      <c r="C986" s="35"/>
      <c r="D986" s="35"/>
      <c r="E986" s="35"/>
      <c r="F986" s="35"/>
      <c r="G986" s="86"/>
      <c r="H986" s="35"/>
      <c r="I986" s="35"/>
      <c r="J986" s="32"/>
    </row>
    <row r="987" spans="1:10" x14ac:dyDescent="0.15">
      <c r="A987" s="35"/>
      <c r="B987" s="35"/>
      <c r="C987" s="35"/>
      <c r="D987" s="35"/>
      <c r="E987" s="35"/>
      <c r="F987" s="35"/>
      <c r="G987" s="86"/>
      <c r="H987" s="35"/>
      <c r="I987" s="35"/>
      <c r="J987" s="32"/>
    </row>
    <row r="988" spans="1:10" x14ac:dyDescent="0.15">
      <c r="A988" s="35"/>
      <c r="B988" s="35"/>
      <c r="C988" s="35"/>
      <c r="D988" s="35"/>
      <c r="E988" s="35"/>
      <c r="F988" s="35"/>
      <c r="G988" s="86"/>
      <c r="H988" s="35"/>
      <c r="I988" s="35"/>
      <c r="J988" s="32"/>
    </row>
    <row r="989" spans="1:10" x14ac:dyDescent="0.15">
      <c r="A989" s="35"/>
      <c r="B989" s="35"/>
      <c r="C989" s="35"/>
      <c r="D989" s="35"/>
      <c r="E989" s="35"/>
      <c r="F989" s="35"/>
      <c r="G989" s="86"/>
      <c r="H989" s="35"/>
      <c r="I989" s="35"/>
      <c r="J989" s="32"/>
    </row>
    <row r="990" spans="1:10" x14ac:dyDescent="0.15">
      <c r="A990" s="35"/>
      <c r="B990" s="35"/>
      <c r="C990" s="35"/>
      <c r="D990" s="35"/>
      <c r="E990" s="35"/>
      <c r="F990" s="35"/>
      <c r="G990" s="86"/>
      <c r="H990" s="35"/>
      <c r="I990" s="35"/>
      <c r="J990" s="32"/>
    </row>
    <row r="991" spans="1:10" x14ac:dyDescent="0.15">
      <c r="A991" s="35"/>
      <c r="B991" s="35"/>
      <c r="C991" s="35"/>
      <c r="D991" s="35"/>
      <c r="E991" s="35"/>
      <c r="F991" s="35"/>
      <c r="G991" s="86"/>
      <c r="H991" s="35"/>
      <c r="I991" s="35"/>
      <c r="J991" s="32"/>
    </row>
    <row r="992" spans="1:10" x14ac:dyDescent="0.15">
      <c r="A992" s="35"/>
      <c r="B992" s="35"/>
      <c r="C992" s="35"/>
      <c r="D992" s="35"/>
      <c r="E992" s="35"/>
      <c r="F992" s="35"/>
      <c r="G992" s="86"/>
      <c r="H992" s="35"/>
      <c r="I992" s="35"/>
      <c r="J992" s="32"/>
    </row>
    <row r="993" spans="1:10" x14ac:dyDescent="0.15">
      <c r="A993" s="35"/>
      <c r="B993" s="35"/>
      <c r="C993" s="35"/>
      <c r="D993" s="35"/>
      <c r="E993" s="35"/>
      <c r="F993" s="35"/>
      <c r="G993" s="86"/>
      <c r="H993" s="35"/>
      <c r="I993" s="35"/>
      <c r="J993" s="32"/>
    </row>
    <row r="994" spans="1:10" x14ac:dyDescent="0.15">
      <c r="A994" s="35"/>
      <c r="B994" s="35"/>
      <c r="C994" s="35"/>
      <c r="D994" s="35"/>
      <c r="E994" s="35"/>
      <c r="F994" s="35"/>
      <c r="G994" s="86"/>
      <c r="H994" s="35"/>
      <c r="I994" s="35"/>
      <c r="J994" s="32"/>
    </row>
    <row r="995" spans="1:10" x14ac:dyDescent="0.15">
      <c r="A995" s="35"/>
      <c r="B995" s="35"/>
      <c r="C995" s="35"/>
      <c r="D995" s="35"/>
      <c r="E995" s="35"/>
      <c r="F995" s="35"/>
      <c r="G995" s="86"/>
      <c r="H995" s="35"/>
      <c r="I995" s="35"/>
      <c r="J995" s="32"/>
    </row>
    <row r="996" spans="1:10" x14ac:dyDescent="0.15">
      <c r="A996" s="35"/>
      <c r="B996" s="35"/>
      <c r="C996" s="35"/>
      <c r="D996" s="35"/>
      <c r="E996" s="35"/>
      <c r="F996" s="35"/>
      <c r="G996" s="86"/>
      <c r="H996" s="35"/>
      <c r="I996" s="35"/>
      <c r="J996" s="32"/>
    </row>
    <row r="997" spans="1:10" x14ac:dyDescent="0.15">
      <c r="A997" s="35"/>
      <c r="B997" s="35"/>
      <c r="C997" s="35"/>
      <c r="D997" s="35"/>
      <c r="E997" s="35"/>
      <c r="F997" s="35"/>
      <c r="G997" s="86"/>
      <c r="H997" s="35"/>
      <c r="I997" s="35"/>
      <c r="J997" s="32"/>
    </row>
    <row r="998" spans="1:10" x14ac:dyDescent="0.15">
      <c r="A998" s="35"/>
      <c r="B998" s="35"/>
      <c r="C998" s="35"/>
      <c r="D998" s="35"/>
      <c r="E998" s="35"/>
      <c r="F998" s="35"/>
      <c r="G998" s="86"/>
      <c r="H998" s="35"/>
      <c r="I998" s="35"/>
      <c r="J998" s="32"/>
    </row>
    <row r="999" spans="1:10" x14ac:dyDescent="0.15">
      <c r="A999" s="35"/>
      <c r="B999" s="35"/>
      <c r="C999" s="35"/>
      <c r="D999" s="35"/>
      <c r="E999" s="35"/>
      <c r="F999" s="35"/>
      <c r="G999" s="86"/>
      <c r="H999" s="35"/>
      <c r="I999" s="35"/>
      <c r="J999" s="32"/>
    </row>
    <row r="1000" spans="1:10" x14ac:dyDescent="0.15">
      <c r="A1000" s="35"/>
      <c r="B1000" s="35"/>
      <c r="C1000" s="35"/>
      <c r="D1000" s="35"/>
      <c r="E1000" s="35"/>
      <c r="F1000" s="35"/>
      <c r="G1000" s="86"/>
      <c r="H1000" s="35"/>
      <c r="I1000" s="35"/>
      <c r="J1000" s="32"/>
    </row>
    <row r="1001" spans="1:10" x14ac:dyDescent="0.15">
      <c r="A1001" s="35"/>
      <c r="B1001" s="35"/>
      <c r="C1001" s="35"/>
      <c r="D1001" s="35"/>
      <c r="E1001" s="35"/>
      <c r="F1001" s="35"/>
      <c r="G1001" s="86"/>
      <c r="H1001" s="35"/>
      <c r="I1001" s="35"/>
      <c r="J1001" s="32"/>
    </row>
    <row r="1002" spans="1:10" x14ac:dyDescent="0.15">
      <c r="A1002" s="35"/>
      <c r="B1002" s="35"/>
      <c r="C1002" s="35"/>
      <c r="D1002" s="35"/>
      <c r="E1002" s="35"/>
      <c r="F1002" s="35"/>
      <c r="G1002" s="86"/>
      <c r="H1002" s="35"/>
      <c r="I1002" s="35"/>
      <c r="J1002" s="32"/>
    </row>
    <row r="1003" spans="1:10" x14ac:dyDescent="0.15">
      <c r="A1003" s="35"/>
      <c r="B1003" s="35"/>
      <c r="C1003" s="35"/>
      <c r="D1003" s="35"/>
      <c r="E1003" s="35"/>
      <c r="F1003" s="35"/>
      <c r="G1003" s="86"/>
      <c r="H1003" s="35"/>
      <c r="I1003" s="35"/>
      <c r="J1003" s="32"/>
    </row>
    <row r="1004" spans="1:10" x14ac:dyDescent="0.15">
      <c r="A1004" s="35"/>
      <c r="B1004" s="35"/>
      <c r="C1004" s="35"/>
      <c r="D1004" s="35"/>
      <c r="E1004" s="35"/>
      <c r="F1004" s="35"/>
      <c r="G1004" s="86"/>
      <c r="H1004" s="35"/>
      <c r="I1004" s="35"/>
      <c r="J1004" s="32"/>
    </row>
    <row r="1005" spans="1:10" x14ac:dyDescent="0.15">
      <c r="A1005" s="35"/>
      <c r="B1005" s="35"/>
      <c r="C1005" s="35"/>
      <c r="D1005" s="35"/>
      <c r="E1005" s="35"/>
      <c r="F1005" s="35"/>
      <c r="G1005" s="86"/>
      <c r="H1005" s="35"/>
      <c r="I1005" s="35"/>
      <c r="J1005" s="32"/>
    </row>
    <row r="1006" spans="1:10" x14ac:dyDescent="0.15">
      <c r="A1006" s="35"/>
      <c r="B1006" s="35"/>
      <c r="C1006" s="35"/>
      <c r="D1006" s="35"/>
      <c r="E1006" s="35"/>
      <c r="F1006" s="35"/>
      <c r="G1006" s="86"/>
      <c r="H1006" s="35"/>
      <c r="I1006" s="35"/>
      <c r="J1006" s="32"/>
    </row>
    <row r="1007" spans="1:10" x14ac:dyDescent="0.15">
      <c r="A1007" s="35"/>
      <c r="B1007" s="35"/>
      <c r="C1007" s="35"/>
      <c r="D1007" s="35"/>
      <c r="E1007" s="35"/>
      <c r="F1007" s="35"/>
      <c r="G1007" s="86"/>
      <c r="H1007" s="35"/>
      <c r="I1007" s="35"/>
      <c r="J1007" s="32"/>
    </row>
    <row r="1008" spans="1:10" x14ac:dyDescent="0.15">
      <c r="A1008" s="35"/>
      <c r="B1008" s="35"/>
      <c r="C1008" s="35"/>
      <c r="D1008" s="35"/>
      <c r="E1008" s="35"/>
      <c r="F1008" s="35"/>
      <c r="G1008" s="86"/>
      <c r="H1008" s="35"/>
      <c r="I1008" s="35"/>
      <c r="J1008" s="32"/>
    </row>
    <row r="1009" spans="1:10" x14ac:dyDescent="0.15">
      <c r="A1009" s="35"/>
      <c r="B1009" s="35"/>
      <c r="C1009" s="35"/>
      <c r="D1009" s="35"/>
      <c r="E1009" s="35"/>
      <c r="F1009" s="35"/>
      <c r="G1009" s="86"/>
      <c r="H1009" s="35"/>
      <c r="I1009" s="35"/>
      <c r="J1009" s="32"/>
    </row>
    <row r="1010" spans="1:10" x14ac:dyDescent="0.15">
      <c r="A1010" s="35"/>
      <c r="B1010" s="35"/>
      <c r="C1010" s="35"/>
      <c r="D1010" s="35"/>
      <c r="E1010" s="35"/>
      <c r="F1010" s="35"/>
      <c r="G1010" s="86"/>
      <c r="H1010" s="35"/>
      <c r="I1010" s="35"/>
      <c r="J1010" s="32"/>
    </row>
    <row r="1011" spans="1:10" x14ac:dyDescent="0.15">
      <c r="A1011" s="35"/>
      <c r="B1011" s="35"/>
      <c r="C1011" s="35"/>
      <c r="D1011" s="35"/>
      <c r="E1011" s="35"/>
      <c r="F1011" s="35"/>
      <c r="G1011" s="86"/>
      <c r="H1011" s="35"/>
      <c r="I1011" s="35"/>
      <c r="J1011" s="32"/>
    </row>
    <row r="1012" spans="1:10" x14ac:dyDescent="0.15">
      <c r="A1012" s="35"/>
      <c r="B1012" s="35"/>
      <c r="C1012" s="35"/>
      <c r="D1012" s="35"/>
      <c r="E1012" s="35"/>
      <c r="F1012" s="35"/>
      <c r="G1012" s="86"/>
      <c r="H1012" s="35"/>
      <c r="I1012" s="35"/>
      <c r="J1012" s="32"/>
    </row>
    <row r="1013" spans="1:10" x14ac:dyDescent="0.15">
      <c r="A1013" s="35"/>
      <c r="B1013" s="35"/>
      <c r="C1013" s="35"/>
      <c r="D1013" s="35"/>
      <c r="E1013" s="35"/>
      <c r="F1013" s="35"/>
      <c r="G1013" s="86"/>
      <c r="H1013" s="35"/>
      <c r="I1013" s="35"/>
      <c r="J1013" s="32"/>
    </row>
    <row r="1014" spans="1:10" x14ac:dyDescent="0.15">
      <c r="A1014" s="35"/>
      <c r="B1014" s="35"/>
      <c r="C1014" s="35"/>
      <c r="D1014" s="35"/>
      <c r="E1014" s="35"/>
      <c r="F1014" s="35"/>
      <c r="G1014" s="86"/>
      <c r="H1014" s="35"/>
      <c r="I1014" s="35"/>
      <c r="J1014" s="32"/>
    </row>
    <row r="1015" spans="1:10" x14ac:dyDescent="0.15">
      <c r="A1015" s="35"/>
      <c r="B1015" s="35"/>
      <c r="C1015" s="35"/>
      <c r="D1015" s="35"/>
      <c r="E1015" s="35"/>
      <c r="F1015" s="35"/>
      <c r="G1015" s="86"/>
      <c r="H1015" s="35"/>
      <c r="I1015" s="35"/>
      <c r="J1015" s="32"/>
    </row>
    <row r="1016" spans="1:10" x14ac:dyDescent="0.15">
      <c r="A1016" s="35"/>
      <c r="B1016" s="35"/>
      <c r="C1016" s="35"/>
      <c r="D1016" s="35"/>
      <c r="E1016" s="35"/>
      <c r="F1016" s="35"/>
      <c r="G1016" s="86"/>
      <c r="H1016" s="35"/>
      <c r="I1016" s="35"/>
      <c r="J1016" s="32"/>
    </row>
    <row r="1017" spans="1:10" x14ac:dyDescent="0.15">
      <c r="A1017" s="35"/>
      <c r="B1017" s="35"/>
      <c r="C1017" s="35"/>
      <c r="D1017" s="35"/>
      <c r="E1017" s="35"/>
      <c r="F1017" s="35"/>
      <c r="G1017" s="86"/>
      <c r="H1017" s="35"/>
      <c r="I1017" s="35"/>
      <c r="J1017" s="32"/>
    </row>
    <row r="1018" spans="1:10" x14ac:dyDescent="0.15">
      <c r="A1018" s="35"/>
      <c r="B1018" s="35"/>
      <c r="C1018" s="35"/>
      <c r="D1018" s="35"/>
      <c r="E1018" s="35"/>
      <c r="F1018" s="35"/>
      <c r="G1018" s="86"/>
      <c r="H1018" s="35"/>
      <c r="I1018" s="35"/>
      <c r="J1018" s="32"/>
    </row>
    <row r="1019" spans="1:10" x14ac:dyDescent="0.15">
      <c r="A1019" s="35"/>
      <c r="B1019" s="35"/>
      <c r="C1019" s="35"/>
      <c r="D1019" s="35"/>
      <c r="E1019" s="35"/>
      <c r="F1019" s="35"/>
      <c r="G1019" s="86"/>
      <c r="H1019" s="35"/>
      <c r="I1019" s="35"/>
      <c r="J1019" s="32"/>
    </row>
    <row r="1020" spans="1:10" x14ac:dyDescent="0.15">
      <c r="A1020" s="35"/>
      <c r="B1020" s="35"/>
      <c r="C1020" s="35"/>
      <c r="D1020" s="35"/>
      <c r="E1020" s="35"/>
      <c r="F1020" s="35"/>
      <c r="G1020" s="86"/>
      <c r="H1020" s="35"/>
      <c r="I1020" s="35"/>
      <c r="J1020" s="32"/>
    </row>
    <row r="1021" spans="1:10" x14ac:dyDescent="0.15">
      <c r="A1021" s="35"/>
      <c r="B1021" s="35"/>
      <c r="C1021" s="35"/>
      <c r="D1021" s="35"/>
      <c r="E1021" s="35"/>
      <c r="F1021" s="35"/>
      <c r="G1021" s="86"/>
      <c r="H1021" s="35"/>
      <c r="I1021" s="35"/>
      <c r="J1021" s="32"/>
    </row>
    <row r="1022" spans="1:10" x14ac:dyDescent="0.15">
      <c r="A1022" s="35"/>
      <c r="B1022" s="35"/>
      <c r="C1022" s="35"/>
      <c r="D1022" s="35"/>
      <c r="E1022" s="35"/>
      <c r="F1022" s="35"/>
      <c r="G1022" s="86"/>
      <c r="H1022" s="35"/>
      <c r="I1022" s="35"/>
      <c r="J1022" s="32"/>
    </row>
    <row r="1023" spans="1:10" x14ac:dyDescent="0.15">
      <c r="A1023" s="35"/>
      <c r="B1023" s="35"/>
      <c r="C1023" s="35"/>
      <c r="D1023" s="35"/>
      <c r="E1023" s="35"/>
      <c r="F1023" s="35"/>
      <c r="G1023" s="86"/>
      <c r="H1023" s="35"/>
      <c r="I1023" s="35"/>
      <c r="J1023" s="32"/>
    </row>
    <row r="1024" spans="1:10" x14ac:dyDescent="0.15">
      <c r="A1024" s="35"/>
      <c r="B1024" s="35"/>
      <c r="C1024" s="35"/>
      <c r="D1024" s="35"/>
      <c r="E1024" s="35"/>
      <c r="F1024" s="35"/>
      <c r="G1024" s="86"/>
      <c r="H1024" s="35"/>
      <c r="I1024" s="35"/>
      <c r="J1024" s="32"/>
    </row>
    <row r="1025" spans="1:10" x14ac:dyDescent="0.15">
      <c r="A1025" s="35"/>
      <c r="B1025" s="35"/>
      <c r="C1025" s="35"/>
      <c r="D1025" s="35"/>
      <c r="E1025" s="35"/>
      <c r="F1025" s="35"/>
      <c r="G1025" s="86"/>
      <c r="H1025" s="35"/>
      <c r="I1025" s="35"/>
      <c r="J1025" s="32"/>
    </row>
    <row r="1026" spans="1:10" x14ac:dyDescent="0.15">
      <c r="A1026" s="35"/>
      <c r="B1026" s="35"/>
      <c r="C1026" s="35"/>
      <c r="D1026" s="35"/>
      <c r="E1026" s="35"/>
      <c r="F1026" s="35"/>
      <c r="G1026" s="86"/>
      <c r="H1026" s="35"/>
      <c r="I1026" s="35"/>
      <c r="J1026" s="32"/>
    </row>
    <row r="1027" spans="1:10" x14ac:dyDescent="0.15">
      <c r="A1027" s="35"/>
      <c r="B1027" s="35"/>
      <c r="C1027" s="35"/>
      <c r="D1027" s="35"/>
      <c r="E1027" s="35"/>
      <c r="F1027" s="35"/>
      <c r="G1027" s="86"/>
      <c r="H1027" s="35"/>
      <c r="I1027" s="35"/>
      <c r="J1027" s="32"/>
    </row>
    <row r="1028" spans="1:10" x14ac:dyDescent="0.15">
      <c r="A1028" s="35"/>
      <c r="B1028" s="35"/>
      <c r="C1028" s="35"/>
      <c r="D1028" s="35"/>
      <c r="E1028" s="35"/>
      <c r="F1028" s="35"/>
      <c r="G1028" s="86"/>
      <c r="H1028" s="35"/>
      <c r="I1028" s="35"/>
      <c r="J1028" s="32"/>
    </row>
    <row r="1029" spans="1:10" x14ac:dyDescent="0.15">
      <c r="A1029" s="35"/>
      <c r="B1029" s="35"/>
      <c r="C1029" s="35"/>
      <c r="D1029" s="35"/>
      <c r="E1029" s="35"/>
      <c r="F1029" s="35"/>
      <c r="G1029" s="86"/>
      <c r="H1029" s="35"/>
      <c r="I1029" s="35"/>
      <c r="J1029" s="32"/>
    </row>
    <row r="1030" spans="1:10" x14ac:dyDescent="0.15">
      <c r="A1030" s="35"/>
      <c r="B1030" s="35"/>
      <c r="C1030" s="35"/>
      <c r="D1030" s="35"/>
      <c r="E1030" s="35"/>
      <c r="F1030" s="35"/>
      <c r="G1030" s="86"/>
      <c r="H1030" s="35"/>
      <c r="I1030" s="35"/>
      <c r="J1030" s="32"/>
    </row>
    <row r="1031" spans="1:10" x14ac:dyDescent="0.15">
      <c r="A1031" s="35"/>
      <c r="B1031" s="35"/>
      <c r="C1031" s="35"/>
      <c r="D1031" s="35"/>
      <c r="E1031" s="35"/>
      <c r="F1031" s="35"/>
      <c r="G1031" s="86"/>
      <c r="H1031" s="35"/>
      <c r="I1031" s="35"/>
      <c r="J1031" s="32"/>
    </row>
    <row r="1032" spans="1:10" x14ac:dyDescent="0.15">
      <c r="A1032" s="35"/>
      <c r="B1032" s="35"/>
      <c r="C1032" s="35"/>
      <c r="D1032" s="35"/>
      <c r="E1032" s="35"/>
      <c r="F1032" s="35"/>
      <c r="G1032" s="86"/>
      <c r="H1032" s="35"/>
      <c r="I1032" s="35"/>
      <c r="J1032" s="32"/>
    </row>
    <row r="1033" spans="1:10" x14ac:dyDescent="0.15">
      <c r="A1033" s="35"/>
      <c r="B1033" s="35"/>
      <c r="C1033" s="35"/>
      <c r="D1033" s="35"/>
      <c r="E1033" s="35"/>
      <c r="F1033" s="35"/>
      <c r="G1033" s="86"/>
      <c r="H1033" s="35"/>
      <c r="I1033" s="35"/>
      <c r="J1033" s="32"/>
    </row>
    <row r="1034" spans="1:10" x14ac:dyDescent="0.15">
      <c r="A1034" s="35"/>
      <c r="B1034" s="35"/>
      <c r="C1034" s="35"/>
      <c r="D1034" s="35"/>
      <c r="E1034" s="35"/>
      <c r="F1034" s="35"/>
      <c r="G1034" s="86"/>
      <c r="H1034" s="35"/>
      <c r="I1034" s="35"/>
      <c r="J1034" s="32"/>
    </row>
    <row r="1035" spans="1:10" x14ac:dyDescent="0.15">
      <c r="A1035" s="35"/>
      <c r="B1035" s="35"/>
      <c r="C1035" s="35"/>
      <c r="D1035" s="35"/>
      <c r="E1035" s="35"/>
      <c r="F1035" s="35"/>
      <c r="G1035" s="86"/>
      <c r="H1035" s="35"/>
      <c r="I1035" s="35"/>
      <c r="J1035" s="32"/>
    </row>
    <row r="1036" spans="1:10" x14ac:dyDescent="0.15">
      <c r="A1036" s="35"/>
      <c r="B1036" s="35"/>
      <c r="C1036" s="35"/>
      <c r="D1036" s="35"/>
      <c r="E1036" s="35"/>
      <c r="F1036" s="35"/>
      <c r="G1036" s="86"/>
      <c r="H1036" s="35"/>
      <c r="I1036" s="35"/>
      <c r="J1036" s="32"/>
    </row>
    <row r="1037" spans="1:10" x14ac:dyDescent="0.15">
      <c r="A1037" s="35"/>
      <c r="B1037" s="35"/>
      <c r="C1037" s="35"/>
      <c r="D1037" s="35"/>
      <c r="E1037" s="35"/>
      <c r="F1037" s="35"/>
      <c r="G1037" s="86"/>
      <c r="H1037" s="35"/>
      <c r="I1037" s="35"/>
      <c r="J1037" s="32"/>
    </row>
    <row r="1038" spans="1:10" x14ac:dyDescent="0.15">
      <c r="A1038" s="35"/>
      <c r="B1038" s="35"/>
      <c r="C1038" s="35"/>
      <c r="D1038" s="35"/>
      <c r="E1038" s="35"/>
      <c r="F1038" s="35"/>
      <c r="G1038" s="86"/>
      <c r="H1038" s="35"/>
      <c r="I1038" s="35"/>
      <c r="J1038" s="32"/>
    </row>
    <row r="1039" spans="1:10" x14ac:dyDescent="0.15">
      <c r="A1039" s="35"/>
      <c r="B1039" s="35"/>
      <c r="C1039" s="35"/>
      <c r="D1039" s="35"/>
      <c r="E1039" s="35"/>
      <c r="F1039" s="35"/>
      <c r="G1039" s="86"/>
      <c r="H1039" s="35"/>
      <c r="I1039" s="35"/>
      <c r="J1039" s="32"/>
    </row>
    <row r="1040" spans="1:10" x14ac:dyDescent="0.15">
      <c r="A1040" s="35"/>
      <c r="B1040" s="35"/>
      <c r="C1040" s="35"/>
      <c r="D1040" s="35"/>
      <c r="E1040" s="35"/>
      <c r="F1040" s="35"/>
      <c r="G1040" s="86"/>
      <c r="H1040" s="35"/>
      <c r="I1040" s="35"/>
      <c r="J1040" s="32"/>
    </row>
    <row r="1041" spans="1:10" x14ac:dyDescent="0.15">
      <c r="A1041" s="35"/>
      <c r="B1041" s="35"/>
      <c r="C1041" s="35"/>
      <c r="D1041" s="35"/>
      <c r="E1041" s="35"/>
      <c r="F1041" s="35"/>
      <c r="G1041" s="86"/>
      <c r="H1041" s="35"/>
      <c r="I1041" s="35"/>
      <c r="J1041" s="32"/>
    </row>
    <row r="1042" spans="1:10" x14ac:dyDescent="0.15">
      <c r="A1042" s="35"/>
      <c r="B1042" s="35"/>
      <c r="C1042" s="35"/>
      <c r="D1042" s="35"/>
      <c r="E1042" s="35"/>
      <c r="F1042" s="35"/>
      <c r="G1042" s="86"/>
      <c r="H1042" s="35"/>
      <c r="I1042" s="35"/>
      <c r="J1042" s="32"/>
    </row>
    <row r="1043" spans="1:10" x14ac:dyDescent="0.15">
      <c r="A1043" s="35"/>
      <c r="B1043" s="35"/>
      <c r="C1043" s="35"/>
      <c r="D1043" s="35"/>
      <c r="E1043" s="35"/>
      <c r="F1043" s="35"/>
      <c r="G1043" s="86"/>
      <c r="H1043" s="35"/>
      <c r="I1043" s="35"/>
      <c r="J1043" s="32"/>
    </row>
    <row r="1044" spans="1:10" x14ac:dyDescent="0.15">
      <c r="A1044" s="35"/>
      <c r="B1044" s="35"/>
      <c r="C1044" s="35"/>
      <c r="D1044" s="35"/>
      <c r="E1044" s="35"/>
      <c r="F1044" s="35"/>
      <c r="G1044" s="86"/>
      <c r="H1044" s="35"/>
      <c r="I1044" s="35"/>
      <c r="J1044" s="32"/>
    </row>
    <row r="1045" spans="1:10" x14ac:dyDescent="0.15">
      <c r="A1045" s="35"/>
      <c r="B1045" s="35"/>
      <c r="C1045" s="35"/>
      <c r="D1045" s="35"/>
      <c r="E1045" s="35"/>
      <c r="F1045" s="35"/>
      <c r="G1045" s="86"/>
      <c r="H1045" s="35"/>
      <c r="I1045" s="35"/>
      <c r="J1045" s="32"/>
    </row>
    <row r="1046" spans="1:10" x14ac:dyDescent="0.15">
      <c r="A1046" s="35"/>
      <c r="B1046" s="35"/>
      <c r="C1046" s="35"/>
      <c r="D1046" s="35"/>
      <c r="E1046" s="35"/>
      <c r="F1046" s="35"/>
      <c r="G1046" s="86"/>
      <c r="H1046" s="35"/>
      <c r="I1046" s="35"/>
      <c r="J1046" s="32"/>
    </row>
    <row r="1047" spans="1:10" x14ac:dyDescent="0.15">
      <c r="A1047" s="35"/>
      <c r="B1047" s="35"/>
      <c r="C1047" s="35"/>
      <c r="D1047" s="35"/>
      <c r="E1047" s="35"/>
      <c r="F1047" s="35"/>
      <c r="G1047" s="86"/>
      <c r="H1047" s="35"/>
      <c r="I1047" s="35"/>
      <c r="J1047" s="32"/>
    </row>
    <row r="1048" spans="1:10" x14ac:dyDescent="0.15">
      <c r="A1048" s="35"/>
      <c r="B1048" s="35"/>
      <c r="C1048" s="35"/>
      <c r="D1048" s="35"/>
      <c r="E1048" s="35"/>
      <c r="F1048" s="35"/>
      <c r="G1048" s="86"/>
      <c r="H1048" s="35"/>
      <c r="I1048" s="35"/>
      <c r="J1048" s="32"/>
    </row>
    <row r="1049" spans="1:10" x14ac:dyDescent="0.15">
      <c r="A1049" s="35"/>
      <c r="B1049" s="35"/>
      <c r="C1049" s="35"/>
      <c r="D1049" s="35"/>
      <c r="E1049" s="35"/>
      <c r="F1049" s="35"/>
      <c r="G1049" s="86"/>
      <c r="H1049" s="35"/>
      <c r="I1049" s="35"/>
      <c r="J1049" s="32"/>
    </row>
    <row r="1050" spans="1:10" x14ac:dyDescent="0.15">
      <c r="A1050" s="35"/>
      <c r="B1050" s="35"/>
      <c r="C1050" s="35"/>
      <c r="D1050" s="35"/>
      <c r="E1050" s="35"/>
      <c r="F1050" s="35"/>
      <c r="G1050" s="86"/>
      <c r="H1050" s="35"/>
      <c r="I1050" s="35"/>
      <c r="J1050" s="32"/>
    </row>
    <row r="1051" spans="1:10" x14ac:dyDescent="0.15">
      <c r="A1051" s="35"/>
      <c r="B1051" s="35"/>
      <c r="C1051" s="35"/>
      <c r="D1051" s="35"/>
      <c r="E1051" s="35"/>
      <c r="F1051" s="35"/>
      <c r="G1051" s="86"/>
      <c r="H1051" s="35"/>
      <c r="I1051" s="35"/>
      <c r="J1051" s="32"/>
    </row>
    <row r="1052" spans="1:10" x14ac:dyDescent="0.15">
      <c r="A1052" s="35"/>
      <c r="B1052" s="35"/>
      <c r="C1052" s="35"/>
      <c r="D1052" s="35"/>
      <c r="E1052" s="35"/>
      <c r="F1052" s="35"/>
      <c r="G1052" s="86"/>
      <c r="H1052" s="35"/>
      <c r="I1052" s="35"/>
      <c r="J1052" s="32"/>
    </row>
    <row r="1053" spans="1:10" x14ac:dyDescent="0.15">
      <c r="A1053" s="35"/>
      <c r="B1053" s="35"/>
      <c r="C1053" s="35"/>
      <c r="D1053" s="35"/>
      <c r="E1053" s="35"/>
      <c r="F1053" s="35"/>
      <c r="G1053" s="86"/>
      <c r="H1053" s="35"/>
      <c r="I1053" s="35"/>
      <c r="J1053" s="32"/>
    </row>
    <row r="1054" spans="1:10" x14ac:dyDescent="0.15">
      <c r="A1054" s="35"/>
      <c r="B1054" s="35"/>
      <c r="C1054" s="35"/>
      <c r="D1054" s="35"/>
      <c r="E1054" s="35"/>
      <c r="F1054" s="35"/>
      <c r="G1054" s="86"/>
      <c r="H1054" s="35"/>
      <c r="I1054" s="35"/>
      <c r="J1054" s="32"/>
    </row>
    <row r="1055" spans="1:10" x14ac:dyDescent="0.15">
      <c r="A1055" s="35"/>
      <c r="B1055" s="35"/>
      <c r="C1055" s="35"/>
      <c r="D1055" s="35"/>
      <c r="E1055" s="35"/>
      <c r="F1055" s="35"/>
      <c r="G1055" s="86"/>
      <c r="H1055" s="35"/>
      <c r="I1055" s="35"/>
      <c r="J1055" s="32"/>
    </row>
    <row r="1056" spans="1:10" x14ac:dyDescent="0.15">
      <c r="A1056" s="35"/>
      <c r="B1056" s="35"/>
      <c r="C1056" s="35"/>
      <c r="D1056" s="35"/>
      <c r="E1056" s="35"/>
      <c r="F1056" s="35"/>
      <c r="G1056" s="86"/>
      <c r="H1056" s="35"/>
      <c r="I1056" s="35"/>
      <c r="J1056" s="32"/>
    </row>
    <row r="1057" spans="1:10" x14ac:dyDescent="0.15">
      <c r="A1057" s="35"/>
      <c r="B1057" s="35"/>
      <c r="C1057" s="35"/>
      <c r="D1057" s="35"/>
      <c r="E1057" s="35"/>
      <c r="F1057" s="35"/>
      <c r="G1057" s="86"/>
      <c r="H1057" s="35"/>
      <c r="I1057" s="35"/>
      <c r="J1057" s="32"/>
    </row>
    <row r="1058" spans="1:10" x14ac:dyDescent="0.15">
      <c r="A1058" s="35"/>
      <c r="B1058" s="35"/>
      <c r="C1058" s="35"/>
      <c r="D1058" s="35"/>
      <c r="E1058" s="35"/>
      <c r="F1058" s="35"/>
      <c r="G1058" s="86"/>
      <c r="H1058" s="35"/>
      <c r="I1058" s="35"/>
      <c r="J1058" s="32"/>
    </row>
    <row r="1059" spans="1:10" x14ac:dyDescent="0.15">
      <c r="A1059" s="35"/>
      <c r="B1059" s="35"/>
      <c r="C1059" s="35"/>
      <c r="D1059" s="35"/>
      <c r="E1059" s="35"/>
      <c r="F1059" s="35"/>
      <c r="G1059" s="86"/>
      <c r="H1059" s="35"/>
      <c r="I1059" s="35"/>
      <c r="J1059" s="32"/>
    </row>
    <row r="1060" spans="1:10" x14ac:dyDescent="0.15">
      <c r="A1060" s="35"/>
      <c r="B1060" s="35"/>
      <c r="C1060" s="35"/>
      <c r="D1060" s="35"/>
      <c r="E1060" s="35"/>
      <c r="F1060" s="35"/>
      <c r="G1060" s="86"/>
      <c r="H1060" s="35"/>
      <c r="I1060" s="35"/>
      <c r="J1060" s="32"/>
    </row>
    <row r="1061" spans="1:10" x14ac:dyDescent="0.15">
      <c r="A1061" s="35"/>
      <c r="B1061" s="35"/>
      <c r="C1061" s="35"/>
      <c r="D1061" s="35"/>
      <c r="E1061" s="35"/>
      <c r="F1061" s="35"/>
      <c r="G1061" s="86"/>
      <c r="H1061" s="35"/>
      <c r="I1061" s="35"/>
      <c r="J1061" s="32"/>
    </row>
    <row r="1062" spans="1:10" x14ac:dyDescent="0.15">
      <c r="A1062" s="35"/>
      <c r="B1062" s="35"/>
      <c r="C1062" s="35"/>
      <c r="D1062" s="35"/>
      <c r="E1062" s="35"/>
      <c r="F1062" s="35"/>
      <c r="G1062" s="86"/>
      <c r="H1062" s="35"/>
      <c r="I1062" s="35"/>
      <c r="J1062" s="32"/>
    </row>
    <row r="1063" spans="1:10" x14ac:dyDescent="0.15">
      <c r="A1063" s="35"/>
      <c r="B1063" s="35"/>
      <c r="C1063" s="35"/>
      <c r="D1063" s="35"/>
      <c r="E1063" s="35"/>
      <c r="F1063" s="35"/>
      <c r="G1063" s="86"/>
      <c r="H1063" s="35"/>
      <c r="I1063" s="35"/>
      <c r="J1063" s="32"/>
    </row>
    <row r="1064" spans="1:10" x14ac:dyDescent="0.15">
      <c r="A1064" s="35"/>
      <c r="B1064" s="35"/>
      <c r="C1064" s="35"/>
      <c r="D1064" s="35"/>
      <c r="E1064" s="35"/>
      <c r="F1064" s="35"/>
      <c r="G1064" s="86"/>
      <c r="H1064" s="35"/>
      <c r="I1064" s="35"/>
      <c r="J1064" s="32"/>
    </row>
    <row r="1065" spans="1:10" x14ac:dyDescent="0.15">
      <c r="A1065" s="35"/>
      <c r="B1065" s="35"/>
      <c r="C1065" s="35"/>
      <c r="D1065" s="35"/>
      <c r="E1065" s="35"/>
      <c r="F1065" s="35"/>
      <c r="G1065" s="86"/>
      <c r="H1065" s="35"/>
      <c r="I1065" s="35"/>
      <c r="J1065" s="32"/>
    </row>
    <row r="1066" spans="1:10" x14ac:dyDescent="0.15">
      <c r="A1066" s="35"/>
      <c r="B1066" s="35"/>
      <c r="C1066" s="35"/>
      <c r="D1066" s="35"/>
      <c r="E1066" s="35"/>
      <c r="F1066" s="35"/>
      <c r="G1066" s="86"/>
      <c r="H1066" s="35"/>
      <c r="I1066" s="35"/>
      <c r="J1066" s="32"/>
    </row>
    <row r="1067" spans="1:10" x14ac:dyDescent="0.15">
      <c r="A1067" s="35"/>
      <c r="B1067" s="35"/>
      <c r="C1067" s="35"/>
      <c r="D1067" s="35"/>
      <c r="E1067" s="35"/>
      <c r="F1067" s="35"/>
      <c r="G1067" s="86"/>
      <c r="H1067" s="35"/>
      <c r="I1067" s="35"/>
      <c r="J1067" s="32"/>
    </row>
    <row r="1068" spans="1:10" x14ac:dyDescent="0.15">
      <c r="A1068" s="35"/>
      <c r="B1068" s="35"/>
      <c r="C1068" s="35"/>
      <c r="D1068" s="35"/>
      <c r="E1068" s="35"/>
      <c r="F1068" s="35"/>
      <c r="G1068" s="86"/>
      <c r="H1068" s="35"/>
      <c r="I1068" s="35"/>
      <c r="J1068" s="32"/>
    </row>
    <row r="1069" spans="1:10" x14ac:dyDescent="0.15">
      <c r="A1069" s="35"/>
      <c r="B1069" s="35"/>
      <c r="C1069" s="35"/>
      <c r="D1069" s="35"/>
      <c r="E1069" s="35"/>
      <c r="F1069" s="35"/>
      <c r="G1069" s="86"/>
      <c r="H1069" s="35"/>
      <c r="I1069" s="35"/>
      <c r="J1069" s="32"/>
    </row>
    <row r="1070" spans="1:10" x14ac:dyDescent="0.15">
      <c r="A1070" s="35"/>
      <c r="B1070" s="35"/>
      <c r="C1070" s="35"/>
      <c r="D1070" s="35"/>
      <c r="E1070" s="35"/>
      <c r="F1070" s="35"/>
      <c r="G1070" s="86"/>
      <c r="H1070" s="35"/>
      <c r="I1070" s="35"/>
      <c r="J1070" s="32"/>
    </row>
    <row r="1071" spans="1:10" x14ac:dyDescent="0.15">
      <c r="A1071" s="35"/>
      <c r="B1071" s="35"/>
      <c r="C1071" s="35"/>
      <c r="D1071" s="35"/>
      <c r="E1071" s="35"/>
      <c r="F1071" s="35"/>
      <c r="G1071" s="86"/>
      <c r="H1071" s="35"/>
      <c r="I1071" s="35"/>
      <c r="J1071" s="32"/>
    </row>
    <row r="1072" spans="1:10" x14ac:dyDescent="0.15">
      <c r="A1072" s="35"/>
      <c r="B1072" s="35"/>
      <c r="C1072" s="35"/>
      <c r="D1072" s="35"/>
      <c r="E1072" s="35"/>
      <c r="F1072" s="35"/>
      <c r="G1072" s="86"/>
      <c r="H1072" s="35"/>
      <c r="I1072" s="35"/>
      <c r="J1072" s="32"/>
    </row>
    <row r="1073" spans="1:10" x14ac:dyDescent="0.15">
      <c r="A1073" s="35"/>
      <c r="B1073" s="35"/>
      <c r="C1073" s="35"/>
      <c r="D1073" s="35"/>
      <c r="E1073" s="35"/>
      <c r="F1073" s="35"/>
      <c r="G1073" s="86"/>
      <c r="H1073" s="35"/>
      <c r="I1073" s="35"/>
      <c r="J1073" s="32"/>
    </row>
    <row r="1074" spans="1:10" x14ac:dyDescent="0.15">
      <c r="A1074" s="35"/>
      <c r="B1074" s="35"/>
      <c r="C1074" s="35"/>
      <c r="D1074" s="35"/>
      <c r="E1074" s="35"/>
      <c r="F1074" s="35"/>
      <c r="G1074" s="86"/>
      <c r="H1074" s="35"/>
      <c r="I1074" s="35"/>
      <c r="J1074" s="32"/>
    </row>
    <row r="1075" spans="1:10" x14ac:dyDescent="0.15">
      <c r="A1075" s="35"/>
      <c r="B1075" s="35"/>
      <c r="C1075" s="35"/>
      <c r="D1075" s="35"/>
      <c r="E1075" s="35"/>
      <c r="F1075" s="35"/>
      <c r="G1075" s="86"/>
      <c r="H1075" s="35"/>
      <c r="I1075" s="35"/>
      <c r="J1075" s="32"/>
    </row>
    <row r="1076" spans="1:10" x14ac:dyDescent="0.15">
      <c r="A1076" s="35"/>
      <c r="B1076" s="35"/>
      <c r="C1076" s="35"/>
      <c r="D1076" s="35"/>
      <c r="E1076" s="35"/>
      <c r="F1076" s="35"/>
      <c r="G1076" s="86"/>
      <c r="H1076" s="35"/>
      <c r="I1076" s="35"/>
      <c r="J1076" s="32"/>
    </row>
    <row r="1077" spans="1:10" x14ac:dyDescent="0.15">
      <c r="A1077" s="35"/>
      <c r="B1077" s="35"/>
      <c r="C1077" s="35"/>
      <c r="D1077" s="35"/>
      <c r="E1077" s="35"/>
      <c r="F1077" s="35"/>
      <c r="G1077" s="86"/>
      <c r="H1077" s="35"/>
      <c r="I1077" s="35"/>
      <c r="J1077" s="32"/>
    </row>
    <row r="1078" spans="1:10" x14ac:dyDescent="0.15">
      <c r="A1078" s="35"/>
      <c r="B1078" s="35"/>
      <c r="C1078" s="35"/>
      <c r="D1078" s="35"/>
      <c r="E1078" s="35"/>
      <c r="F1078" s="35"/>
      <c r="G1078" s="86"/>
      <c r="H1078" s="35"/>
      <c r="I1078" s="35"/>
      <c r="J1078" s="32"/>
    </row>
    <row r="1079" spans="1:10" x14ac:dyDescent="0.15">
      <c r="A1079" s="35"/>
      <c r="B1079" s="35"/>
      <c r="C1079" s="35"/>
      <c r="D1079" s="35"/>
      <c r="E1079" s="35"/>
      <c r="F1079" s="35"/>
      <c r="G1079" s="86"/>
      <c r="H1079" s="35"/>
      <c r="I1079" s="35"/>
      <c r="J1079" s="32"/>
    </row>
    <row r="1080" spans="1:10" x14ac:dyDescent="0.15">
      <c r="A1080" s="35"/>
      <c r="B1080" s="35"/>
      <c r="C1080" s="35"/>
      <c r="D1080" s="35"/>
      <c r="E1080" s="35"/>
      <c r="F1080" s="35"/>
      <c r="G1080" s="86"/>
      <c r="H1080" s="35"/>
      <c r="I1080" s="35"/>
      <c r="J1080" s="32"/>
    </row>
    <row r="1081" spans="1:10" x14ac:dyDescent="0.15">
      <c r="A1081" s="35"/>
      <c r="B1081" s="35"/>
      <c r="C1081" s="35"/>
      <c r="D1081" s="35"/>
      <c r="E1081" s="35"/>
      <c r="F1081" s="35"/>
      <c r="G1081" s="86"/>
      <c r="H1081" s="35"/>
      <c r="I1081" s="35"/>
      <c r="J1081" s="32"/>
    </row>
    <row r="1082" spans="1:10" x14ac:dyDescent="0.15">
      <c r="A1082" s="35"/>
      <c r="B1082" s="35"/>
      <c r="C1082" s="35"/>
      <c r="D1082" s="35"/>
      <c r="E1082" s="35"/>
      <c r="F1082" s="35"/>
      <c r="G1082" s="86"/>
      <c r="H1082" s="35"/>
      <c r="I1082" s="35"/>
      <c r="J1082" s="32"/>
    </row>
    <row r="1083" spans="1:10" x14ac:dyDescent="0.15">
      <c r="A1083" s="35"/>
      <c r="B1083" s="35"/>
      <c r="C1083" s="35"/>
      <c r="D1083" s="35"/>
      <c r="E1083" s="35"/>
      <c r="F1083" s="35"/>
      <c r="G1083" s="86"/>
      <c r="H1083" s="35"/>
      <c r="I1083" s="35"/>
      <c r="J1083" s="32"/>
    </row>
    <row r="1084" spans="1:10" x14ac:dyDescent="0.15">
      <c r="A1084" s="35"/>
      <c r="B1084" s="35"/>
      <c r="C1084" s="35"/>
      <c r="D1084" s="35"/>
      <c r="E1084" s="35"/>
      <c r="F1084" s="35"/>
      <c r="G1084" s="86"/>
      <c r="H1084" s="35"/>
      <c r="I1084" s="35"/>
      <c r="J1084" s="32"/>
    </row>
    <row r="1085" spans="1:10" x14ac:dyDescent="0.15">
      <c r="A1085" s="35"/>
      <c r="B1085" s="35"/>
      <c r="C1085" s="35"/>
      <c r="D1085" s="35"/>
      <c r="E1085" s="35"/>
      <c r="F1085" s="35"/>
      <c r="G1085" s="86"/>
      <c r="H1085" s="35"/>
      <c r="I1085" s="35"/>
      <c r="J1085" s="32"/>
    </row>
    <row r="1086" spans="1:10" x14ac:dyDescent="0.15">
      <c r="A1086" s="35"/>
      <c r="B1086" s="35"/>
      <c r="C1086" s="35"/>
      <c r="D1086" s="35"/>
      <c r="E1086" s="35"/>
      <c r="F1086" s="35"/>
      <c r="G1086" s="86"/>
      <c r="H1086" s="35"/>
      <c r="I1086" s="35"/>
      <c r="J1086" s="32"/>
    </row>
    <row r="1087" spans="1:10" x14ac:dyDescent="0.15">
      <c r="A1087" s="35"/>
      <c r="B1087" s="35"/>
      <c r="C1087" s="35"/>
      <c r="D1087" s="35"/>
      <c r="E1087" s="35"/>
      <c r="F1087" s="35"/>
      <c r="G1087" s="86"/>
      <c r="H1087" s="35"/>
      <c r="I1087" s="35"/>
      <c r="J1087" s="32"/>
    </row>
    <row r="1088" spans="1:10" x14ac:dyDescent="0.15">
      <c r="A1088" s="35"/>
      <c r="B1088" s="35"/>
      <c r="C1088" s="35"/>
      <c r="D1088" s="35"/>
      <c r="E1088" s="35"/>
      <c r="F1088" s="35"/>
      <c r="G1088" s="86"/>
      <c r="H1088" s="35"/>
      <c r="I1088" s="35"/>
      <c r="J1088" s="32"/>
    </row>
    <row r="1089" spans="1:220" x14ac:dyDescent="0.15">
      <c r="A1089" s="35"/>
      <c r="B1089" s="35"/>
      <c r="C1089" s="35"/>
      <c r="D1089" s="35"/>
      <c r="E1089" s="35"/>
      <c r="F1089" s="35"/>
      <c r="G1089" s="86"/>
      <c r="H1089" s="35"/>
      <c r="I1089" s="35"/>
      <c r="J1089" s="32"/>
    </row>
    <row r="1090" spans="1:220" x14ac:dyDescent="0.15">
      <c r="A1090" s="35"/>
      <c r="B1090" s="35"/>
      <c r="C1090" s="35"/>
      <c r="D1090" s="35"/>
      <c r="E1090" s="35"/>
      <c r="F1090" s="35"/>
      <c r="G1090" s="86"/>
      <c r="H1090" s="35"/>
      <c r="I1090" s="35"/>
      <c r="J1090" s="32"/>
    </row>
    <row r="1091" spans="1:220" x14ac:dyDescent="0.15">
      <c r="A1091" s="35"/>
      <c r="B1091" s="35"/>
      <c r="C1091" s="35"/>
      <c r="D1091" s="35"/>
      <c r="E1091" s="35"/>
      <c r="F1091" s="35"/>
      <c r="G1091" s="86"/>
      <c r="H1091" s="35"/>
      <c r="I1091" s="35"/>
      <c r="J1091" s="32"/>
    </row>
    <row r="1092" spans="1:220" x14ac:dyDescent="0.15">
      <c r="A1092" s="35"/>
      <c r="B1092" s="35"/>
      <c r="C1092" s="35"/>
      <c r="D1092" s="35"/>
      <c r="E1092" s="35"/>
      <c r="F1092" s="35"/>
      <c r="G1092" s="86"/>
      <c r="H1092" s="35"/>
      <c r="I1092" s="35"/>
      <c r="J1092" s="32"/>
    </row>
    <row r="1093" spans="1:220" x14ac:dyDescent="0.15">
      <c r="A1093" s="35"/>
      <c r="B1093" s="35"/>
      <c r="C1093" s="35"/>
      <c r="D1093" s="35"/>
      <c r="E1093" s="35"/>
      <c r="F1093" s="35"/>
      <c r="G1093" s="86"/>
      <c r="H1093" s="35"/>
      <c r="I1093" s="35"/>
      <c r="J1093" s="32"/>
    </row>
    <row r="1094" spans="1:220" x14ac:dyDescent="0.15">
      <c r="A1094" s="35"/>
      <c r="B1094" s="35"/>
      <c r="C1094" s="35"/>
      <c r="D1094" s="35"/>
      <c r="E1094" s="35"/>
      <c r="F1094" s="35"/>
      <c r="G1094" s="86"/>
      <c r="H1094" s="35"/>
      <c r="I1094" s="35"/>
      <c r="J1094" s="32"/>
    </row>
    <row r="1095" spans="1:220" x14ac:dyDescent="0.15">
      <c r="A1095" s="35"/>
      <c r="B1095" s="35"/>
      <c r="C1095" s="35"/>
      <c r="D1095" s="35"/>
      <c r="E1095" s="35"/>
      <c r="F1095" s="35"/>
      <c r="G1095" s="86"/>
      <c r="H1095" s="35"/>
      <c r="I1095" s="35"/>
      <c r="J1095" s="32"/>
    </row>
    <row r="1096" spans="1:220" x14ac:dyDescent="0.15">
      <c r="A1096" s="35"/>
      <c r="B1096" s="35"/>
      <c r="C1096" s="35"/>
      <c r="D1096" s="35"/>
      <c r="E1096" s="35"/>
      <c r="F1096" s="35"/>
      <c r="G1096" s="86"/>
      <c r="H1096" s="35"/>
      <c r="I1096" s="35"/>
      <c r="J1096" s="32"/>
    </row>
    <row r="1097" spans="1:220" x14ac:dyDescent="0.15">
      <c r="A1097" s="35"/>
      <c r="B1097" s="35"/>
      <c r="C1097" s="35"/>
      <c r="D1097" s="35"/>
      <c r="E1097" s="35"/>
      <c r="F1097" s="35"/>
      <c r="G1097" s="86"/>
      <c r="H1097" s="35"/>
      <c r="I1097" s="35"/>
      <c r="J1097" s="32"/>
    </row>
    <row r="1098" spans="1:220" x14ac:dyDescent="0.15">
      <c r="A1098" s="35"/>
      <c r="B1098" s="35"/>
      <c r="C1098" s="35"/>
      <c r="D1098" s="35"/>
      <c r="E1098" s="35"/>
      <c r="F1098" s="35"/>
      <c r="G1098" s="86"/>
      <c r="H1098" s="35"/>
      <c r="I1098" s="35"/>
      <c r="J1098" s="32"/>
    </row>
    <row r="1099" spans="1:220" x14ac:dyDescent="0.15">
      <c r="A1099" s="35"/>
      <c r="B1099" s="35"/>
      <c r="C1099" s="35"/>
      <c r="D1099" s="35"/>
      <c r="E1099" s="35"/>
      <c r="F1099" s="35"/>
      <c r="G1099" s="86"/>
      <c r="H1099" s="35"/>
      <c r="I1099" s="35"/>
      <c r="J1099" s="32"/>
    </row>
    <row r="1100" spans="1:220" x14ac:dyDescent="0.15">
      <c r="A1100" s="35"/>
      <c r="B1100" s="35"/>
      <c r="C1100" s="35"/>
      <c r="D1100" s="35"/>
      <c r="E1100" s="35"/>
      <c r="F1100" s="35"/>
      <c r="G1100" s="86"/>
      <c r="H1100" s="35"/>
      <c r="I1100" s="35"/>
      <c r="J1100" s="32"/>
    </row>
    <row r="1101" spans="1:220" x14ac:dyDescent="0.15">
      <c r="A1101" s="35"/>
      <c r="B1101" s="35"/>
      <c r="C1101" s="35"/>
      <c r="D1101" s="35"/>
      <c r="E1101" s="35"/>
      <c r="F1101" s="35"/>
      <c r="G1101" s="86"/>
      <c r="H1101" s="35"/>
      <c r="I1101" s="35"/>
      <c r="J1101" s="32"/>
    </row>
    <row r="1102" spans="1:220" x14ac:dyDescent="0.15">
      <c r="A1102" s="35"/>
      <c r="B1102" s="35"/>
      <c r="C1102" s="35"/>
      <c r="D1102" s="35"/>
      <c r="E1102" s="35"/>
      <c r="F1102" s="35"/>
      <c r="G1102" s="86"/>
      <c r="H1102" s="35"/>
      <c r="I1102" s="35"/>
      <c r="J1102" s="32"/>
    </row>
    <row r="1103" spans="1:220" x14ac:dyDescent="0.15">
      <c r="A1103" s="35"/>
      <c r="B1103" s="35"/>
      <c r="C1103" s="35"/>
      <c r="D1103" s="35"/>
      <c r="E1103" s="35"/>
      <c r="F1103" s="35"/>
      <c r="G1103" s="86"/>
      <c r="H1103" s="35"/>
      <c r="I1103" s="35"/>
      <c r="J1103" s="32"/>
    </row>
    <row r="1104" spans="1:220" s="38" customFormat="1" x14ac:dyDescent="0.15">
      <c r="A1104" s="35"/>
      <c r="B1104" s="35"/>
      <c r="C1104" s="35"/>
      <c r="D1104" s="35"/>
      <c r="E1104" s="35"/>
      <c r="F1104" s="35"/>
      <c r="G1104" s="86"/>
      <c r="H1104" s="35"/>
      <c r="I1104" s="35"/>
      <c r="J1104" s="32"/>
      <c r="K1104" s="35"/>
      <c r="L1104" s="35"/>
      <c r="M1104" s="35"/>
      <c r="N1104" s="35"/>
      <c r="O1104" s="35"/>
      <c r="P1104" s="35"/>
      <c r="Q1104" s="35"/>
      <c r="R1104" s="35"/>
      <c r="S1104" s="35"/>
      <c r="T1104" s="35"/>
      <c r="U1104" s="35"/>
      <c r="V1104" s="35"/>
      <c r="W1104" s="35"/>
      <c r="X1104" s="35"/>
      <c r="Y1104" s="35"/>
      <c r="Z1104" s="35"/>
      <c r="AA1104" s="35"/>
      <c r="AB1104" s="35"/>
      <c r="AC1104" s="35"/>
      <c r="AD1104" s="35"/>
      <c r="AE1104" s="35"/>
      <c r="AF1104" s="35"/>
      <c r="AG1104" s="35"/>
      <c r="AH1104" s="35"/>
      <c r="AI1104" s="35"/>
      <c r="AJ1104" s="35"/>
      <c r="AK1104" s="35"/>
      <c r="AL1104" s="35"/>
      <c r="AM1104" s="35"/>
      <c r="AN1104" s="35"/>
      <c r="AO1104" s="35"/>
      <c r="AP1104" s="35"/>
      <c r="AQ1104" s="35"/>
      <c r="AR1104" s="35"/>
      <c r="AS1104" s="35"/>
      <c r="AT1104" s="35"/>
      <c r="AU1104" s="35"/>
      <c r="AV1104" s="35"/>
      <c r="AW1104" s="35"/>
      <c r="AX1104" s="35"/>
      <c r="AY1104" s="35"/>
      <c r="AZ1104" s="35"/>
      <c r="BA1104" s="35"/>
      <c r="BB1104" s="35"/>
      <c r="BC1104" s="35"/>
      <c r="BD1104" s="35"/>
      <c r="BE1104" s="35"/>
      <c r="BF1104" s="35"/>
      <c r="BG1104" s="35"/>
      <c r="BH1104" s="35"/>
      <c r="BI1104" s="35"/>
      <c r="BJ1104" s="35"/>
      <c r="BK1104" s="35"/>
      <c r="BL1104" s="35"/>
      <c r="BM1104" s="35"/>
      <c r="BN1104" s="35"/>
      <c r="BO1104" s="35"/>
      <c r="BP1104" s="35"/>
      <c r="BQ1104" s="35"/>
      <c r="BR1104" s="35"/>
      <c r="BS1104" s="35"/>
      <c r="BT1104" s="35"/>
      <c r="BU1104" s="35"/>
      <c r="BV1104" s="35"/>
      <c r="BW1104" s="35"/>
      <c r="BX1104" s="35"/>
      <c r="BY1104" s="35"/>
      <c r="BZ1104" s="35"/>
      <c r="CA1104" s="35"/>
      <c r="CB1104" s="35"/>
      <c r="CC1104" s="35"/>
      <c r="CD1104" s="35"/>
      <c r="CE1104" s="35"/>
      <c r="CF1104" s="35"/>
      <c r="CG1104" s="35"/>
      <c r="CH1104" s="35"/>
      <c r="CI1104" s="35"/>
      <c r="CJ1104" s="35"/>
      <c r="CK1104" s="35"/>
      <c r="CL1104" s="35"/>
      <c r="CM1104" s="35"/>
      <c r="CN1104" s="35"/>
      <c r="CO1104" s="35"/>
      <c r="CP1104" s="35"/>
      <c r="CQ1104" s="35"/>
      <c r="CR1104" s="35"/>
      <c r="CS1104" s="35"/>
      <c r="CT1104" s="35"/>
      <c r="CU1104" s="35"/>
      <c r="CV1104" s="35"/>
      <c r="CW1104" s="35"/>
      <c r="CX1104" s="35"/>
      <c r="CY1104" s="35"/>
      <c r="CZ1104" s="35"/>
      <c r="DA1104" s="35"/>
      <c r="DB1104" s="35"/>
      <c r="DC1104" s="35"/>
      <c r="DD1104" s="35"/>
      <c r="DE1104" s="35"/>
      <c r="DF1104" s="35"/>
      <c r="DG1104" s="35"/>
      <c r="DH1104" s="35"/>
      <c r="DI1104" s="35"/>
      <c r="DJ1104" s="35"/>
      <c r="DK1104" s="35"/>
      <c r="DL1104" s="35"/>
      <c r="DM1104" s="35"/>
      <c r="DN1104" s="35"/>
      <c r="DO1104" s="35"/>
      <c r="DP1104" s="35"/>
      <c r="DQ1104" s="35"/>
      <c r="DR1104" s="35"/>
      <c r="DS1104" s="35"/>
      <c r="DT1104" s="35"/>
      <c r="DU1104" s="35"/>
      <c r="DV1104" s="35"/>
      <c r="DW1104" s="35"/>
      <c r="DX1104" s="35"/>
      <c r="DY1104" s="35"/>
      <c r="DZ1104" s="35"/>
      <c r="EA1104" s="35"/>
      <c r="EB1104" s="35"/>
      <c r="EC1104" s="35"/>
      <c r="ED1104" s="35"/>
      <c r="EE1104" s="35"/>
      <c r="EF1104" s="35"/>
      <c r="EG1104" s="35"/>
      <c r="EH1104" s="35"/>
      <c r="EI1104" s="35"/>
      <c r="EJ1104" s="35"/>
      <c r="EK1104" s="35"/>
      <c r="EL1104" s="35"/>
      <c r="EM1104" s="35"/>
      <c r="EN1104" s="35"/>
      <c r="EO1104" s="35"/>
      <c r="EP1104" s="35"/>
      <c r="EQ1104" s="35"/>
      <c r="ER1104" s="35"/>
      <c r="ES1104" s="35"/>
      <c r="ET1104" s="35"/>
      <c r="EU1104" s="35"/>
      <c r="EV1104" s="35"/>
      <c r="EW1104" s="35"/>
      <c r="EX1104" s="35"/>
      <c r="EY1104" s="35"/>
      <c r="EZ1104" s="35"/>
      <c r="FA1104" s="35"/>
      <c r="FB1104" s="35"/>
      <c r="FC1104" s="35"/>
      <c r="FD1104" s="35"/>
      <c r="FE1104" s="35"/>
      <c r="FF1104" s="35"/>
      <c r="FG1104" s="35"/>
      <c r="FH1104" s="35"/>
      <c r="FI1104" s="35"/>
      <c r="FJ1104" s="35"/>
      <c r="FK1104" s="35"/>
      <c r="FL1104" s="35"/>
      <c r="FM1104" s="35"/>
      <c r="FN1104" s="35"/>
      <c r="FO1104" s="35"/>
      <c r="FP1104" s="35"/>
      <c r="FQ1104" s="35"/>
      <c r="FR1104" s="35"/>
      <c r="FS1104" s="35"/>
      <c r="FT1104" s="35"/>
      <c r="FU1104" s="35"/>
      <c r="FV1104" s="35"/>
      <c r="FW1104" s="35"/>
      <c r="FX1104" s="35"/>
      <c r="FY1104" s="35"/>
      <c r="FZ1104" s="35"/>
      <c r="GA1104" s="35"/>
      <c r="GB1104" s="35"/>
      <c r="GC1104" s="35"/>
      <c r="GD1104" s="35"/>
      <c r="GE1104" s="35"/>
      <c r="GF1104" s="35"/>
      <c r="GG1104" s="35"/>
      <c r="GH1104" s="35"/>
      <c r="GI1104" s="35"/>
      <c r="GJ1104" s="35"/>
      <c r="GK1104" s="35"/>
      <c r="GL1104" s="35"/>
      <c r="GM1104" s="35"/>
      <c r="GN1104" s="35"/>
      <c r="GO1104" s="35"/>
      <c r="GP1104" s="35"/>
      <c r="GQ1104" s="35"/>
      <c r="GR1104" s="35"/>
      <c r="GS1104" s="35"/>
      <c r="GT1104" s="35"/>
      <c r="GU1104" s="35"/>
      <c r="GV1104" s="35"/>
      <c r="GW1104" s="35"/>
      <c r="GX1104" s="35"/>
      <c r="GY1104" s="35"/>
      <c r="GZ1104" s="35"/>
      <c r="HA1104" s="35"/>
      <c r="HB1104" s="35"/>
      <c r="HC1104" s="35"/>
      <c r="HD1104" s="35"/>
      <c r="HE1104" s="35"/>
      <c r="HF1104" s="35"/>
      <c r="HG1104" s="35"/>
      <c r="HH1104" s="35"/>
      <c r="HI1104" s="35"/>
      <c r="HJ1104" s="35"/>
      <c r="HK1104" s="35"/>
      <c r="HL1104" s="35"/>
    </row>
    <row r="1105" spans="7:10" s="35" customFormat="1" x14ac:dyDescent="0.15">
      <c r="G1105" s="86"/>
      <c r="J1105" s="32"/>
    </row>
    <row r="1106" spans="7:10" s="35" customFormat="1" x14ac:dyDescent="0.15">
      <c r="G1106" s="86"/>
      <c r="J1106" s="32"/>
    </row>
    <row r="1107" spans="7:10" s="35" customFormat="1" x14ac:dyDescent="0.15">
      <c r="G1107" s="86"/>
      <c r="J1107" s="32"/>
    </row>
    <row r="1108" spans="7:10" s="35" customFormat="1" x14ac:dyDescent="0.15">
      <c r="G1108" s="86"/>
      <c r="J1108" s="32"/>
    </row>
    <row r="1109" spans="7:10" s="35" customFormat="1" x14ac:dyDescent="0.15">
      <c r="G1109" s="86"/>
      <c r="J1109" s="32"/>
    </row>
    <row r="1110" spans="7:10" s="35" customFormat="1" x14ac:dyDescent="0.15">
      <c r="G1110" s="86"/>
      <c r="J1110" s="32"/>
    </row>
    <row r="1111" spans="7:10" s="35" customFormat="1" x14ac:dyDescent="0.15">
      <c r="G1111" s="86"/>
      <c r="J1111" s="32"/>
    </row>
    <row r="1112" spans="7:10" s="35" customFormat="1" x14ac:dyDescent="0.15">
      <c r="G1112" s="86"/>
      <c r="J1112" s="32"/>
    </row>
  </sheetData>
  <mergeCells count="82">
    <mergeCell ref="C208:C210"/>
    <mergeCell ref="C58:C60"/>
    <mergeCell ref="C61:C62"/>
    <mergeCell ref="A73:A87"/>
    <mergeCell ref="A88:A118"/>
    <mergeCell ref="C88:C90"/>
    <mergeCell ref="C99:C100"/>
    <mergeCell ref="C91:C93"/>
    <mergeCell ref="C94:C96"/>
    <mergeCell ref="C97:C98"/>
    <mergeCell ref="C117:C118"/>
    <mergeCell ref="C102:C104"/>
    <mergeCell ref="C108:C110"/>
    <mergeCell ref="C111:C113"/>
    <mergeCell ref="C168:C172"/>
    <mergeCell ref="C173:C174"/>
    <mergeCell ref="C175:C179"/>
    <mergeCell ref="C180:C181"/>
    <mergeCell ref="C13:C17"/>
    <mergeCell ref="C84:C85"/>
    <mergeCell ref="C86:C87"/>
    <mergeCell ref="C105:C107"/>
    <mergeCell ref="C152:C153"/>
    <mergeCell ref="C154:C158"/>
    <mergeCell ref="C159:C160"/>
    <mergeCell ref="C161:C165"/>
    <mergeCell ref="C166:C167"/>
    <mergeCell ref="C133:C137"/>
    <mergeCell ref="C138:C139"/>
    <mergeCell ref="C140:C144"/>
    <mergeCell ref="C145:C146"/>
    <mergeCell ref="C147:C151"/>
    <mergeCell ref="C131:C132"/>
    <mergeCell ref="A1:I1"/>
    <mergeCell ref="A9:A44"/>
    <mergeCell ref="G8:I8"/>
    <mergeCell ref="E2:F2"/>
    <mergeCell ref="E3:F3"/>
    <mergeCell ref="E4:F4"/>
    <mergeCell ref="E5:F5"/>
    <mergeCell ref="A6:J6"/>
    <mergeCell ref="A7:J7"/>
    <mergeCell ref="C32:C35"/>
    <mergeCell ref="C36:C39"/>
    <mergeCell ref="C40:C44"/>
    <mergeCell ref="C30:C31"/>
    <mergeCell ref="A217:A221"/>
    <mergeCell ref="A199:A214"/>
    <mergeCell ref="A119:A181"/>
    <mergeCell ref="A47:A70"/>
    <mergeCell ref="C78:C79"/>
    <mergeCell ref="A71:J71"/>
    <mergeCell ref="G72:I72"/>
    <mergeCell ref="A197:J197"/>
    <mergeCell ref="G198:I198"/>
    <mergeCell ref="C80:C81"/>
    <mergeCell ref="G46:I46"/>
    <mergeCell ref="A45:J45"/>
    <mergeCell ref="C53:C57"/>
    <mergeCell ref="C47:C49"/>
    <mergeCell ref="C63:C67"/>
    <mergeCell ref="C9:C12"/>
    <mergeCell ref="C18:C20"/>
    <mergeCell ref="C24:C25"/>
    <mergeCell ref="C26:C27"/>
    <mergeCell ref="C28:C29"/>
    <mergeCell ref="C68:C70"/>
    <mergeCell ref="A215:J215"/>
    <mergeCell ref="G216:I216"/>
    <mergeCell ref="C50:C52"/>
    <mergeCell ref="C82:C83"/>
    <mergeCell ref="C199:C200"/>
    <mergeCell ref="C201:C202"/>
    <mergeCell ref="C203:C206"/>
    <mergeCell ref="A182:A196"/>
    <mergeCell ref="C182:C185"/>
    <mergeCell ref="C186:C189"/>
    <mergeCell ref="C190:C193"/>
    <mergeCell ref="C194:C195"/>
    <mergeCell ref="C119:C123"/>
    <mergeCell ref="C124:C125"/>
    <mergeCell ref="C126:C130"/>
  </mergeCells>
  <phoneticPr fontId="1" type="noConversion"/>
  <hyperlinks>
    <hyperlink ref="J24" r:id="rId1" display="http://192.168.29.162:8080/browse/MTG-8761"/>
    <hyperlink ref="J196" r:id="rId2" display="http://192.168.29.162:8080/browse/MTG-9063"/>
  </hyperlinks>
  <pageMargins left="0.7" right="0.7" top="0.75" bottom="0.75" header="0.3" footer="0.3"/>
  <pageSetup paperSize="9" orientation="portrait" horizontalDpi="200" verticalDpi="200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00FF"/>
  </sheetPr>
  <dimension ref="B1:B26"/>
  <sheetViews>
    <sheetView workbookViewId="0">
      <selection activeCell="C29" sqref="C29"/>
    </sheetView>
  </sheetViews>
  <sheetFormatPr defaultRowHeight="16.5" x14ac:dyDescent="0.15"/>
  <cols>
    <col min="1" max="16384" width="9" style="41"/>
  </cols>
  <sheetData>
    <row r="1" spans="2:2" x14ac:dyDescent="0.15">
      <c r="B1" s="41" t="s">
        <v>35</v>
      </c>
    </row>
    <row r="26" spans="2:2" x14ac:dyDescent="0.15">
      <c r="B26" s="41" t="s">
        <v>36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Visio.Drawing.11" shapeId="1025" r:id="rId4">
          <objectPr defaultSize="0" autoPict="0" r:id="rId5">
            <anchor moveWithCells="1" sizeWithCells="1">
              <from>
                <xdr:col>1</xdr:col>
                <xdr:colOff>19050</xdr:colOff>
                <xdr:row>2</xdr:row>
                <xdr:rowOff>19050</xdr:rowOff>
              </from>
              <to>
                <xdr:col>7</xdr:col>
                <xdr:colOff>666750</xdr:colOff>
                <xdr:row>24</xdr:row>
                <xdr:rowOff>161925</xdr:rowOff>
              </to>
            </anchor>
          </objectPr>
        </oleObject>
      </mc:Choice>
      <mc:Fallback>
        <oleObject progId="Visio.Drawing.11" shapeId="1025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249977111117893"/>
  </sheetPr>
  <dimension ref="A1:D36"/>
  <sheetViews>
    <sheetView workbookViewId="0">
      <selection activeCell="G17" sqref="G17"/>
    </sheetView>
  </sheetViews>
  <sheetFormatPr defaultRowHeight="16.5" x14ac:dyDescent="0.15"/>
  <cols>
    <col min="1" max="2" width="9" style="41"/>
    <col min="3" max="3" width="15.25" style="41" customWidth="1"/>
    <col min="4" max="4" width="73.375" style="41" customWidth="1"/>
    <col min="5" max="16384" width="9" style="41"/>
  </cols>
  <sheetData>
    <row r="1" spans="1:4" x14ac:dyDescent="0.15">
      <c r="A1" s="42" t="s">
        <v>2</v>
      </c>
      <c r="B1" s="42" t="s">
        <v>3</v>
      </c>
      <c r="C1" s="42" t="s">
        <v>4</v>
      </c>
      <c r="D1" s="42" t="s">
        <v>5</v>
      </c>
    </row>
    <row r="2" spans="1:4" x14ac:dyDescent="0.15">
      <c r="A2" s="49"/>
      <c r="B2" s="22"/>
      <c r="C2" s="49"/>
      <c r="D2" s="22"/>
    </row>
    <row r="3" spans="1:4" x14ac:dyDescent="0.15">
      <c r="A3" s="49"/>
      <c r="B3" s="22"/>
      <c r="C3" s="49"/>
      <c r="D3" s="22"/>
    </row>
    <row r="4" spans="1:4" x14ac:dyDescent="0.15">
      <c r="A4" s="49"/>
      <c r="B4" s="22"/>
      <c r="C4" s="49"/>
      <c r="D4" s="43"/>
    </row>
    <row r="5" spans="1:4" x14ac:dyDescent="0.15">
      <c r="A5" s="49"/>
      <c r="B5" s="22"/>
      <c r="C5" s="49"/>
      <c r="D5" s="22"/>
    </row>
    <row r="6" spans="1:4" x14ac:dyDescent="0.15">
      <c r="A6" s="49"/>
      <c r="B6" s="22"/>
      <c r="C6" s="49"/>
      <c r="D6" s="43"/>
    </row>
    <row r="7" spans="1:4" x14ac:dyDescent="0.15">
      <c r="A7" s="49"/>
      <c r="B7" s="22"/>
      <c r="C7" s="49"/>
      <c r="D7" s="43"/>
    </row>
    <row r="8" spans="1:4" x14ac:dyDescent="0.15">
      <c r="A8" s="49"/>
      <c r="B8" s="22"/>
      <c r="C8" s="49"/>
      <c r="D8" s="22"/>
    </row>
    <row r="9" spans="1:4" x14ac:dyDescent="0.15">
      <c r="A9" s="49"/>
      <c r="B9" s="22"/>
      <c r="C9" s="49"/>
      <c r="D9" s="22"/>
    </row>
    <row r="10" spans="1:4" x14ac:dyDescent="0.15">
      <c r="A10" s="49"/>
      <c r="B10" s="22"/>
      <c r="C10" s="49"/>
      <c r="D10" s="43"/>
    </row>
    <row r="11" spans="1:4" x14ac:dyDescent="0.15">
      <c r="A11" s="49"/>
      <c r="B11" s="22"/>
      <c r="C11" s="49"/>
      <c r="D11" s="22"/>
    </row>
    <row r="12" spans="1:4" x14ac:dyDescent="0.15">
      <c r="A12" s="49"/>
      <c r="B12" s="22"/>
      <c r="C12" s="49"/>
      <c r="D12" s="44"/>
    </row>
    <row r="13" spans="1:4" x14ac:dyDescent="0.15">
      <c r="A13" s="49"/>
      <c r="B13" s="22"/>
      <c r="C13" s="49"/>
      <c r="D13" s="44"/>
    </row>
    <row r="14" spans="1:4" x14ac:dyDescent="0.15">
      <c r="A14" s="49"/>
      <c r="B14" s="22"/>
      <c r="C14" s="49"/>
      <c r="D14" s="44"/>
    </row>
    <row r="15" spans="1:4" x14ac:dyDescent="0.15">
      <c r="A15" s="49"/>
      <c r="B15" s="22"/>
      <c r="C15" s="49"/>
      <c r="D15" s="44"/>
    </row>
    <row r="16" spans="1:4" x14ac:dyDescent="0.15">
      <c r="A16" s="49"/>
      <c r="B16" s="22"/>
      <c r="C16" s="49"/>
      <c r="D16" s="45"/>
    </row>
    <row r="17" spans="1:4" x14ac:dyDescent="0.15">
      <c r="A17" s="49"/>
      <c r="B17" s="22"/>
      <c r="C17" s="49"/>
      <c r="D17" s="44"/>
    </row>
    <row r="18" spans="1:4" x14ac:dyDescent="0.15">
      <c r="A18" s="49"/>
      <c r="B18" s="22"/>
      <c r="C18" s="49"/>
      <c r="D18" s="44"/>
    </row>
    <row r="19" spans="1:4" x14ac:dyDescent="0.15">
      <c r="A19" s="49"/>
      <c r="B19" s="22"/>
      <c r="C19" s="49"/>
      <c r="D19" s="44"/>
    </row>
    <row r="20" spans="1:4" x14ac:dyDescent="0.15">
      <c r="A20" s="49"/>
      <c r="B20" s="22"/>
      <c r="C20" s="49"/>
      <c r="D20" s="44"/>
    </row>
    <row r="21" spans="1:4" x14ac:dyDescent="0.15">
      <c r="A21" s="49"/>
      <c r="B21" s="22"/>
      <c r="C21" s="49"/>
      <c r="D21" s="44"/>
    </row>
    <row r="22" spans="1:4" x14ac:dyDescent="0.15">
      <c r="A22" s="46"/>
      <c r="B22" s="47"/>
      <c r="C22" s="48"/>
      <c r="D22" s="44"/>
    </row>
    <row r="23" spans="1:4" x14ac:dyDescent="0.15">
      <c r="A23" s="46"/>
      <c r="B23" s="47"/>
      <c r="C23" s="48"/>
      <c r="D23" s="44"/>
    </row>
    <row r="24" spans="1:4" x14ac:dyDescent="0.15">
      <c r="A24" s="46"/>
      <c r="B24" s="47"/>
      <c r="C24" s="49"/>
      <c r="D24" s="44"/>
    </row>
    <row r="25" spans="1:4" x14ac:dyDescent="0.15">
      <c r="A25" s="46"/>
      <c r="B25" s="47"/>
      <c r="C25" s="48"/>
      <c r="D25" s="44"/>
    </row>
    <row r="26" spans="1:4" x14ac:dyDescent="0.15">
      <c r="A26" s="46"/>
      <c r="B26" s="47"/>
      <c r="C26" s="48"/>
      <c r="D26" s="44"/>
    </row>
    <row r="27" spans="1:4" x14ac:dyDescent="0.15">
      <c r="A27" s="49"/>
      <c r="B27" s="22"/>
      <c r="C27" s="49"/>
      <c r="D27" s="44"/>
    </row>
    <row r="28" spans="1:4" x14ac:dyDescent="0.15">
      <c r="A28" s="49"/>
      <c r="B28" s="22"/>
      <c r="C28" s="49"/>
      <c r="D28" s="44"/>
    </row>
    <row r="29" spans="1:4" x14ac:dyDescent="0.15">
      <c r="A29" s="8"/>
      <c r="B29" s="8"/>
      <c r="C29" s="8"/>
      <c r="D29" s="8"/>
    </row>
    <row r="30" spans="1:4" x14ac:dyDescent="0.15">
      <c r="A30" s="8"/>
      <c r="B30" s="8"/>
      <c r="C30" s="8"/>
      <c r="D30" s="8"/>
    </row>
    <row r="31" spans="1:4" x14ac:dyDescent="0.15">
      <c r="A31" s="8"/>
      <c r="B31" s="8"/>
      <c r="C31" s="8"/>
      <c r="D31" s="8"/>
    </row>
    <row r="32" spans="1:4" x14ac:dyDescent="0.15">
      <c r="A32" s="8"/>
      <c r="B32" s="8"/>
      <c r="C32" s="8"/>
      <c r="D32" s="8"/>
    </row>
    <row r="33" spans="1:4" x14ac:dyDescent="0.15">
      <c r="A33" s="8"/>
      <c r="B33" s="8"/>
      <c r="C33" s="8"/>
      <c r="D33" s="8"/>
    </row>
    <row r="34" spans="1:4" x14ac:dyDescent="0.15">
      <c r="A34" s="8"/>
      <c r="B34" s="8"/>
      <c r="C34" s="8"/>
      <c r="D34" s="8"/>
    </row>
    <row r="35" spans="1:4" x14ac:dyDescent="0.15">
      <c r="A35" s="8"/>
      <c r="B35" s="8"/>
      <c r="C35" s="8"/>
      <c r="D35" s="8"/>
    </row>
    <row r="36" spans="1:4" x14ac:dyDescent="0.15">
      <c r="A36" s="8"/>
      <c r="B36" s="8"/>
      <c r="C36" s="8"/>
      <c r="D36" s="8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H27" sqref="H27:H28"/>
    </sheetView>
  </sheetViews>
  <sheetFormatPr defaultRowHeight="16.5" x14ac:dyDescent="0.15"/>
  <cols>
    <col min="1" max="16384" width="9" style="41"/>
  </cols>
  <sheetData>
    <row r="1" spans="1:6" x14ac:dyDescent="0.15">
      <c r="A1" s="83" t="s">
        <v>33</v>
      </c>
      <c r="B1" s="84"/>
      <c r="C1" s="84"/>
      <c r="D1" s="84"/>
      <c r="E1" s="84"/>
      <c r="F1" s="84"/>
    </row>
    <row r="2" spans="1:6" x14ac:dyDescent="0.15">
      <c r="A2" s="84"/>
      <c r="B2" s="84"/>
      <c r="C2" s="84"/>
      <c r="D2" s="84"/>
      <c r="E2" s="84"/>
      <c r="F2" s="84"/>
    </row>
    <row r="3" spans="1:6" x14ac:dyDescent="0.15">
      <c r="A3" s="84"/>
      <c r="B3" s="84"/>
      <c r="C3" s="84"/>
      <c r="D3" s="84"/>
      <c r="E3" s="84"/>
      <c r="F3" s="84"/>
    </row>
    <row r="4" spans="1:6" x14ac:dyDescent="0.15">
      <c r="A4" s="84"/>
      <c r="B4" s="84"/>
      <c r="C4" s="84"/>
      <c r="D4" s="84"/>
      <c r="E4" s="84"/>
      <c r="F4" s="84"/>
    </row>
    <row r="5" spans="1:6" x14ac:dyDescent="0.15">
      <c r="A5" s="84"/>
      <c r="B5" s="84"/>
      <c r="C5" s="84"/>
      <c r="D5" s="84"/>
      <c r="E5" s="84"/>
      <c r="F5" s="84"/>
    </row>
    <row r="6" spans="1:6" x14ac:dyDescent="0.15">
      <c r="A6" s="84"/>
      <c r="B6" s="84"/>
      <c r="C6" s="84"/>
      <c r="D6" s="84"/>
      <c r="E6" s="84"/>
      <c r="F6" s="84"/>
    </row>
    <row r="7" spans="1:6" x14ac:dyDescent="0.15">
      <c r="A7" s="84"/>
      <c r="B7" s="84"/>
      <c r="C7" s="84"/>
      <c r="D7" s="84"/>
      <c r="E7" s="84"/>
      <c r="F7" s="84"/>
    </row>
    <row r="8" spans="1:6" x14ac:dyDescent="0.15">
      <c r="A8" s="84"/>
      <c r="B8" s="84"/>
      <c r="C8" s="84"/>
      <c r="D8" s="84"/>
      <c r="E8" s="84"/>
      <c r="F8" s="84"/>
    </row>
    <row r="9" spans="1:6" x14ac:dyDescent="0.15">
      <c r="A9" s="84"/>
      <c r="B9" s="84"/>
      <c r="C9" s="84"/>
      <c r="D9" s="84"/>
      <c r="E9" s="84"/>
      <c r="F9" s="84"/>
    </row>
    <row r="10" spans="1:6" x14ac:dyDescent="0.15">
      <c r="A10" s="84"/>
      <c r="B10" s="84"/>
      <c r="C10" s="84"/>
      <c r="D10" s="84"/>
      <c r="E10" s="84"/>
      <c r="F10" s="84"/>
    </row>
    <row r="11" spans="1:6" x14ac:dyDescent="0.15">
      <c r="A11" s="84"/>
      <c r="B11" s="84"/>
      <c r="C11" s="84"/>
      <c r="D11" s="84"/>
      <c r="E11" s="84"/>
      <c r="F11" s="84"/>
    </row>
    <row r="12" spans="1:6" x14ac:dyDescent="0.15">
      <c r="A12" s="84"/>
      <c r="B12" s="84"/>
      <c r="C12" s="84"/>
      <c r="D12" s="84"/>
      <c r="E12" s="84"/>
      <c r="F12" s="84"/>
    </row>
    <row r="13" spans="1:6" x14ac:dyDescent="0.15">
      <c r="A13" s="84"/>
      <c r="B13" s="84"/>
      <c r="C13" s="84"/>
      <c r="D13" s="84"/>
      <c r="E13" s="84"/>
      <c r="F13" s="84"/>
    </row>
    <row r="14" spans="1:6" x14ac:dyDescent="0.15">
      <c r="A14" s="84"/>
      <c r="B14" s="84"/>
      <c r="C14" s="84"/>
      <c r="D14" s="84"/>
      <c r="E14" s="84"/>
      <c r="F14" s="84"/>
    </row>
    <row r="15" spans="1:6" x14ac:dyDescent="0.15">
      <c r="A15" s="84"/>
      <c r="B15" s="84"/>
      <c r="C15" s="84"/>
      <c r="D15" s="84"/>
      <c r="E15" s="84"/>
      <c r="F15" s="84"/>
    </row>
    <row r="16" spans="1:6" x14ac:dyDescent="0.15">
      <c r="A16" s="84"/>
      <c r="B16" s="84"/>
      <c r="C16" s="84"/>
      <c r="D16" s="84"/>
      <c r="E16" s="84"/>
      <c r="F16" s="84"/>
    </row>
    <row r="17" spans="1:6" x14ac:dyDescent="0.15">
      <c r="A17" s="84"/>
      <c r="B17" s="84"/>
      <c r="C17" s="84"/>
      <c r="D17" s="84"/>
      <c r="E17" s="84"/>
      <c r="F17" s="84"/>
    </row>
    <row r="18" spans="1:6" x14ac:dyDescent="0.15">
      <c r="A18" s="84"/>
      <c r="B18" s="84"/>
      <c r="C18" s="84"/>
      <c r="D18" s="84"/>
      <c r="E18" s="84"/>
      <c r="F18" s="84"/>
    </row>
    <row r="19" spans="1:6" x14ac:dyDescent="0.15">
      <c r="A19" s="84"/>
      <c r="B19" s="84"/>
      <c r="C19" s="84"/>
      <c r="D19" s="84"/>
      <c r="E19" s="84"/>
      <c r="F19" s="84"/>
    </row>
    <row r="20" spans="1:6" x14ac:dyDescent="0.15">
      <c r="A20" s="84"/>
      <c r="B20" s="84"/>
      <c r="C20" s="84"/>
      <c r="D20" s="84"/>
      <c r="E20" s="84"/>
      <c r="F20" s="84"/>
    </row>
    <row r="21" spans="1:6" x14ac:dyDescent="0.15">
      <c r="A21" s="84"/>
      <c r="B21" s="84"/>
      <c r="C21" s="84"/>
      <c r="D21" s="84"/>
      <c r="E21" s="84"/>
      <c r="F21" s="84"/>
    </row>
    <row r="22" spans="1:6" x14ac:dyDescent="0.15">
      <c r="A22" s="84"/>
      <c r="B22" s="84"/>
      <c r="C22" s="84"/>
      <c r="D22" s="84"/>
      <c r="E22" s="84"/>
      <c r="F22" s="84"/>
    </row>
    <row r="23" spans="1:6" x14ac:dyDescent="0.15">
      <c r="A23" s="84"/>
      <c r="B23" s="84"/>
      <c r="C23" s="84"/>
      <c r="D23" s="84"/>
      <c r="E23" s="84"/>
      <c r="F23" s="84"/>
    </row>
    <row r="24" spans="1:6" x14ac:dyDescent="0.15">
      <c r="A24" s="84"/>
      <c r="B24" s="84"/>
      <c r="C24" s="84"/>
      <c r="D24" s="84"/>
      <c r="E24" s="84"/>
      <c r="F24" s="84"/>
    </row>
    <row r="25" spans="1:6" x14ac:dyDescent="0.15">
      <c r="A25" s="84"/>
      <c r="B25" s="84"/>
      <c r="C25" s="84"/>
      <c r="D25" s="84"/>
      <c r="E25" s="84"/>
      <c r="F25" s="84"/>
    </row>
    <row r="26" spans="1:6" x14ac:dyDescent="0.15">
      <c r="A26" s="84"/>
      <c r="B26" s="84"/>
      <c r="C26" s="84"/>
      <c r="D26" s="84"/>
      <c r="E26" s="84"/>
      <c r="F26" s="84"/>
    </row>
    <row r="27" spans="1:6" x14ac:dyDescent="0.15">
      <c r="A27" s="84"/>
      <c r="B27" s="84"/>
      <c r="C27" s="84"/>
      <c r="D27" s="84"/>
      <c r="E27" s="84"/>
      <c r="F27" s="84"/>
    </row>
  </sheetData>
  <mergeCells count="1">
    <mergeCell ref="A1:F2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测试用例</vt:lpstr>
      <vt:lpstr>策划相关</vt:lpstr>
      <vt:lpstr>修改内容</vt:lpstr>
      <vt:lpstr>第一次测试报告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2016-03-24T08:00:55Z</dcterms:modified>
</cp:coreProperties>
</file>